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8.xml"/>
  <Override ContentType="application/vnd.openxmlformats-officedocument.spreadsheetml.pivotCacheDefinition+xml" PartName="/xl/pivotCache/pivotCacheDefinition43.xml"/>
  <Override ContentType="application/vnd.openxmlformats-officedocument.spreadsheetml.pivotCacheDefinition+xml" PartName="/xl/pivotCache/pivotCacheDefinition51.xml"/>
  <Override ContentType="application/vnd.openxmlformats-officedocument.spreadsheetml.pivotCacheDefinition+xml" PartName="/xl/pivotCache/pivotCacheDefinition78.xml"/>
  <Override ContentType="application/vnd.openxmlformats-officedocument.spreadsheetml.pivotCacheDefinition+xml" PartName="/xl/pivotCache/pivotCacheDefinition26.xml"/>
  <Override ContentType="application/vnd.openxmlformats-officedocument.spreadsheetml.pivotCacheDefinition+xml" PartName="/xl/pivotCache/pivotCacheDefinition34.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69.xml"/>
  <Override ContentType="application/vnd.openxmlformats-officedocument.spreadsheetml.pivotCacheDefinition+xml" PartName="/xl/pivotCache/pivotCacheDefinition77.xml"/>
  <Override ContentType="application/vnd.openxmlformats-officedocument.spreadsheetml.pivotCacheDefinition+xml" PartName="/xl/pivotCache/pivotCacheDefinition60.xml"/>
  <Override ContentType="application/vnd.openxmlformats-officedocument.spreadsheetml.pivotCacheDefinition+xml" PartName="/xl/pivotCache/pivotCacheDefinition19.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42.xml"/>
  <Override ContentType="application/vnd.openxmlformats-officedocument.spreadsheetml.pivotCacheDefinition+xml" PartName="/xl/pivotCache/pivotCacheDefinition68.xml"/>
  <Override ContentType="application/vnd.openxmlformats-officedocument.spreadsheetml.pivotCacheDefinition+xml" PartName="/xl/pivotCache/pivotCacheDefinition25.xml"/>
  <Override ContentType="application/vnd.openxmlformats-officedocument.spreadsheetml.pivotCacheDefinition+xml" PartName="/xl/pivotCache/pivotCacheDefinition28.xml"/>
  <Override ContentType="application/vnd.openxmlformats-officedocument.spreadsheetml.pivotCacheDefinition+xml" PartName="/xl/pivotCache/pivotCacheDefinition50.xml"/>
  <Override ContentType="application/vnd.openxmlformats-officedocument.spreadsheetml.pivotCacheDefinition+xml" PartName="/xl/pivotCache/pivotCacheDefinition16.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76.xml"/>
  <Override ContentType="application/vnd.openxmlformats-officedocument.spreadsheetml.pivotCacheDefinition+xml" PartName="/xl/pivotCache/pivotCacheDefinition59.xml"/>
  <Override ContentType="application/vnd.openxmlformats-officedocument.spreadsheetml.pivotCacheDefinition+xml" PartName="/xl/pivotCache/pivotCacheDefinition33.xml"/>
  <Override ContentType="application/vnd.openxmlformats-officedocument.spreadsheetml.pivotCacheDefinition+xml" PartName="/xl/pivotCache/pivotCacheDefinition67.xml"/>
  <Override ContentType="application/vnd.openxmlformats-officedocument.spreadsheetml.pivotCacheDefinition+xml" PartName="/xl/pivotCache/pivotCacheDefinition24.xml"/>
  <Override ContentType="application/vnd.openxmlformats-officedocument.spreadsheetml.pivotCacheDefinition+xml" PartName="/xl/pivotCache/pivotCacheDefinition37.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29.xml"/>
  <Override ContentType="application/vnd.openxmlformats-officedocument.spreadsheetml.pivotCacheDefinition+xml" PartName="/xl/pivotCache/pivotCacheDefinition54.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41.xml"/>
  <Override ContentType="application/vnd.openxmlformats-officedocument.spreadsheetml.pivotCacheDefinition+xml" PartName="/xl/pivotCache/pivotCacheDefinition71.xml"/>
  <Override ContentType="application/vnd.openxmlformats-officedocument.spreadsheetml.pivotCacheDefinition+xml" PartName="/xl/pivotCache/pivotCacheDefinition79.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49.xml"/>
  <Override ContentType="application/vnd.openxmlformats-officedocument.spreadsheetml.pivotCacheDefinition+xml" PartName="/xl/pivotCache/pivotCacheDefinition17.xml"/>
  <Override ContentType="application/vnd.openxmlformats-officedocument.spreadsheetml.pivotCacheDefinition+xml" PartName="/xl/pivotCache/pivotCacheDefinition36.xml"/>
  <Override ContentType="application/vnd.openxmlformats-officedocument.spreadsheetml.pivotCacheDefinition+xml" PartName="/xl/pivotCache/pivotCacheDefinition23.xml"/>
  <Override ContentType="application/vnd.openxmlformats-officedocument.spreadsheetml.pivotCacheDefinition+xml" PartName="/xl/pivotCache/pivotCacheDefinition53.xml"/>
  <Override ContentType="application/vnd.openxmlformats-officedocument.spreadsheetml.pivotCacheDefinition+xml" PartName="/xl/pivotCache/pivotCacheDefinition52.xml"/>
  <Override ContentType="application/vnd.openxmlformats-officedocument.spreadsheetml.pivotCacheDefinition+xml" PartName="/xl/pivotCache/pivotCacheDefinition66.xml"/>
  <Override ContentType="application/vnd.openxmlformats-officedocument.spreadsheetml.pivotCacheDefinition+xml" PartName="/xl/pivotCache/pivotCacheDefinition40.xml"/>
  <Override ContentType="application/vnd.openxmlformats-officedocument.spreadsheetml.pivotCacheDefinition+xml" PartName="/xl/pivotCache/pivotCacheDefinition22.xml"/>
  <Override ContentType="application/vnd.openxmlformats-officedocument.spreadsheetml.pivotCacheDefinition+xml" PartName="/xl/pivotCache/pivotCacheDefinition35.xml"/>
  <Override ContentType="application/vnd.openxmlformats-officedocument.spreadsheetml.pivotCacheDefinition+xml" PartName="/xl/pivotCache/pivotCacheDefinition70.xml"/>
  <Override ContentType="application/vnd.openxmlformats-officedocument.spreadsheetml.pivotCacheDefinition+xml" PartName="/xl/pivotCache/pivotCacheDefinition48.xml"/>
  <Override ContentType="application/vnd.openxmlformats-officedocument.spreadsheetml.pivotCacheDefinition+xml" PartName="/xl/pivotCache/pivotCacheDefinition73.xml"/>
  <Override ContentType="application/vnd.openxmlformats-officedocument.spreadsheetml.pivotCacheDefinition+xml" PartName="/xl/pivotCache/pivotCacheDefinition56.xml"/>
  <Override ContentType="application/vnd.openxmlformats-officedocument.spreadsheetml.pivotCacheDefinition+xml" PartName="/xl/pivotCache/pivotCacheDefinition8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65.xml"/>
  <Override ContentType="application/vnd.openxmlformats-officedocument.spreadsheetml.pivotCacheDefinition+xml" PartName="/xl/pivotCache/pivotCacheDefinition64.xml"/>
  <Override ContentType="application/vnd.openxmlformats-officedocument.spreadsheetml.pivotCacheDefinition+xml" PartName="/xl/pivotCache/pivotCacheDefinition21.xml"/>
  <Override ContentType="application/vnd.openxmlformats-officedocument.spreadsheetml.pivotCacheDefinition+xml" PartName="/xl/pivotCache/pivotCacheDefinition47.xml"/>
  <Override ContentType="application/vnd.openxmlformats-officedocument.spreadsheetml.pivotCacheDefinition+xml" PartName="/xl/pivotCache/pivotCacheDefinition30.xml"/>
  <Override ContentType="application/vnd.openxmlformats-officedocument.spreadsheetml.pivotCacheDefinition+xml" PartName="/xl/pivotCache/pivotCacheDefinition55.xml"/>
  <Override ContentType="application/vnd.openxmlformats-officedocument.spreadsheetml.pivotCacheDefinition+xml" PartName="/xl/pivotCache/pivotCacheDefinition80.xml"/>
  <Override ContentType="application/vnd.openxmlformats-officedocument.spreadsheetml.pivotCacheDefinition+xml" PartName="/xl/pivotCache/pivotCacheDefinition38.xml"/>
  <Override ContentType="application/vnd.openxmlformats-officedocument.spreadsheetml.pivotCacheDefinition+xml" PartName="/xl/pivotCache/pivotCacheDefinition63.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72.xml"/>
  <Override ContentType="application/vnd.openxmlformats-officedocument.spreadsheetml.pivotCacheDefinition+xml" PartName="/xl/pivotCache/pivotCacheDefinition20.xml"/>
  <Override ContentType="application/vnd.openxmlformats-officedocument.spreadsheetml.pivotCacheDefinition+xml" PartName="/xl/pivotCache/pivotCacheDefinition46.xml"/>
  <Override ContentType="application/vnd.openxmlformats-officedocument.spreadsheetml.pivotCacheDefinition+xml" PartName="/xl/pivotCache/pivotCacheDefinition62.xml"/>
  <Override ContentType="application/vnd.openxmlformats-officedocument.spreadsheetml.pivotCacheDefinition+xml" PartName="/xl/pivotCache/pivotCacheDefinition15.xml"/>
  <Override ContentType="application/vnd.openxmlformats-officedocument.spreadsheetml.pivotCacheDefinition+xml" PartName="/xl/pivotCache/pivotCacheDefinition58.xml"/>
  <Override ContentType="application/vnd.openxmlformats-officedocument.spreadsheetml.pivotCacheDefinition+xml" PartName="/xl/pivotCache/pivotCacheDefinition75.xml"/>
  <Override ContentType="application/vnd.openxmlformats-officedocument.spreadsheetml.pivotCacheDefinition+xml" PartName="/xl/pivotCache/pivotCacheDefinition45.xml"/>
  <Override ContentType="application/vnd.openxmlformats-officedocument.spreadsheetml.pivotCacheDefinition+xml" PartName="/xl/pivotCache/pivotCacheDefinition32.xml"/>
  <Override ContentType="application/vnd.openxmlformats-officedocument.spreadsheetml.pivotCacheDefinition+xml" PartName="/xl/pivotCache/pivotCacheDefinition31.xml"/>
  <Override ContentType="application/vnd.openxmlformats-officedocument.spreadsheetml.pivotCacheDefinition+xml" PartName="/xl/pivotCache/pivotCacheDefinition74.xml"/>
  <Override ContentType="application/vnd.openxmlformats-officedocument.spreadsheetml.pivotCacheDefinition+xml" PartName="/xl/pivotCache/pivotCacheDefinition61.xml"/>
  <Override ContentType="application/vnd.openxmlformats-officedocument.spreadsheetml.pivotCacheDefinition+xml" PartName="/xl/pivotCache/pivotCacheDefinition14.xml"/>
  <Override ContentType="application/vnd.openxmlformats-officedocument.spreadsheetml.pivotCacheDefinition+xml" PartName="/xl/pivotCache/pivotCacheDefinition27.xml"/>
  <Override ContentType="application/vnd.openxmlformats-officedocument.spreadsheetml.pivotCacheDefinition+xml" PartName="/xl/pivotCache/pivotCacheDefinition39.xml"/>
  <Override ContentType="application/vnd.openxmlformats-officedocument.spreadsheetml.pivotCacheDefinition+xml" PartName="/xl/pivotCache/pivotCacheDefinition57.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44.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0.xml"/>
  <Override ContentType="application/vnd.openxmlformats-officedocument.spreadsheetml.pivotTable+xml" PartName="/xl/pivotTables/pivotTable93.xml"/>
  <Override ContentType="application/vnd.openxmlformats-officedocument.spreadsheetml.pivotTable+xml" PartName="/xl/pivotTables/pivotTable42.xml"/>
  <Override ContentType="application/vnd.openxmlformats-officedocument.spreadsheetml.pivotTable+xml" PartName="/xl/pivotTables/pivotTable85.xml"/>
  <Override ContentType="application/vnd.openxmlformats-officedocument.spreadsheetml.pivotTable+xml" PartName="/xl/pivotTables/pivotTable69.xml"/>
  <Override ContentType="application/vnd.openxmlformats-officedocument.spreadsheetml.pivotTable+xml" PartName="/xl/pivotTables/pivotTable24.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67.xml"/>
  <Override ContentType="application/vnd.openxmlformats-officedocument.spreadsheetml.pivotTable+xml" PartName="/xl/pivotTables/pivotTable75.xml"/>
  <Override ContentType="application/vnd.openxmlformats-officedocument.spreadsheetml.pivotTable+xml" PartName="/xl/pivotTables/pivotTable32.xml"/>
  <Override ContentType="application/vnd.openxmlformats-officedocument.spreadsheetml.pivotTable+xml" PartName="/xl/pivotTables/pivotTable8.xml"/>
  <Override ContentType="application/vnd.openxmlformats-officedocument.spreadsheetml.pivotTable+xml" PartName="/xl/pivotTables/pivotTable83.xml"/>
  <Override ContentType="application/vnd.openxmlformats-officedocument.spreadsheetml.pivotTable+xml" PartName="/xl/pivotTables/pivotTable108.xml"/>
  <Override ContentType="application/vnd.openxmlformats-officedocument.spreadsheetml.pivotTable+xml" PartName="/xl/pivotTables/pivotTable40.xml"/>
  <Override ContentType="application/vnd.openxmlformats-officedocument.spreadsheetml.pivotTable+xml" PartName="/xl/pivotTables/pivotTable116.xml"/>
  <Override ContentType="application/vnd.openxmlformats-officedocument.spreadsheetml.pivotTable+xml" PartName="/xl/pivotTables/pivotTable6.xml"/>
  <Override ContentType="application/vnd.openxmlformats-officedocument.spreadsheetml.pivotTable+xml" PartName="/xl/pivotTables/pivotTable106.xml"/>
  <Override ContentType="application/vnd.openxmlformats-officedocument.spreadsheetml.pivotTable+xml" PartName="/xl/pivotTables/pivotTable22.xml"/>
  <Override ContentType="application/vnd.openxmlformats-officedocument.spreadsheetml.pivotTable+xml" PartName="/xl/pivotTables/pivotTable95.xml"/>
  <Override ContentType="application/vnd.openxmlformats-officedocument.spreadsheetml.pivotTable+xml" PartName="/xl/pivotTables/pivotTable28.xml"/>
  <Override ContentType="application/vnd.openxmlformats-officedocument.spreadsheetml.pivotTable+xml" PartName="/xl/pivotTables/pivotTable52.xml"/>
  <Override ContentType="application/vnd.openxmlformats-officedocument.spreadsheetml.pivotTable+xml" PartName="/xl/pivotTables/pivotTable65.xml"/>
  <Override ContentType="application/vnd.openxmlformats-officedocument.spreadsheetml.pivotTable+xml" PartName="/xl/pivotTables/pivotTable81.xml"/>
  <Override ContentType="application/vnd.openxmlformats-officedocument.spreadsheetml.pivotTable+xml" PartName="/xl/pivotTables/pivotTable59.xml"/>
  <Override ContentType="application/vnd.openxmlformats-officedocument.spreadsheetml.pivotTable+xml" PartName="/xl/pivotTables/pivotTable34.xml"/>
  <Override ContentType="application/vnd.openxmlformats-officedocument.spreadsheetml.pivotTable+xml" PartName="/xl/pivotTables/pivotTable77.xml"/>
  <Override ContentType="application/vnd.openxmlformats-officedocument.spreadsheetml.pivotTable+xml" PartName="/xl/pivotTables/pivotTable16.xml"/>
  <Override ContentType="application/vnd.openxmlformats-officedocument.spreadsheetml.pivotTable+xml" PartName="/xl/pivotTables/pivotTable98.xml"/>
  <Override ContentType="application/vnd.openxmlformats-officedocument.spreadsheetml.pivotTable+xml" PartName="/xl/pivotTables/pivotTable20.xml"/>
  <Override ContentType="application/vnd.openxmlformats-officedocument.spreadsheetml.pivotTable+xml" PartName="/xl/pivotTables/pivotTable55.xml"/>
  <Override ContentType="application/vnd.openxmlformats-officedocument.spreadsheetml.pivotTable+xml" PartName="/xl/pivotTables/pivotTable80.xml"/>
  <Override ContentType="application/vnd.openxmlformats-officedocument.spreadsheetml.pivotTable+xml" PartName="/xl/pivotTables/pivotTable47.xml"/>
  <Override ContentType="application/vnd.openxmlformats-officedocument.spreadsheetml.pivotTable+xml" PartName="/xl/pivotTables/pivotTable104.xml"/>
  <Override ContentType="application/vnd.openxmlformats-officedocument.spreadsheetml.pivotTable+xml" PartName="/xl/pivotTables/pivotTable72.xml"/>
  <Override ContentType="application/vnd.openxmlformats-officedocument.spreadsheetml.pivotTable+xml" PartName="/xl/pivotTables/pivotTable46.xml"/>
  <Override ContentType="application/vnd.openxmlformats-officedocument.spreadsheetml.pivotTable+xml" PartName="/xl/pivotTables/pivotTable89.xml"/>
  <Override ContentType="application/vnd.openxmlformats-officedocument.spreadsheetml.pivotTable+xml" PartName="/xl/pivotTables/pivotTable111.xml"/>
  <Override ContentType="application/vnd.openxmlformats-officedocument.spreadsheetml.pivotTable+xml" PartName="/xl/pivotTables/pivotTable63.xml"/>
  <Override ContentType="application/vnd.openxmlformats-officedocument.spreadsheetml.pivotTable+xml" PartName="/xl/pivotTables/pivotTable113.xml"/>
  <Override ContentType="application/vnd.openxmlformats-officedocument.spreadsheetml.pivotTable+xml" PartName="/xl/pivotTables/pivotTable3.xml"/>
  <Override ContentType="application/vnd.openxmlformats-officedocument.spreadsheetml.pivotTable+xml" PartName="/xl/pivotTables/pivotTable70.xml"/>
  <Override ContentType="application/vnd.openxmlformats-officedocument.spreadsheetml.pivotTable+xml" PartName="/xl/pivotTables/pivotTable10.xml"/>
  <Override ContentType="application/vnd.openxmlformats-officedocument.spreadsheetml.pivotTable+xml" PartName="/xl/pivotTables/pivotTable53.xml"/>
  <Override ContentType="application/vnd.openxmlformats-officedocument.spreadsheetml.pivotTable+xml" PartName="/xl/pivotTables/pivotTable96.xml"/>
  <Override ContentType="application/vnd.openxmlformats-officedocument.spreadsheetml.pivotTable+xml" PartName="/xl/pivotTables/pivotTable14.xml"/>
  <Override ContentType="application/vnd.openxmlformats-officedocument.spreadsheetml.pivotTable+xml" PartName="/xl/pivotTables/pivotTable79.xml"/>
  <Override ContentType="application/vnd.openxmlformats-officedocument.spreadsheetml.pivotTable+xml" PartName="/xl/pivotTables/pivotTable49.xml"/>
  <Override ContentType="application/vnd.openxmlformats-officedocument.spreadsheetml.pivotTable+xml" PartName="/xl/pivotTables/pivotTable74.xml"/>
  <Override ContentType="application/vnd.openxmlformats-officedocument.spreadsheetml.pivotTable+xml" PartName="/xl/pivotTables/pivotTable36.xml"/>
  <Override ContentType="application/vnd.openxmlformats-officedocument.spreadsheetml.pivotTable+xml" PartName="/xl/pivotTables/pivotTable61.xml"/>
  <Override ContentType="application/vnd.openxmlformats-officedocument.spreadsheetml.pivotTable+xml" PartName="/xl/pivotTables/pivotTable1.xml"/>
  <Override ContentType="application/vnd.openxmlformats-officedocument.spreadsheetml.pivotTable+xml" PartName="/xl/pivotTables/pivotTable57.xml"/>
  <Override ContentType="application/vnd.openxmlformats-officedocument.spreadsheetml.pivotTable+xml" PartName="/xl/pivotTables/pivotTable87.xml"/>
  <Override ContentType="application/vnd.openxmlformats-officedocument.spreadsheetml.pivotTable+xml" PartName="/xl/pivotTables/pivotTable19.xml"/>
  <Override ContentType="application/vnd.openxmlformats-officedocument.spreadsheetml.pivotTable+xml" PartName="/xl/pivotTables/pivotTable44.xml"/>
  <Override ContentType="application/vnd.openxmlformats-officedocument.spreadsheetml.pivotTable+xml" PartName="/xl/pivotTables/pivotTable31.xml"/>
  <Override ContentType="application/vnd.openxmlformats-officedocument.spreadsheetml.pivotTable+xml" PartName="/xl/pivotTables/pivotTable115.xml"/>
  <Override ContentType="application/vnd.openxmlformats-officedocument.spreadsheetml.pivotTable+xml" PartName="/xl/pivotTables/pivotTable102.xml"/>
  <Override ContentType="application/vnd.openxmlformats-officedocument.spreadsheetml.pivotTable+xml" PartName="/xl/pivotTables/pivotTable91.xml"/>
  <Override ContentType="application/vnd.openxmlformats-officedocument.spreadsheetml.pivotTable+xml" PartName="/xl/pivotTables/pivotTable38.xml"/>
  <Override ContentType="application/vnd.openxmlformats-officedocument.spreadsheetml.pivotTable+xml" PartName="/xl/pivotTables/pivotTable12.xml"/>
  <Override ContentType="application/vnd.openxmlformats-officedocument.spreadsheetml.pivotTable+xml" PartName="/xl/pivotTables/pivotTable25.xml"/>
  <Override ContentType="application/vnd.openxmlformats-officedocument.spreadsheetml.pivotTable+xml" PartName="/xl/pivotTables/pivotTable68.xml"/>
  <Override ContentType="application/vnd.openxmlformats-officedocument.spreadsheetml.pivotTable+xml" PartName="/xl/pivotTables/pivotTable17.xml"/>
  <Override ContentType="application/vnd.openxmlformats-officedocument.spreadsheetml.pivotTable+xml" PartName="/xl/pivotTables/pivotTable33.xml"/>
  <Override ContentType="application/vnd.openxmlformats-officedocument.spreadsheetml.pivotTable+xml" PartName="/xl/pivotTables/pivotTable76.xml"/>
  <Override ContentType="application/vnd.openxmlformats-officedocument.spreadsheetml.pivotTable+xml" PartName="/xl/pivotTables/pivotTable109.xml"/>
  <Override ContentType="application/vnd.openxmlformats-officedocument.spreadsheetml.pivotTable+xml" PartName="/xl/pivotTables/pivotTable41.xml"/>
  <Override ContentType="application/vnd.openxmlformats-officedocument.spreadsheetml.pivotTable+xml" PartName="/xl/pivotTables/pivotTable9.xml"/>
  <Override ContentType="application/vnd.openxmlformats-officedocument.spreadsheetml.pivotTable+xml" PartName="/xl/pivotTables/pivotTable92.xml"/>
  <Override ContentType="application/vnd.openxmlformats-officedocument.spreadsheetml.pivotTable+xml" PartName="/xl/pivotTables/pivotTable100.xml"/>
  <Override ContentType="application/vnd.openxmlformats-officedocument.spreadsheetml.pivotTable+xml" PartName="/xl/pivotTables/pivotTable107.xml"/>
  <Override ContentType="application/vnd.openxmlformats-officedocument.spreadsheetml.pivotTable+xml" PartName="/xl/pivotTables/pivotTable84.xml"/>
  <Override ContentType="application/vnd.openxmlformats-officedocument.spreadsheetml.pivotTable+xml" PartName="/xl/pivotTables/pivotTable66.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82.xml"/>
  <Override ContentType="application/vnd.openxmlformats-officedocument.spreadsheetml.pivotTable+xml" PartName="/xl/pivotTables/pivotTable5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35.xml"/>
  <Override ContentType="application/vnd.openxmlformats-officedocument.spreadsheetml.pivotTable+xml" PartName="/xl/pivotTables/pivotTable78.xml"/>
  <Override ContentType="application/vnd.openxmlformats-officedocument.spreadsheetml.pivotTable+xml" PartName="/xl/pivotTables/pivotTable5.xml"/>
  <Override ContentType="application/vnd.openxmlformats-officedocument.spreadsheetml.pivotTable+xml" PartName="/xl/pivotTables/pivotTable105.xml"/>
  <Override ContentType="application/vnd.openxmlformats-officedocument.spreadsheetml.pivotTable+xml" PartName="/xl/pivotTables/pivotTable110.xml"/>
  <Override ContentType="application/vnd.openxmlformats-officedocument.spreadsheetml.pivotTable+xml" PartName="/xl/pivotTables/pivotTable21.xml"/>
  <Override ContentType="application/vnd.openxmlformats-officedocument.spreadsheetml.pivotTable+xml" PartName="/xl/pivotTables/pivotTable94.xml"/>
  <Override ContentType="application/vnd.openxmlformats-officedocument.spreadsheetml.pivotTable+xml" PartName="/xl/pivotTables/pivotTable29.xml"/>
  <Override ContentType="application/vnd.openxmlformats-officedocument.spreadsheetml.pivotTable+xml" PartName="/xl/pivotTables/pivotTable64.xml"/>
  <Override ContentType="application/vnd.openxmlformats-officedocument.spreadsheetml.pivotTable+xml" PartName="/xl/pivotTables/pivotTable51.xml"/>
  <Override ContentType="application/vnd.openxmlformats-officedocument.spreadsheetml.pivotTable+xml" PartName="/xl/pivotTables/pivotTable4.xml"/>
  <Override ContentType="application/vnd.openxmlformats-officedocument.spreadsheetml.pivotTable+xml" PartName="/xl/pivotTables/pivotTable54.xml"/>
  <Override ContentType="application/vnd.openxmlformats-officedocument.spreadsheetml.pivotTable+xml" PartName="/xl/pivotTables/pivotTable39.xml"/>
  <Override ContentType="application/vnd.openxmlformats-officedocument.spreadsheetml.pivotTable+xml" PartName="/xl/pivotTables/pivotTable11.xml"/>
  <Override ContentType="application/vnd.openxmlformats-officedocument.spreadsheetml.pivotTable+xml" PartName="/xl/pivotTables/pivotTable62.xml"/>
  <Override ContentType="application/vnd.openxmlformats-officedocument.spreadsheetml.pivotTable+xml" PartName="/xl/pivotTables/pivotTable48.xml"/>
  <Override ContentType="application/vnd.openxmlformats-officedocument.spreadsheetml.pivotTable+xml" PartName="/xl/pivotTables/pivotTable97.xml"/>
  <Override ContentType="application/vnd.openxmlformats-officedocument.spreadsheetml.pivotTable+xml" PartName="/xl/pivotTables/pivotTable45.xml"/>
  <Override ContentType="application/vnd.openxmlformats-officedocument.spreadsheetml.pivotTable+xml" PartName="/xl/pivotTables/pivotTable71.xml"/>
  <Override ContentType="application/vnd.openxmlformats-officedocument.spreadsheetml.pivotTable+xml" PartName="/xl/pivotTables/pivotTable103.xml"/>
  <Override ContentType="application/vnd.openxmlformats-officedocument.spreadsheetml.pivotTable+xml" PartName="/xl/pivotTables/pivotTable88.xml"/>
  <Override ContentType="application/vnd.openxmlformats-officedocument.spreadsheetml.pivotTable+xml" PartName="/xl/pivotTables/pivotTable112.xml"/>
  <Override ContentType="application/vnd.openxmlformats-officedocument.spreadsheetml.pivotTable+xml" PartName="/xl/pivotTables/pivotTable101.xml"/>
  <Override ContentType="application/vnd.openxmlformats-officedocument.spreadsheetml.pivotTable+xml" PartName="/xl/pivotTables/pivotTable13.xml"/>
  <Override ContentType="application/vnd.openxmlformats-officedocument.spreadsheetml.pivotTable+xml" PartName="/xl/pivotTables/pivotTable37.xml"/>
  <Override ContentType="application/vnd.openxmlformats-officedocument.spreadsheetml.pivotTable+xml" PartName="/xl/pivotTables/pivotTable86.xml"/>
  <Override ContentType="application/vnd.openxmlformats-officedocument.spreadsheetml.pivotTable+xml" PartName="/xl/pivotTables/pivotTable43.xml"/>
  <Override ContentType="application/vnd.openxmlformats-officedocument.spreadsheetml.pivotTable+xml" PartName="/xl/pivotTables/pivotTable56.xml"/>
  <Override ContentType="application/vnd.openxmlformats-officedocument.spreadsheetml.pivotTable+xml" PartName="/xl/pivotTables/pivotTable30.xml"/>
  <Override ContentType="application/vnd.openxmlformats-officedocument.spreadsheetml.pivotTable+xml" PartName="/xl/pivotTables/pivotTable73.xml"/>
  <Override ContentType="application/vnd.openxmlformats-officedocument.spreadsheetml.pivotTable+xml" PartName="/xl/pivotTables/pivotTable2.xml"/>
  <Override ContentType="application/vnd.openxmlformats-officedocument.spreadsheetml.pivotTable+xml" PartName="/xl/pivotTables/pivotTable99.xml"/>
  <Override ContentType="application/vnd.openxmlformats-officedocument.spreadsheetml.pivotTable+xml" PartName="/xl/pivotTables/pivotTable60.xml"/>
  <Override ContentType="application/vnd.openxmlformats-officedocument.spreadsheetml.pivotTable+xml" PartName="/xl/pivotTables/pivotTable114.xml"/>
  <Override ContentType="application/vnd.openxmlformats-officedocument.spreadsheetml.pivotTable+xml" PartName="/xl/pivotTables/pivotTable9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Page" sheetId="1" r:id="rId4"/>
    <sheet state="visible" name="Item List" sheetId="2" r:id="rId5"/>
    <sheet state="visible" name="Machine List" sheetId="3" r:id="rId6"/>
    <sheet state="hidden" name="Item Helper Sheet" sheetId="4" r:id="rId7"/>
    <sheet state="visible" name="Machine Helper Sheet" sheetId="5" r:id="rId8"/>
    <sheet state="hidden" name="Recipe Templates" sheetId="6" r:id="rId9"/>
    <sheet state="hidden" name="Template Recipe Line" sheetId="7" r:id="rId10"/>
    <sheet state="hidden" name="Poly SI Silicon" sheetId="8" r:id="rId11"/>
    <sheet state="visible" name="Diesel -&gt; CBD" sheetId="9" r:id="rId12"/>
    <sheet state="hidden" name="Bio Diesel -&gt; CBD" sheetId="10" r:id="rId13"/>
    <sheet state="hidden" name="HOG" sheetId="11" r:id="rId14"/>
    <sheet state="hidden" name="HOG wChanges" sheetId="12" r:id="rId15"/>
    <sheet state="visible" name="Nitrobenzene" sheetId="13" r:id="rId16"/>
    <sheet state="hidden" name="LFTR" sheetId="14" r:id="rId17"/>
    <sheet state="visible" name="Circuits for Assline" sheetId="15" r:id="rId18"/>
    <sheet state="visible" name="Platline" sheetId="16" r:id="rId19"/>
  </sheets>
  <definedNames/>
  <calcPr/>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 cacheId="15" r:id="rId35"/>
    <pivotCache cacheId="16" r:id="rId36"/>
    <pivotCache cacheId="17" r:id="rId37"/>
    <pivotCache cacheId="18" r:id="rId38"/>
    <pivotCache cacheId="19" r:id="rId39"/>
    <pivotCache cacheId="20" r:id="rId40"/>
    <pivotCache cacheId="21" r:id="rId41"/>
    <pivotCache cacheId="22" r:id="rId42"/>
    <pivotCache cacheId="23" r:id="rId43"/>
    <pivotCache cacheId="24" r:id="rId44"/>
    <pivotCache cacheId="25" r:id="rId45"/>
    <pivotCache cacheId="26" r:id="rId46"/>
    <pivotCache cacheId="27" r:id="rId47"/>
    <pivotCache cacheId="28" r:id="rId48"/>
    <pivotCache cacheId="29" r:id="rId49"/>
    <pivotCache cacheId="30" r:id="rId50"/>
    <pivotCache cacheId="31" r:id="rId51"/>
    <pivotCache cacheId="32" r:id="rId52"/>
    <pivotCache cacheId="33" r:id="rId53"/>
    <pivotCache cacheId="34" r:id="rId54"/>
    <pivotCache cacheId="35" r:id="rId55"/>
    <pivotCache cacheId="36" r:id="rId56"/>
    <pivotCache cacheId="37" r:id="rId57"/>
    <pivotCache cacheId="38" r:id="rId58"/>
    <pivotCache cacheId="39" r:id="rId59"/>
    <pivotCache cacheId="40" r:id="rId60"/>
    <pivotCache cacheId="41" r:id="rId61"/>
    <pivotCache cacheId="42" r:id="rId62"/>
    <pivotCache cacheId="43" r:id="rId63"/>
    <pivotCache cacheId="44" r:id="rId64"/>
    <pivotCache cacheId="45" r:id="rId65"/>
    <pivotCache cacheId="46" r:id="rId66"/>
    <pivotCache cacheId="47" r:id="rId67"/>
    <pivotCache cacheId="48" r:id="rId68"/>
    <pivotCache cacheId="49" r:id="rId69"/>
    <pivotCache cacheId="50" r:id="rId70"/>
    <pivotCache cacheId="51" r:id="rId71"/>
    <pivotCache cacheId="52" r:id="rId72"/>
    <pivotCache cacheId="53" r:id="rId73"/>
    <pivotCache cacheId="54" r:id="rId74"/>
    <pivotCache cacheId="55" r:id="rId75"/>
    <pivotCache cacheId="56" r:id="rId76"/>
    <pivotCache cacheId="57" r:id="rId77"/>
    <pivotCache cacheId="58" r:id="rId78"/>
    <pivotCache cacheId="59" r:id="rId79"/>
    <pivotCache cacheId="60" r:id="rId80"/>
    <pivotCache cacheId="61" r:id="rId81"/>
    <pivotCache cacheId="62" r:id="rId82"/>
    <pivotCache cacheId="63" r:id="rId83"/>
    <pivotCache cacheId="64" r:id="rId84"/>
    <pivotCache cacheId="65" r:id="rId85"/>
    <pivotCache cacheId="66" r:id="rId86"/>
    <pivotCache cacheId="67" r:id="rId87"/>
    <pivotCache cacheId="68" r:id="rId88"/>
    <pivotCache cacheId="69" r:id="rId89"/>
    <pivotCache cacheId="70" r:id="rId90"/>
    <pivotCache cacheId="71" r:id="rId91"/>
    <pivotCache cacheId="72" r:id="rId92"/>
    <pivotCache cacheId="73" r:id="rId93"/>
    <pivotCache cacheId="74" r:id="rId94"/>
    <pivotCache cacheId="75" r:id="rId95"/>
    <pivotCache cacheId="76" r:id="rId96"/>
    <pivotCache cacheId="77" r:id="rId97"/>
    <pivotCache cacheId="78" r:id="rId98"/>
    <pivotCache cacheId="79" r:id="rId99"/>
    <pivotCache cacheId="80" r:id="rId10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Controller needs IV machine (100000), the rest of the materials is roughly equivalent to one IV machine (2 IV circuits and 4x tungsten cables) (100000), the other casings need Staballoy and Titanium Gearbox Casings (I consider 100000)
100000 * 3 = 300000 total</t>
      </text>
    </comment>
    <comment authorId="0" ref="I18">
      <text>
        <t xml:space="preserve">Controller recipe equivalent to expensive HV machine but with EV circuits (4000). Casing count varies with recipe, at (7*output count - 5).That converts to circuitless cost of 7*O-5 HV machines (1000 each). I consider the circuitless cost to be half the total cost.</t>
      </text>
    </comment>
    <comment authorId="0" ref="I20">
      <text>
        <t xml:space="preserve">The EBF is hard to even estimate, since the cost of every hatch is significant in LV. I decided to leave the base value at 1 HV machine (1000) and not include the coils, which are calculated separately alongside the energy hatch.</t>
      </text>
    </comment>
    <comment authorId="0" ref="I33">
      <text>
        <t xml:space="preserve">6 IV machines (600000) + cheap casings and some Thorium 232 (I consider 400000 due to difficulty of processing)
600000 + 400000 = 1000000 </t>
      </text>
    </comment>
    <comment authorId="0" ref="I35">
      <text>
        <t xml:space="preserve">EV machine (10000) + components in controller recipe equivalent to EV machine (10000) + a bit of Tungsten Dust for casings alongside Titanium (I consider 20000)
10000 + 10000 + 20000 = 40000</t>
      </text>
    </comment>
    <comment authorId="0" ref="I36">
      <text>
        <t xml:space="preserve">EV machine (10000) + controller recipe equivalent to EV machine (10000) + cheap HV casings (I consider 50000)
10000 + 10000 + 5000 = 25000</t>
      </text>
    </comment>
    <comment authorId="0" ref="I38">
      <text>
        <t xml:space="preserve">Controller recipe components equivalent to EV machine (10000) + some Tungsten Dust for casings (I consider 10000)
10000 + 10000 = 20000</t>
      </text>
    </comment>
    <comment authorId="0" ref="I39">
      <text>
        <t xml:space="preserve">IV machine (100000) + controller recipe components equivalent to EV machine (10000) + 14 casings using EV GT++ materials (I consider 20000)
100000 + 10000 + 20000 = 130000</t>
      </text>
    </comment>
    <comment authorId="0" ref="I42">
      <text>
        <t xml:space="preserve">Controller needs 2 DT Controllers, 8 IV circuits, 32 EV circuits, 16 IV casings, a few stacks of Nitinol and a stack of Arcanite. This equates to around 16 IV machines (1600000). plus the large amount of Arcanite, which I value at 1400000 compared to 400000 for the 4 ingots needed for the LPF.
Casings are exactly the same as Distillation Tower (500(7O-5)).</t>
      </text>
    </comment>
    <comment authorId="0" ref="I43">
      <text>
        <t xml:space="preserve">Controller needs 2 DT Controllers, 8 IV circuits, 32 EV circuits, 16 IV casings, a few stacks of Nitinol and a stack of Arcanite. This equates to around 16 IV machines (1600000). plus the large amount of Arcanite, which I value at 1400000 compared to 400000 for the 4 ingots needed for the LPF.
Casings are exactly the same as Distillation Tower (500(7O-5)).
The Distillus Chip used to upgrade to Tier 2 is very cheap and its cost is negligible.</t>
      </text>
    </comment>
    <comment authorId="0" ref="I44">
      <text>
        <t xml:space="preserve">IV machine (100000) + controller recipe equivalent to cheap IV machine (100000), casings free
100000 * 2 = 200000</t>
      </text>
    </comment>
    <comment authorId="0" ref="I45">
      <text>
        <t xml:space="preserve">Controller needs IV machine (100000), controller recipe equivalent to cheap IV machine (100000), the other casings need Staballoy and EV GT++ materials (I consider 30000)
100000 * 2 + 30000 = 230000 total</t>
      </text>
    </comment>
    <comment authorId="0" ref="I46">
      <text>
        <t xml:space="preserve">Controller needs IV machine (100000), controller recipe equivalent to cheap IV machine (100000), the other casings need Staballoy and a good number of HV circuits (I consider 100000)
100000 * 3 = 300000 </t>
      </text>
    </comment>
    <comment authorId="0" ref="I47">
      <text>
        <t xml:space="preserve">Controller needs IV machine (100000), controller recipe equivalent to expensive IV machine (200000), the other casings are pretty cheap (I consider 10000)
100000 * 3  + 10000 = 310000 </t>
      </text>
    </comment>
    <comment authorId="0" ref="I48">
      <text>
        <t xml:space="preserve">Total structure cost includes 750 Titanium and 996 Tungstensteel ingots, amongst other materials. That converts to circuitless cost of 94 EV machines (940000) and 124 IV machines (12400000). I consider the circuitless cost to be half the total cost.
470000  + 6200000 = 6670000</t>
      </text>
    </comment>
    <comment authorId="0" ref="I51">
      <text>
        <t xml:space="preserve">Controller needs IV machine (100000), controller recipe equivalent to cheap IV machine (100000), the other casings need Staballoy, EV GT++ materials and 2 Titanium Turbine Casings (I consider 50000)
100000 * 2 + 50000 = 250000 total</t>
      </text>
    </comment>
    <comment authorId="0" ref="I54">
      <text>
        <t xml:space="preserve">Controller needs HV machine (1000), controller recipe equivalent to cheap HV machine (1000), the other casings need MV GT++ materials, but the multiblock is large for HV, at 5x3x5 (I consider 1000)
1000 * 2 = 3000 total</t>
      </text>
    </comment>
    <comment authorId="0" ref="I60">
      <text>
        <t xml:space="preserve">Controller recipe equivalent to expensive HV machine (2000) + PTFE requirements (I consider 2000)
2000 + 2000 = 4000</t>
      </text>
    </comment>
    <comment authorId="0" ref="I68">
      <text>
        <t xml:space="preserve">Controller recipe equivalent to expensive HV machine (2000) and casings need 168 Stainless Steel ingots. That converts to circuitless cost of 21 HV machines (21000). I consider the circuitless cost to be half the total cost. It also uses 16 heating coil casings, like the EBF.
2000 + 11500 + 16*coil = 13500+16C</t>
      </text>
    </comment>
    <comment authorId="0" ref="I85">
      <text>
        <t xml:space="preserve">Very similar to the GT++ Sifter Multi, but with IV circuits instead of HV in the controller, which I consider as an extra 2000 alongside the extra amount of cheap casings.</t>
      </text>
    </comment>
  </commentList>
</comments>
</file>

<file path=xl/sharedStrings.xml><?xml version="1.0" encoding="utf-8"?>
<sst xmlns="http://schemas.openxmlformats.org/spreadsheetml/2006/main" count="10967" uniqueCount="871">
  <si>
    <t>Author:</t>
  </si>
  <si>
    <t>Steelux</t>
  </si>
  <si>
    <t>Issues:</t>
  </si>
  <si>
    <t>Machine naming conventions: Chemical Reactor, Large Chemical Reactor or LCR? Mixer, Industrial Mixing Machine or IMM?</t>
  </si>
  <si>
    <t>There's a difference between singles and multis, and both need to be easily identifiable, but not all acronyms are known</t>
  </si>
  <si>
    <t>Whether it's a single or a multi, it has to be clear which one it is</t>
  </si>
  <si>
    <t>Item</t>
  </si>
  <si>
    <t>GT Tier Number</t>
  </si>
  <si>
    <t>Importance</t>
  </si>
  <si>
    <t>Rarity</t>
  </si>
  <si>
    <t>1,2-Dimethylbenzene</t>
  </si>
  <si>
    <t>1,3-Dimethylbenzene</t>
  </si>
  <si>
    <t>1,4-Dimethylbenzene</t>
  </si>
  <si>
    <t>Acetic Acid</t>
  </si>
  <si>
    <t>Acetone</t>
  </si>
  <si>
    <t>Acidic Iridium Solution</t>
  </si>
  <si>
    <t>Acidic Osmium Solution</t>
  </si>
  <si>
    <t>Aluminium Ingot</t>
  </si>
  <si>
    <t>Aluminium Foil</t>
  </si>
  <si>
    <t>Aluminium Frame Box</t>
  </si>
  <si>
    <t>Ammonia</t>
  </si>
  <si>
    <t>Ammonium Bifluoride</t>
  </si>
  <si>
    <t>Ammonium Chloride</t>
  </si>
  <si>
    <t>Ammonium Tetrafluoroberyllate</t>
  </si>
  <si>
    <t>Annealed Copper Ingot</t>
  </si>
  <si>
    <t>Annealed Copper Wire</t>
  </si>
  <si>
    <t>Anti-Knock Agent</t>
  </si>
  <si>
    <t>Aqua Regia</t>
  </si>
  <si>
    <t>Argon</t>
  </si>
  <si>
    <t>Ashes</t>
  </si>
  <si>
    <t>Benzene</t>
  </si>
  <si>
    <t>Beryllium Dust</t>
  </si>
  <si>
    <t>Beryllium Fluoride Dust</t>
  </si>
  <si>
    <t>Beryllium Fluoride Fluid</t>
  </si>
  <si>
    <t>Beryllium Hydroxide Dust</t>
  </si>
  <si>
    <t>Beryllium Hydroxide Fluid</t>
  </si>
  <si>
    <t>Bio Diesel</t>
  </si>
  <si>
    <t>Butadiene</t>
  </si>
  <si>
    <t>Butane</t>
  </si>
  <si>
    <t>Butene</t>
  </si>
  <si>
    <t>Calcium Dust</t>
  </si>
  <si>
    <t>Calcium Chloride Dust</t>
  </si>
  <si>
    <t>Calcium Chloride Fluid</t>
  </si>
  <si>
    <t>Carbon Dioxide</t>
  </si>
  <si>
    <t>Carbon Dust</t>
  </si>
  <si>
    <t>Carbon Monoxide</t>
  </si>
  <si>
    <t>Cetane-Boosted Diesel</t>
  </si>
  <si>
    <t>Charcoal</t>
  </si>
  <si>
    <t>Chlorine</t>
  </si>
  <si>
    <t>Cooked Zirconium Tetrachloride</t>
  </si>
  <si>
    <t>Copper Ingot</t>
  </si>
  <si>
    <t>CPU Wafer</t>
  </si>
  <si>
    <t>Creosote Oil</t>
  </si>
  <si>
    <t>Crude Rhodium Metal Dust</t>
  </si>
  <si>
    <t>Diesel</t>
  </si>
  <si>
    <t>Diluted Sulfuric Acid</t>
  </si>
  <si>
    <t>Distilled Water</t>
  </si>
  <si>
    <t>Ender Eye</t>
  </si>
  <si>
    <t>Energetic Alloy Foil</t>
  </si>
  <si>
    <t>Energetic Alloy Ingot</t>
  </si>
  <si>
    <t>Epoxid Fluid</t>
  </si>
  <si>
    <t>Ethane</t>
  </si>
  <si>
    <t>Ethanol</t>
  </si>
  <si>
    <t>Ethenone</t>
  </si>
  <si>
    <t>Ethylene</t>
  </si>
  <si>
    <t>Fiber-Reinforced Circuit Board</t>
  </si>
  <si>
    <t>Fiber-Reinforced Epoxy Resin</t>
  </si>
  <si>
    <t>Fine Annealed Copper Wire</t>
  </si>
  <si>
    <t>Fine Platinum Wire</t>
  </si>
  <si>
    <t>Fish</t>
  </si>
  <si>
    <t>Fish Oil</t>
  </si>
  <si>
    <t>Fluorinated UF6</t>
  </si>
  <si>
    <t>Fluorine</t>
  </si>
  <si>
    <t>Formic Acid</t>
  </si>
  <si>
    <t>Gallium Arsenide Dust</t>
  </si>
  <si>
    <t>Gallium Arsenide Fluid</t>
  </si>
  <si>
    <t>Gallium Foil</t>
  </si>
  <si>
    <t>Gallium Ingot</t>
  </si>
  <si>
    <t>Gasoline</t>
  </si>
  <si>
    <t>Glowstone Fluid</t>
  </si>
  <si>
    <t>Glycerol</t>
  </si>
  <si>
    <t>Heavy Fuel</t>
  </si>
  <si>
    <t>Helium</t>
  </si>
  <si>
    <t>High Octane Gasoline</t>
  </si>
  <si>
    <t>Hot Ruthenium Tetroxide Solution</t>
  </si>
  <si>
    <t>Hydrochloric Acid</t>
  </si>
  <si>
    <t>Hydrofluoric Acid</t>
  </si>
  <si>
    <t>Hydrogen</t>
  </si>
  <si>
    <t>Hydrogen Sulfide</t>
  </si>
  <si>
    <t>Hydroxide</t>
  </si>
  <si>
    <t>Impure Molten Salt Base</t>
  </si>
  <si>
    <t>Industrial Hydrofluoric Acid</t>
  </si>
  <si>
    <t>Iridium Chloride Dust</t>
  </si>
  <si>
    <t>Iridium Dioxide Dust</t>
  </si>
  <si>
    <t>Iridium Dust</t>
  </si>
  <si>
    <t>Iridium Ingot</t>
  </si>
  <si>
    <t>Iridium Metal Residue Dust</t>
  </si>
  <si>
    <t>Iron III Chloride</t>
  </si>
  <si>
    <t>Krypton</t>
  </si>
  <si>
    <t>Leach Residue Dust</t>
  </si>
  <si>
    <t>LFTR Fuel 1</t>
  </si>
  <si>
    <t>LFTR Fuel 2</t>
  </si>
  <si>
    <t>LFTR Fuel 3</t>
  </si>
  <si>
    <t>LFTR Fuel Base</t>
  </si>
  <si>
    <t>LHC Light Fuel</t>
  </si>
  <si>
    <t>LHC Naphtha</t>
  </si>
  <si>
    <t>Light Fuel</t>
  </si>
  <si>
    <t>Lithium Dust</t>
  </si>
  <si>
    <t>Lithium Fluoride Dust</t>
  </si>
  <si>
    <t>Lithium Fluoride Fluid</t>
  </si>
  <si>
    <t>Lithium Hydroxide Dust</t>
  </si>
  <si>
    <t>Lithium Hydroxide Fluid</t>
  </si>
  <si>
    <t>Lithium Tetrafluoroberyllate Dust</t>
  </si>
  <si>
    <t>Lithium Tetrafluoroberyllate Fluid</t>
  </si>
  <si>
    <t>Lithium-7</t>
  </si>
  <si>
    <t>Lubricant</t>
  </si>
  <si>
    <t>Master Quantumcomputer</t>
  </si>
  <si>
    <t>Metallic Sludge Residue Dust</t>
  </si>
  <si>
    <t>Methane</t>
  </si>
  <si>
    <t>Methanol</t>
  </si>
  <si>
    <t>More Advanced Circuit Board</t>
  </si>
  <si>
    <t>MTBE Reaction Mixture</t>
  </si>
  <si>
    <t>Nanocomponent CPU</t>
  </si>
  <si>
    <t>NanoCPU Wafer</t>
  </si>
  <si>
    <t>Naphtha</t>
  </si>
  <si>
    <t>Naphthenic Acid</t>
  </si>
  <si>
    <t>Neodymium Ingot</t>
  </si>
  <si>
    <t>Neodymium Ring</t>
  </si>
  <si>
    <t>Neon</t>
  </si>
  <si>
    <t>Neptunium Hexafluoride</t>
  </si>
  <si>
    <t>Nitric Acid</t>
  </si>
  <si>
    <t>Nitrobenzene</t>
  </si>
  <si>
    <t>Nitrogen</t>
  </si>
  <si>
    <t>Nitrogen Dioxide</t>
  </si>
  <si>
    <t>Nitrous Oxide</t>
  </si>
  <si>
    <t>NOR Chip</t>
  </si>
  <si>
    <t>NOR Wafer</t>
  </si>
  <si>
    <t>Octane</t>
  </si>
  <si>
    <t>Oil</t>
  </si>
  <si>
    <t>Osmium Ingot</t>
  </si>
  <si>
    <t>Osmium Dust</t>
  </si>
  <si>
    <t>Osmium Solution</t>
  </si>
  <si>
    <t>Oxygen</t>
  </si>
  <si>
    <t>Palladium Dust</t>
  </si>
  <si>
    <t>Palladium Ingot</t>
  </si>
  <si>
    <t>Palladium Salt Dust</t>
  </si>
  <si>
    <t>PaMP Dust</t>
  </si>
  <si>
    <t>Phenol</t>
  </si>
  <si>
    <t>Phosphorous Dust</t>
  </si>
  <si>
    <t xml:space="preserve">Phosphorous UF6 </t>
  </si>
  <si>
    <t>Phosphorous-doped Boule</t>
  </si>
  <si>
    <t>Phosphorous-doped Wafer</t>
  </si>
  <si>
    <t>Platinum Ingot</t>
  </si>
  <si>
    <t>Platinum Concentrate</t>
  </si>
  <si>
    <t>Platinum Dust</t>
  </si>
  <si>
    <t>Platinum Residue Dust</t>
  </si>
  <si>
    <t>Platinum Salt Dust</t>
  </si>
  <si>
    <t>Polyethylene</t>
  </si>
  <si>
    <t>Potassium Disulfate Dust</t>
  </si>
  <si>
    <t>Potassium Disulfate Fluid</t>
  </si>
  <si>
    <t>Potassium Fluid</t>
  </si>
  <si>
    <t>Propane</t>
  </si>
  <si>
    <t>Propene</t>
  </si>
  <si>
    <t>Protactinium Dust</t>
  </si>
  <si>
    <t>PTFE</t>
  </si>
  <si>
    <t>PtMP Dust</t>
  </si>
  <si>
    <t>PVC Fluid</t>
  </si>
  <si>
    <t>PVC Sheet</t>
  </si>
  <si>
    <t>QBit Processing Unit</t>
  </si>
  <si>
    <t>QBit Wafer</t>
  </si>
  <si>
    <t>Quantum Eye</t>
  </si>
  <si>
    <t>Quantumprocessor</t>
  </si>
  <si>
    <t>Quantumprocessor Assembly</t>
  </si>
  <si>
    <t>Quantumprocessor Mainframe</t>
  </si>
  <si>
    <t>Radon</t>
  </si>
  <si>
    <t>RAM Chip</t>
  </si>
  <si>
    <t>RAM Wafer</t>
  </si>
  <si>
    <t>Rarest Metal Residue</t>
  </si>
  <si>
    <t>Raw Carbon Fibre</t>
  </si>
  <si>
    <t>Raw Gasoline</t>
  </si>
  <si>
    <t>Raw Oil</t>
  </si>
  <si>
    <t>Raw Silicon Dust</t>
  </si>
  <si>
    <t>Refined Platinum Salt Dust</t>
  </si>
  <si>
    <t>Refinery Gas</t>
  </si>
  <si>
    <t>Reprecipitated Palladium Dust</t>
  </si>
  <si>
    <t>Reprecipitated Platinum Dust</t>
  </si>
  <si>
    <t>Reprecipitated Rhodium Dust</t>
  </si>
  <si>
    <t>Rhodium Dust</t>
  </si>
  <si>
    <t>Rhodium Filter Cake Dust</t>
  </si>
  <si>
    <t>Rhodium Filter Cake Solution</t>
  </si>
  <si>
    <t>Rhodium Ingot</t>
  </si>
  <si>
    <t>Rhodium Nitrate Dust</t>
  </si>
  <si>
    <t>Rhodium Salt Dust</t>
  </si>
  <si>
    <t>Rhodium Salt Solution</t>
  </si>
  <si>
    <t>Rhodium Sulfate</t>
  </si>
  <si>
    <t>Rhodium Sulfate Solution</t>
  </si>
  <si>
    <t>Ruthenium Dust</t>
  </si>
  <si>
    <t>Ruthenium Ingot</t>
  </si>
  <si>
    <t>Ruthenium Tetroxide Dust</t>
  </si>
  <si>
    <t>Ruthenium Tetroxide Fluid</t>
  </si>
  <si>
    <t>Ruthenium Tetroxide Solution</t>
  </si>
  <si>
    <t>Salt</t>
  </si>
  <si>
    <t>Salt Water</t>
  </si>
  <si>
    <t>Saltpeter</t>
  </si>
  <si>
    <t>Selenium Hexafluoride</t>
  </si>
  <si>
    <t>Silane</t>
  </si>
  <si>
    <t>Silicon Poly SI</t>
  </si>
  <si>
    <t>Silicon Tetrachloride</t>
  </si>
  <si>
    <t>Sludge Residue Dust</t>
  </si>
  <si>
    <t>SMD Capacitor</t>
  </si>
  <si>
    <t>SMD Diode</t>
  </si>
  <si>
    <t>SMD Inductor</t>
  </si>
  <si>
    <t>SMD Transistor</t>
  </si>
  <si>
    <t>Sodium Dust</t>
  </si>
  <si>
    <t>Sodium Fluoride Dust</t>
  </si>
  <si>
    <t>Sodium Fluoride Fluid</t>
  </si>
  <si>
    <t>Sodium Hydroxide Dust</t>
  </si>
  <si>
    <t>Sodium Nitrate Dust</t>
  </si>
  <si>
    <t>Sodium Ruthenate Dust</t>
  </si>
  <si>
    <t>Soldering Alloy</t>
  </si>
  <si>
    <t>Sparged T Salt</t>
  </si>
  <si>
    <t>Sparged TB Salt</t>
  </si>
  <si>
    <t>Sparged U Salt</t>
  </si>
  <si>
    <t>SSC Naphtha</t>
  </si>
  <si>
    <t>SSC Refinery Gas</t>
  </si>
  <si>
    <t>Stable Molten Salt Base</t>
  </si>
  <si>
    <t>Steam</t>
  </si>
  <si>
    <t>Sulfuric Acid</t>
  </si>
  <si>
    <t>Sulfuric Gas</t>
  </si>
  <si>
    <t>Sulfuric Heavy Fuel</t>
  </si>
  <si>
    <t>Sulfuric Light Fuel</t>
  </si>
  <si>
    <t>Sulfuric Naphtha</t>
  </si>
  <si>
    <t>Technetium Hexafluoride</t>
  </si>
  <si>
    <t>Tetranitromethane</t>
  </si>
  <si>
    <t>Thin PVC Sheet</t>
  </si>
  <si>
    <t>Thorium Depleted Salt</t>
  </si>
  <si>
    <t>Thorium Tetrafluoride</t>
  </si>
  <si>
    <t>Thorium-Beryllium Depleted Salt</t>
  </si>
  <si>
    <t>Toluene</t>
  </si>
  <si>
    <t>Trichlorosilane</t>
  </si>
  <si>
    <t>Uranium Depleted Salt</t>
  </si>
  <si>
    <t>Uranium Hexafluoride</t>
  </si>
  <si>
    <t>Uranium Tetrafluoride</t>
  </si>
  <si>
    <t>Uranium-233 Dust</t>
  </si>
  <si>
    <t>Uranium-233 Fluid</t>
  </si>
  <si>
    <t>Uranium-235 Dust</t>
  </si>
  <si>
    <t>Uranium-235 Fluid</t>
  </si>
  <si>
    <t>Wafer</t>
  </si>
  <si>
    <t>Water</t>
  </si>
  <si>
    <t>Wood Log</t>
  </si>
  <si>
    <t>Wood Tar</t>
  </si>
  <si>
    <t>Xenon</t>
  </si>
  <si>
    <t>Zinc Ingot</t>
  </si>
  <si>
    <t>Zinc Chloride</t>
  </si>
  <si>
    <t>Zinc Dust</t>
  </si>
  <si>
    <t>Zinc Sulfate Dust</t>
  </si>
  <si>
    <t>Zirconium Dust</t>
  </si>
  <si>
    <t>Zirconium Pellet</t>
  </si>
  <si>
    <t>Zirconium Tetrachloride</t>
  </si>
  <si>
    <t>Zirconium Tetrafluoride Dust</t>
  </si>
  <si>
    <t>Zirconium Tetrafluoride Fluid</t>
  </si>
  <si>
    <t>Palladium Enriched Ammonia</t>
  </si>
  <si>
    <t>Sodium Formate</t>
  </si>
  <si>
    <t>Sodium Sulfate</t>
  </si>
  <si>
    <t>Potassium Dust</t>
  </si>
  <si>
    <t>Sulfur Dust</t>
  </si>
  <si>
    <t>Machine</t>
  </si>
  <si>
    <t>Parallel Count</t>
  </si>
  <si>
    <t>Speed Modifier</t>
  </si>
  <si>
    <t>Energy Modifier</t>
  </si>
  <si>
    <t>Multi Type</t>
  </si>
  <si>
    <t>Single Energy Hatch</t>
  </si>
  <si>
    <t>Needs to Craft</t>
  </si>
  <si>
    <t>Starting Cost</t>
  </si>
  <si>
    <t>Machine Cost</t>
  </si>
  <si>
    <t>Alloy Blast Smelter</t>
  </si>
  <si>
    <t>Multi</t>
  </si>
  <si>
    <t>No</t>
  </si>
  <si>
    <t>T2 Rocket</t>
  </si>
  <si>
    <t>Alloy Smelter</t>
  </si>
  <si>
    <t>Single</t>
  </si>
  <si>
    <t>Tier</t>
  </si>
  <si>
    <t>1T</t>
  </si>
  <si>
    <t>Arc Furnace</t>
  </si>
  <si>
    <t>Assembling Line</t>
  </si>
  <si>
    <t>Assembling Machine</t>
  </si>
  <si>
    <t>2T</t>
  </si>
  <si>
    <t>Autoclave</t>
  </si>
  <si>
    <t>Bending Machine</t>
  </si>
  <si>
    <t>Brewery</t>
  </si>
  <si>
    <t>Canning Machine</t>
  </si>
  <si>
    <t>Centrifuge</t>
  </si>
  <si>
    <t>Chemical Bath</t>
  </si>
  <si>
    <t>Chemical Reactor</t>
  </si>
  <si>
    <t>Compressor</t>
  </si>
  <si>
    <t>Cutting Machine</t>
  </si>
  <si>
    <t>Cyclotron</t>
  </si>
  <si>
    <t>Dehydrator</t>
  </si>
  <si>
    <t>Distillation Tower</t>
  </si>
  <si>
    <t>4000+500(7O-5)</t>
  </si>
  <si>
    <t>Distillery</t>
  </si>
  <si>
    <t>EBF</t>
  </si>
  <si>
    <t>Electric Furnace</t>
  </si>
  <si>
    <t>Electrolyzer</t>
  </si>
  <si>
    <t>Electromagnetic Separator</t>
  </si>
  <si>
    <t>Extractor</t>
  </si>
  <si>
    <t>Extruder</t>
  </si>
  <si>
    <t xml:space="preserve">Fermenter </t>
  </si>
  <si>
    <t>Fluid Canner</t>
  </si>
  <si>
    <t>Fluid Extractor</t>
  </si>
  <si>
    <t>Fluid Heater</t>
  </si>
  <si>
    <t>Fluid Solidifier</t>
  </si>
  <si>
    <t>Forge Hammer</t>
  </si>
  <si>
    <t>Forming Press</t>
  </si>
  <si>
    <t>GT++ 9-in-1</t>
  </si>
  <si>
    <t>GT++ Alloy Smelter Multi</t>
  </si>
  <si>
    <t>1T*C</t>
  </si>
  <si>
    <t>1 + 0.05C</t>
  </si>
  <si>
    <t>GT++ Bender/Press Multi</t>
  </si>
  <si>
    <t>4T</t>
  </si>
  <si>
    <t>T1 Rocket</t>
  </si>
  <si>
    <t>GT++ Centrifuge Multi</t>
  </si>
  <si>
    <t>6T</t>
  </si>
  <si>
    <t>GT++ Chisel Multi</t>
  </si>
  <si>
    <t>16T</t>
  </si>
  <si>
    <t>GT++ Coke Oven</t>
  </si>
  <si>
    <t>GT++ Cutting Machine Multi</t>
  </si>
  <si>
    <t>GT++ DT Tier 1</t>
  </si>
  <si>
    <t>GT++ DT Tier 2</t>
  </si>
  <si>
    <t>GT++ Distillery Multi Tier 1</t>
  </si>
  <si>
    <t>3000000+500(7O-5)</t>
  </si>
  <si>
    <t>GT++ Distillery Multi Tier 2</t>
  </si>
  <si>
    <t>8T</t>
  </si>
  <si>
    <t>GT++ Electrolyzer Multi</t>
  </si>
  <si>
    <t>GT++ Extruder Multi</t>
  </si>
  <si>
    <t>GT++ Fluid Heater Multi</t>
  </si>
  <si>
    <t>GT++ Forge Hammer Multi</t>
  </si>
  <si>
    <t>GT++ Large Heat Exchanger</t>
  </si>
  <si>
    <t>GT++ Macerator Multi Tier 1</t>
  </si>
  <si>
    <t>GT++ Macerator Multi Tier 2</t>
  </si>
  <si>
    <t xml:space="preserve">GT++ Mixer Multi </t>
  </si>
  <si>
    <t>GT++ Packager Multi</t>
  </si>
  <si>
    <t>GT++ Rock Breaker Multi</t>
  </si>
  <si>
    <t>GT++ Sifter Multi</t>
  </si>
  <si>
    <t>GT++ Thermal Centrifuge Multi</t>
  </si>
  <si>
    <t>GT++ Washer/Chem Bath Multi</t>
  </si>
  <si>
    <t>GT++ Wiremill Multi</t>
  </si>
  <si>
    <t>Large Heat Exchanger</t>
  </si>
  <si>
    <t>Lathe</t>
  </si>
  <si>
    <t>LCR</t>
  </si>
  <si>
    <t>LFTR</t>
  </si>
  <si>
    <t>Macerator</t>
  </si>
  <si>
    <t>Mass Fabricator</t>
  </si>
  <si>
    <t>Mega Alloy Blast Smelter</t>
  </si>
  <si>
    <t>Microwave</t>
  </si>
  <si>
    <t>Mixer</t>
  </si>
  <si>
    <t>Nuclear Salt Processing Plant</t>
  </si>
  <si>
    <t>Oil Cracking Unit</t>
  </si>
  <si>
    <t>13500 + 16C</t>
  </si>
  <si>
    <t>Ore Washing Plant</t>
  </si>
  <si>
    <t>Packager</t>
  </si>
  <si>
    <t>Polarizer</t>
  </si>
  <si>
    <t>Printer</t>
  </si>
  <si>
    <t>Reactor Fuel Processing Plant</t>
  </si>
  <si>
    <t>Recycler</t>
  </si>
  <si>
    <t>Replicator</t>
  </si>
  <si>
    <t>Rock Breaker</t>
  </si>
  <si>
    <t>Scanner</t>
  </si>
  <si>
    <t>Sifting Machine</t>
  </si>
  <si>
    <t>Sparge Tower</t>
  </si>
  <si>
    <t>Thermal Centrifuge</t>
  </si>
  <si>
    <t>Tree Growth Simulator</t>
  </si>
  <si>
    <t>Unpackager</t>
  </si>
  <si>
    <t>Volcanus</t>
  </si>
  <si>
    <t>Wiremill</t>
  </si>
  <si>
    <t>Zhuhai</t>
  </si>
  <si>
    <t>Chemical Plant</t>
  </si>
  <si>
    <t>2*P</t>
  </si>
  <si>
    <t>1+0.5C</t>
  </si>
  <si>
    <t>Laser Engraver</t>
  </si>
  <si>
    <t>Circuit Assembler</t>
  </si>
  <si>
    <t>GT Tier</t>
  </si>
  <si>
    <t>Number</t>
  </si>
  <si>
    <t>Importance Numbers</t>
  </si>
  <si>
    <t>Rarity Numbers</t>
  </si>
  <si>
    <t>(This rarity value represents the expected amount produced/demanded by progression)</t>
  </si>
  <si>
    <t xml:space="preserve">00 - ULV </t>
  </si>
  <si>
    <t>0 - No uses</t>
  </si>
  <si>
    <t>0 - No real rarity/value</t>
  </si>
  <si>
    <t>(The values chosen are arbitrary, but the idea is that high rarity materials are hard to produce, and needed in small amounts compared to low rarity materials)</t>
  </si>
  <si>
    <t>01 - LV</t>
  </si>
  <si>
    <t>1 - Unpopular side content uses</t>
  </si>
  <si>
    <t xml:space="preserve">1 - 1000+ stacks </t>
  </si>
  <si>
    <t>02 - MV</t>
  </si>
  <si>
    <t>2 - Popular side content uses</t>
  </si>
  <si>
    <t>2 - 100 to 1000 stacks</t>
  </si>
  <si>
    <t>(An idea I had to measure if the material amounts in a processing line are reasonable is to multiply material tier by rarity)</t>
  </si>
  <si>
    <t>03 - HV</t>
  </si>
  <si>
    <t>3 - Unpopular main content uses</t>
  </si>
  <si>
    <t>3 - 10 to 100 stacks</t>
  </si>
  <si>
    <t>(Since GTNH numbers naturally escalate from tier to tier, multiplying like this could represent how material amounts should compare to each other, and automatically find which materials are the most important in each line)</t>
  </si>
  <si>
    <t>04 - EV</t>
  </si>
  <si>
    <t>4 - Popular main content uses</t>
  </si>
  <si>
    <t>4 - 1 to 10 stacks</t>
  </si>
  <si>
    <t>(As an example, if Sulfuric Acid and Osmium are produced in the same proportion in a processing line, Osmium becomes the main output, since it's higher tier and rarer)</t>
  </si>
  <si>
    <t>05 - IV</t>
  </si>
  <si>
    <t>5 - Gates main progression</t>
  </si>
  <si>
    <t>5 - Less than a stack</t>
  </si>
  <si>
    <t>06 - LuV</t>
  </si>
  <si>
    <t>07 - ZPM</t>
  </si>
  <si>
    <t>08 - UV</t>
  </si>
  <si>
    <t>09 - UHV</t>
  </si>
  <si>
    <t>10 - UEV</t>
  </si>
  <si>
    <t>11 - UIV</t>
  </si>
  <si>
    <t>12 - UMV</t>
  </si>
  <si>
    <t>13 - UXV</t>
  </si>
  <si>
    <t>14 - MAX</t>
  </si>
  <si>
    <t>Machine Gate</t>
  </si>
  <si>
    <t>Cost Value</t>
  </si>
  <si>
    <t>Gate Machine Cost</t>
  </si>
  <si>
    <t>Coil Tier</t>
  </si>
  <si>
    <t>Tier Number</t>
  </si>
  <si>
    <t>Max Heat Value</t>
  </si>
  <si>
    <t>?</t>
  </si>
  <si>
    <t>00 - None</t>
  </si>
  <si>
    <t>N/A</t>
  </si>
  <si>
    <t>Steam Turbine</t>
  </si>
  <si>
    <t>01 - Cupronickel</t>
  </si>
  <si>
    <t>LV</t>
  </si>
  <si>
    <t>02 - Kanthal</t>
  </si>
  <si>
    <t>MV</t>
  </si>
  <si>
    <t>EBF (Kanthal)</t>
  </si>
  <si>
    <t>03 - Nichrome</t>
  </si>
  <si>
    <t>HV</t>
  </si>
  <si>
    <t>04 - TPV-Alloy</t>
  </si>
  <si>
    <t>EV</t>
  </si>
  <si>
    <t>05 - HSS-G</t>
  </si>
  <si>
    <t>IV</t>
  </si>
  <si>
    <t>06 - HSS-S</t>
  </si>
  <si>
    <t>Fusion Reactor Mk1</t>
  </si>
  <si>
    <t>07 - Naquadah</t>
  </si>
  <si>
    <t>LuV</t>
  </si>
  <si>
    <t>Fusion Reactor Mk2</t>
  </si>
  <si>
    <t>08 - Naq Alloy</t>
  </si>
  <si>
    <t>Fusion Reactor Mk3</t>
  </si>
  <si>
    <t>09 - Trinium</t>
  </si>
  <si>
    <t>ZPM</t>
  </si>
  <si>
    <t>10 - Elec Flux</t>
  </si>
  <si>
    <t>UV</t>
  </si>
  <si>
    <t>11 - Awak Drac</t>
  </si>
  <si>
    <t>UHV</t>
  </si>
  <si>
    <t>12 - Infinity</t>
  </si>
  <si>
    <t>UEV</t>
  </si>
  <si>
    <t>13 - Hypogen</t>
  </si>
  <si>
    <t>UIV</t>
  </si>
  <si>
    <t>14 - Eternal</t>
  </si>
  <si>
    <t>UMV</t>
  </si>
  <si>
    <t>Recipes</t>
  </si>
  <si>
    <t>Inputs</t>
  </si>
  <si>
    <t>Input(L)</t>
  </si>
  <si>
    <t>Outputs</t>
  </si>
  <si>
    <t>Output(L)</t>
  </si>
  <si>
    <t>Machine Type</t>
  </si>
  <si>
    <t>Machine Nº</t>
  </si>
  <si>
    <t>Min Tier</t>
  </si>
  <si>
    <t>EU/t</t>
  </si>
  <si>
    <t>Time (t)</t>
  </si>
  <si>
    <t>EU Cost</t>
  </si>
  <si>
    <t>OC Tier</t>
  </si>
  <si>
    <t>OC EU/t</t>
  </si>
  <si>
    <t>OC Time (t)</t>
  </si>
  <si>
    <t>OC EU Cost</t>
  </si>
  <si>
    <t>1 In/Out</t>
  </si>
  <si>
    <t>2 In/Out</t>
  </si>
  <si>
    <t>3 In/Out</t>
  </si>
  <si>
    <t>Machine Count</t>
  </si>
  <si>
    <t>Recipe 1</t>
  </si>
  <si>
    <t>Platinum</t>
  </si>
  <si>
    <t>Osmium</t>
  </si>
  <si>
    <t>A</t>
  </si>
  <si>
    <t>B</t>
  </si>
  <si>
    <t>Amount Consumed</t>
  </si>
  <si>
    <t>Demand</t>
  </si>
  <si>
    <t>Recipe 2</t>
  </si>
  <si>
    <t>TierMin</t>
  </si>
  <si>
    <t>TierOC</t>
  </si>
  <si>
    <t>Nº Overclocks</t>
  </si>
  <si>
    <t>Grand Total</t>
  </si>
  <si>
    <t>SUM of Machine Count</t>
  </si>
  <si>
    <t>Line for Silicon Poly SI using Salt (NaCl)</t>
  </si>
  <si>
    <t>&lt;- Recipes</t>
  </si>
  <si>
    <t>This line is all LV and uses Salt, which can be mined directly from OW ore, but the salt electrolysis takes up a lot of time and EU.</t>
  </si>
  <si>
    <t>Math -&gt;</t>
  </si>
  <si>
    <t>Perfect OC</t>
  </si>
  <si>
    <t>Parallels</t>
  </si>
  <si>
    <t>Recipe Tier</t>
  </si>
  <si>
    <t>OC Tier Number</t>
  </si>
  <si>
    <t>Amount Produced</t>
  </si>
  <si>
    <t>Current Output/s</t>
  </si>
  <si>
    <t>EU Cost per Output</t>
  </si>
  <si>
    <t>EU Cost per Output OC</t>
  </si>
  <si>
    <t>1: Silicon Tetrachloride</t>
  </si>
  <si>
    <t>Recipe Mult.</t>
  </si>
  <si>
    <t>Main Output</t>
  </si>
  <si>
    <t>Current Output/s OC</t>
  </si>
  <si>
    <t>Time Per Output</t>
  </si>
  <si>
    <t>Time per Output OC</t>
  </si>
  <si>
    <t>2: Silicon Poly SI</t>
  </si>
  <si>
    <t>Main Output Amount</t>
  </si>
  <si>
    <t>Desired Output/s</t>
  </si>
  <si>
    <t>Desired Time Per Output</t>
  </si>
  <si>
    <t>OC EU</t>
  </si>
  <si>
    <t>3: Salt Electrolysis</t>
  </si>
  <si>
    <t>Input Rate</t>
  </si>
  <si>
    <t>Proportion Main Output</t>
  </si>
  <si>
    <t>Input/s at Current Speed</t>
  </si>
  <si>
    <t>Input/s at Desired Speed</t>
  </si>
  <si>
    <t>MAXTime</t>
  </si>
  <si>
    <t>MAXTimeOC</t>
  </si>
  <si>
    <t>SUM of Parallels</t>
  </si>
  <si>
    <t>Line for Silicon Poly SI using Zinc Chloride (ZnCl₂)</t>
  </si>
  <si>
    <t>This line is the same as the one above but with Zinc Chloride instead of Salt. Zinc is harder to get, but it's recycled in this line. Longest recipe is 1/3 of the Salt line's longest, and total EU is less than 1/2.</t>
  </si>
  <si>
    <t>Raw Silicon</t>
  </si>
  <si>
    <t>Zinc</t>
  </si>
  <si>
    <t>3: Zinc Chloride Electrolysis</t>
  </si>
  <si>
    <t>Line for Silicon Poly SI through Trichlorosilane (2 recipes)</t>
  </si>
  <si>
    <t>This line accomplishes the same as the two above but without the Electrolyzer, while being even faster and consuming less EU, at the cost of having forced cell chemistry.</t>
  </si>
  <si>
    <t>1: Trichlorosilane</t>
  </si>
  <si>
    <t>Line for Silicon Poly SI through Silane + Trichlorosilane (6 recipes)</t>
  </si>
  <si>
    <t>This line is much longer than the others, due to transforming Trichlorosilane into Silane and Silicon Tetrachloride and processing them both. The speed and EU cost are lowest, tied with the 2-recipe line.</t>
  </si>
  <si>
    <t>2: Trichlorosilane Separation</t>
  </si>
  <si>
    <t>3: Silane to Silicon Poly SI</t>
  </si>
  <si>
    <t>4: Silicon T. to Silicon Poly SI</t>
  </si>
  <si>
    <t>5: Zinc Chloride Electrolysis</t>
  </si>
  <si>
    <t>6: Hydrochloric Acid Recovery</t>
  </si>
  <si>
    <t>Zinc Chloride is used here instead of Salt, due to the time and energy savings explained in the first two lines. The recipe multipliers cause this line to match 4 Poly SI Silicon produced, instead of 1.</t>
  </si>
  <si>
    <t>Line for Diesel</t>
  </si>
  <si>
    <t>Line for Cetane-Boosted Diesel using Diesel</t>
  </si>
  <si>
    <t>This is the Diesel processing line for powergen. It's here to compared to CBD, to gauge if it's worth upgrading the fuel.</t>
  </si>
  <si>
    <t>This is the Diesel version of Cetane-Boosted Diesel, sourced from Oil processing with additives. The other option uses Biodiesel.</t>
  </si>
  <si>
    <t>Mach. Cost Formula</t>
  </si>
  <si>
    <t>Energy Hatch Cost</t>
  </si>
  <si>
    <t>OC Energy Hatch Cost</t>
  </si>
  <si>
    <t>OC Machine Cost</t>
  </si>
  <si>
    <t>Mach. Start. Cost Form.</t>
  </si>
  <si>
    <t>Machine Start. Cost</t>
  </si>
  <si>
    <t>OC Machine Start. Cost</t>
  </si>
  <si>
    <t>Parallel Formula</t>
  </si>
  <si>
    <t>Specific Parallels</t>
  </si>
  <si>
    <t>Actual Parallels</t>
  </si>
  <si>
    <t>OC Parallels</t>
  </si>
  <si>
    <t>Sp. OC Parallels</t>
  </si>
  <si>
    <t>Act. OC Parallels</t>
  </si>
  <si>
    <t>Recipe EU/t</t>
  </si>
  <si>
    <t>Recipe Time (t)</t>
  </si>
  <si>
    <t>Mult. Time (t)</t>
  </si>
  <si>
    <t>Base Tier</t>
  </si>
  <si>
    <t>Amps per Machine</t>
  </si>
  <si>
    <t>Total EU/t Input</t>
  </si>
  <si>
    <t>Possible Parallels</t>
  </si>
  <si>
    <t>Total Parallels</t>
  </si>
  <si>
    <t>Bonused EU/t</t>
  </si>
  <si>
    <t>Consumed EU/t</t>
  </si>
  <si>
    <t>Base Time (t)</t>
  </si>
  <si>
    <t>Bonused Time (t)</t>
  </si>
  <si>
    <t>Final Time (t)</t>
  </si>
  <si>
    <t>Final EU Cost</t>
  </si>
  <si>
    <t>OC Mac. Count</t>
  </si>
  <si>
    <t>OC Amps p/Machine</t>
  </si>
  <si>
    <t>OC Total EU/t Input</t>
  </si>
  <si>
    <t>OC Poss. Parallels</t>
  </si>
  <si>
    <t>OC Total Parallels</t>
  </si>
  <si>
    <t>OC Starting EU/t</t>
  </si>
  <si>
    <t>Post-Paral. OC</t>
  </si>
  <si>
    <t>OC Machin. EU/t</t>
  </si>
  <si>
    <t>OC Total EU/t</t>
  </si>
  <si>
    <t>OC Base Time (t)</t>
  </si>
  <si>
    <t>OC Bonus Time (t)</t>
  </si>
  <si>
    <t>OC Final Time (t)</t>
  </si>
  <si>
    <t>01: Oil DT Distillation</t>
  </si>
  <si>
    <t>Base Input/s</t>
  </si>
  <si>
    <t>OC Input/s</t>
  </si>
  <si>
    <t>Desired Input/s</t>
  </si>
  <si>
    <t>Output Amount</t>
  </si>
  <si>
    <t>Output Count</t>
  </si>
  <si>
    <t>Glass Tier</t>
  </si>
  <si>
    <t>Desired Output Time</t>
  </si>
  <si>
    <t>EU Cost p/ Output</t>
  </si>
  <si>
    <t>EU Cost p/ Output OC</t>
  </si>
  <si>
    <t>Output Rate</t>
  </si>
  <si>
    <t>Base Output/s</t>
  </si>
  <si>
    <t>OC Output/s</t>
  </si>
  <si>
    <t xml:space="preserve">Desired Output/s </t>
  </si>
  <si>
    <t>02: Gas Dessulfurizing</t>
  </si>
  <si>
    <t>Yes</t>
  </si>
  <si>
    <t>Base Tier Recipes</t>
  </si>
  <si>
    <t>Overclocked Recipes</t>
  </si>
  <si>
    <t>Total Machine Count</t>
  </si>
  <si>
    <t>Total Machine Cost</t>
  </si>
  <si>
    <t>03: Naphtha Dessulfurizing</t>
  </si>
  <si>
    <t>Highest Starting Cost</t>
  </si>
  <si>
    <t>04: Light Fuel Dessulfurizing</t>
  </si>
  <si>
    <t>Fuel Type</t>
  </si>
  <si>
    <t>Fuel Value/L</t>
  </si>
  <si>
    <t>Generator Efficiency</t>
  </si>
  <si>
    <t>SUM of OC Tier Number</t>
  </si>
  <si>
    <t>SUM of Post-Paral. OC</t>
  </si>
  <si>
    <t>Machine Cost p/ Recipe</t>
  </si>
  <si>
    <t>Energy Produced</t>
  </si>
  <si>
    <t>Energy Consumed (OC)</t>
  </si>
  <si>
    <t>Line EU Efficiency</t>
  </si>
  <si>
    <t>05: Heavy Fuel Dessulfurizing</t>
  </si>
  <si>
    <t>Net Powergen</t>
  </si>
  <si>
    <t>Max Recipe Time</t>
  </si>
  <si>
    <t>Net Powergen/t</t>
  </si>
  <si>
    <t>06: Sulfuric Acid</t>
  </si>
  <si>
    <t>07: Diesel Mixing</t>
  </si>
  <si>
    <t>MAX Start Cost</t>
  </si>
  <si>
    <t>Base Machine Count</t>
  </si>
  <si>
    <t>Machines p/Tier</t>
  </si>
  <si>
    <t>Machine Cost p/ OC Recipe</t>
  </si>
  <si>
    <t>MAX OC Start Cost</t>
  </si>
  <si>
    <t>OC Machine Count</t>
  </si>
  <si>
    <t>08: Steam-cracking Gas</t>
  </si>
  <si>
    <t>09: Cracked Gas DT</t>
  </si>
  <si>
    <t>10: Acetic Acid</t>
  </si>
  <si>
    <t>11: Ethenone</t>
  </si>
  <si>
    <t>12: Ammonia</t>
  </si>
  <si>
    <t>13: Nitric Acid</t>
  </si>
  <si>
    <t>14: Sulfuric Acid Recovery</t>
  </si>
  <si>
    <t>15: Tetranitromethane</t>
  </si>
  <si>
    <t>16: Cetane-Boosted Diesel</t>
  </si>
  <si>
    <t>01: Automated Fishing</t>
  </si>
  <si>
    <t>02: Fish to Oil</t>
  </si>
  <si>
    <t>03: Fish to Methane</t>
  </si>
  <si>
    <t>04: Methane Breakdown</t>
  </si>
  <si>
    <t>05: Methanol Synthesis</t>
  </si>
  <si>
    <t>06: Bio Diesel Production</t>
  </si>
  <si>
    <t>Machines per Tier</t>
  </si>
  <si>
    <t>SUM of Total Parallels</t>
  </si>
  <si>
    <t>The 1st recipe, with the Zhuhai, is an approximation of speed and EU consumption.</t>
  </si>
  <si>
    <t>The actual recipe varies multiple times with energy tier and has a lot of randomness.</t>
  </si>
  <si>
    <t>I ran the Zhuhai for a few minutes in HV, IV and ZPM and approximated the "expected" recipe.</t>
  </si>
  <si>
    <t>GT++ Fish Catchers fish once every 100 seconds and fish are not guaranteed.</t>
  </si>
  <si>
    <t>SUM of OC Mac. Count</t>
  </si>
  <si>
    <t>SUM of OC Total Parallels</t>
  </si>
  <si>
    <t>Line for Cetane-Boosted Diesel using Bio Diesel</t>
  </si>
  <si>
    <t>Sodium</t>
  </si>
  <si>
    <t>07: Acetic Acid</t>
  </si>
  <si>
    <t>08: Ethenone</t>
  </si>
  <si>
    <t>09: Ammonia</t>
  </si>
  <si>
    <t>10: Nitric Acid</t>
  </si>
  <si>
    <t>11: Sulfuric Acid Recovery</t>
  </si>
  <si>
    <t>12: Tetranitromethane</t>
  </si>
  <si>
    <t>13: Cetane-Boosted Diesel</t>
  </si>
  <si>
    <t>Line for High Octane Gasoline</t>
  </si>
  <si>
    <t>This is the HOG line, meant for powergen from EV all the way up to fusion. It includes almost all useful oil byproducts and a lot of recipes.</t>
  </si>
  <si>
    <t>01: Raw Oil DT Distillation</t>
  </si>
  <si>
    <t>06: Hydro-cracking Light Fuel</t>
  </si>
  <si>
    <t>07: Cracked Light Fuel DT</t>
  </si>
  <si>
    <t>08: Steam-cracking Naphtha</t>
  </si>
  <si>
    <t>09: Cracked Naphtha DT</t>
  </si>
  <si>
    <t>10: Heavy Fuel DT</t>
  </si>
  <si>
    <t>11: Methanol Synthesis</t>
  </si>
  <si>
    <t>12: MTBE Reaction Mixture</t>
  </si>
  <si>
    <t>13: MTBE DT Distillation</t>
  </si>
  <si>
    <t>14: Nitrous Oxide Synthesis</t>
  </si>
  <si>
    <t>15: Acetic Acid</t>
  </si>
  <si>
    <t>16: Acetone</t>
  </si>
  <si>
    <t>17: Raw Gasoline</t>
  </si>
  <si>
    <t>18: Gasoline</t>
  </si>
  <si>
    <t>19: High Octane Gasoline</t>
  </si>
  <si>
    <t>Issues related to this HOG line:</t>
  </si>
  <si>
    <t>--- Butene comes out too slowly and bottlenecks the line. Anti-Knock Agent only accepts Butene, but it could also be changed to accept Butene or Butane.</t>
  </si>
  <si>
    <t>Anti-Knock Agent has a fast LCR step and a slower DT chain. Butane could be allowed only in the DT chain to improve it over the overpowered LCR. This would also buff hydro-cracking.</t>
  </si>
  <si>
    <t>--- Oil Cracking Unit is still too slow compared to the LCR, even after my buffs from a long time ago. It's more efficient, but it doesn't matter if you can just pump more oil.</t>
  </si>
  <si>
    <t>The oil DT could be a bottleneck, but the efficiency difference between the Cracker and the LCR is not big enough. The perfect OC beats everything else.</t>
  </si>
  <si>
    <t>--- Dangote Distillus is too expensive for what it does, and greatly increases the line's machine cost if used to replace the slow DTs.</t>
  </si>
  <si>
    <t>The controller recipe is equal to ~16 IV machines, with a stack of Arcanite and a necessary TSS Chemical Plant. Buffing this recipe should be a reasonable change.</t>
  </si>
  <si>
    <t>--- Beating the CBD line in EU/t output requires a large amount of EHEs, since each one only outputs 1 LuV amp. At the same time, they need a lot of LOX, which means Vacuum Freezers.</t>
  </si>
  <si>
    <t>The EHE is the only real advantage HOG has over CBD, and when the player is LuV, they can build the UCFE for greater EU/t output, and HOG loses its advantage. The EHE needs to be better.</t>
  </si>
  <si>
    <t>--- Upscaling weaker fuels through the LCR's perfect OC will outpace HOG almost every time. As long as machines without perfect OC are necessary, the output speed will drop across tiers.</t>
  </si>
  <si>
    <t>The only way to prevent this, without nerfing the LCR, is to prevent weaker fuels from working at normal efficiency in generators. Perhaps we should have a "fuel grade" feature for this.</t>
  </si>
  <si>
    <t>--- The image on the left represents recipe time for the balanced line, all recipes at EV tier with 1 machine each. The main bottlenecks are the Naphtha Cracker + DT, then the DTs for LF and Oil.</t>
  </si>
  <si>
    <t>Naphtha bottlenecks because of the Butene requirement for Anti-Knock Agent. Allowing Butane would mean a switch to hydro-cracking, which outputs 800L of Butane compared to 50L of Butene here.</t>
  </si>
  <si>
    <t>The Butane output would be 16x higher, and drop this bottleneck below the other 2 DTs. However, the other outputs would be lost (Ethylene is needed for Acetic Acid but comes out in great excess).</t>
  </si>
  <si>
    <t>--- To note, this is the CBD line from the other sheet under the same conditions as the HOG line above.</t>
  </si>
  <si>
    <t>The recipe times are much lower overall, except for the initial DT step, and the difference in fuel value between CBD and HOG cannot compensate for this.</t>
  </si>
  <si>
    <t>Line for High Octane Gasoline (Base Recipes, No Multipliers)</t>
  </si>
  <si>
    <t>Calcium</t>
  </si>
  <si>
    <t>Line for High Octane Gasoline with Changes (Buffs)</t>
  </si>
  <si>
    <t>08: Hydro-cracking Naphtha</t>
  </si>
  <si>
    <t>Line for Nitrobenzene</t>
  </si>
  <si>
    <t>This is the Nitrobenzene line, made to scale up powergen very far through several GT++ multis, and known to be very strong.</t>
  </si>
  <si>
    <t>Speed Formula</t>
  </si>
  <si>
    <t>Energy Formula</t>
  </si>
  <si>
    <t>01: Tree Growing</t>
  </si>
  <si>
    <t>02: Wood into Charcoal</t>
  </si>
  <si>
    <t>03: Charcoal Extraction</t>
  </si>
  <si>
    <t>04: Wood Tar DT Distillation</t>
  </si>
  <si>
    <t>05: Ammonia</t>
  </si>
  <si>
    <t>SUM of Tier Number</t>
  </si>
  <si>
    <t>06: Nitric Acid</t>
  </si>
  <si>
    <t>07: Nitrobenzene</t>
  </si>
  <si>
    <t>Pipe C.Tier</t>
  </si>
  <si>
    <t>Machines p/Tier OC</t>
  </si>
  <si>
    <t>Line for the LFTR Chain</t>
  </si>
  <si>
    <t>This is the LFTR chain, a nuclear fission powergen line with a complex set of breeding recipes to get to the best fuel.</t>
  </si>
  <si>
    <t>01: Beryllium Hydroxide</t>
  </si>
  <si>
    <t>02: BeOH2 Dehydration</t>
  </si>
  <si>
    <t>03: Hydrofluoric Acid</t>
  </si>
  <si>
    <t>04: Industrial Hydrofl. Acid</t>
  </si>
  <si>
    <t>05: Ammonium Bifluoride</t>
  </si>
  <si>
    <t>06: Ammonium TFB</t>
  </si>
  <si>
    <t>07: Beryllium Fluoride</t>
  </si>
  <si>
    <t>08: Lithium 7 Engraving</t>
  </si>
  <si>
    <t>09: Lithium Hydroxide</t>
  </si>
  <si>
    <t>10: LiOH Dehydration</t>
  </si>
  <si>
    <t>11: Lithium Fluoride</t>
  </si>
  <si>
    <t>12: LTFB Dust Cooking</t>
  </si>
  <si>
    <t>13: LTFB Extraction</t>
  </si>
  <si>
    <t>14: Zirconium Pellet</t>
  </si>
  <si>
    <t>15: Pellet Maceration</t>
  </si>
  <si>
    <t>16: Zirconium Cooking</t>
  </si>
  <si>
    <t>17: Zirconium Tetrafluoride</t>
  </si>
  <si>
    <t>18: ZrF4 Extraction</t>
  </si>
  <si>
    <t>19: BeF2 Extraction</t>
  </si>
  <si>
    <t>19: LiF Extraction</t>
  </si>
  <si>
    <t>20: LFTR Fuel 1</t>
  </si>
  <si>
    <t>21: Fuel 1 Burning</t>
  </si>
  <si>
    <t>01: LFTR Fuel 2</t>
  </si>
  <si>
    <t>02: Fuel 2 Burning</t>
  </si>
  <si>
    <t>Beryllium</t>
  </si>
  <si>
    <t>03: Uranium Salt Cleaning</t>
  </si>
  <si>
    <t>04: UF6 Dephosphorization</t>
  </si>
  <si>
    <t>05: Sodium Hydroxide</t>
  </si>
  <si>
    <t>Lithium</t>
  </si>
  <si>
    <t>Sodium Hydroxide</t>
  </si>
  <si>
    <t>06: Sodium Fluoride</t>
  </si>
  <si>
    <t>07: NaF Heating</t>
  </si>
  <si>
    <t>08: TB Salt Cleaning</t>
  </si>
  <si>
    <t>09: UF6 Defluorination</t>
  </si>
  <si>
    <t>10: Hydrofluoric Acid</t>
  </si>
  <si>
    <t>11: Industrial Hydrofl. Acid</t>
  </si>
  <si>
    <t>12: Salt Base Purification</t>
  </si>
  <si>
    <t>13: LFTR Fuel Base</t>
  </si>
  <si>
    <t>19: Beryllium Hydroxide</t>
  </si>
  <si>
    <t>20: BeOH2 Dehydration</t>
  </si>
  <si>
    <t>21: Ammonium Bifluoride</t>
  </si>
  <si>
    <t>22: Ammonium TFB</t>
  </si>
  <si>
    <t>23: Beryllium Fluoride</t>
  </si>
  <si>
    <t>24: Lithium 7 Engraving</t>
  </si>
  <si>
    <t>25: Lithium Hydroxide</t>
  </si>
  <si>
    <t>26: LiOH Dehydration</t>
  </si>
  <si>
    <t>27: Lithium Fluoride</t>
  </si>
  <si>
    <t>28: LTFB Dust Cooking</t>
  </si>
  <si>
    <t>29: LTFB Extraction</t>
  </si>
  <si>
    <t>30: BeF2 Dehydration</t>
  </si>
  <si>
    <t>31: LiF Dehydration</t>
  </si>
  <si>
    <t>32: LFTR Fuel 2 Alt.</t>
  </si>
  <si>
    <t>33: LiF Extraction</t>
  </si>
  <si>
    <t>34: BeF2 Extraction</t>
  </si>
  <si>
    <t>35: Uranium Tetrafluoride</t>
  </si>
  <si>
    <t>01: LFTR Fuel 3</t>
  </si>
  <si>
    <t>02: Fuel 3 Burning</t>
  </si>
  <si>
    <t>03: Uranium Salt Sparging</t>
  </si>
  <si>
    <t>04: TB Salt Sparging</t>
  </si>
  <si>
    <t>05: Uranium Salt Cleaning</t>
  </si>
  <si>
    <t>06: UF6 Dephosphorization</t>
  </si>
  <si>
    <t>07: Sodium Hydroxide</t>
  </si>
  <si>
    <t>08: Sodium Fluoride</t>
  </si>
  <si>
    <t>09: NaF Heating</t>
  </si>
  <si>
    <t>10: TB Salt Cleaning</t>
  </si>
  <si>
    <t>11: UF6 Defluorination</t>
  </si>
  <si>
    <t>12: Hydrofluoric Acid</t>
  </si>
  <si>
    <t>13: Industrial Hydrofl. Acid</t>
  </si>
  <si>
    <t>14: Salt Base Purification</t>
  </si>
  <si>
    <t>15: LFTR Fuel Base</t>
  </si>
  <si>
    <t>16: BeF2 Dehydration</t>
  </si>
  <si>
    <t>17: LiF Dehydration</t>
  </si>
  <si>
    <t>18: LTFB Dust Cooking</t>
  </si>
  <si>
    <t>19: LTFB Extraction</t>
  </si>
  <si>
    <t>GT++ Distillation Tower Multi Tier 2</t>
  </si>
  <si>
    <t>Circuits for Assline</t>
  </si>
  <si>
    <t>I set this page up to calculate the numbers for the circuits the Assembly Line needs. As one of the most impactful gates in the pack, I wanted to know exactly how difficult and expensive it is to craft it.</t>
  </si>
  <si>
    <t>01: EV Circuit</t>
  </si>
  <si>
    <t>02: IV Circuit</t>
  </si>
  <si>
    <t>03: LuV Circuit</t>
  </si>
  <si>
    <t>04: ZPM Circuit</t>
  </si>
  <si>
    <t>05: PVC Solidifying</t>
  </si>
  <si>
    <t>06: Thin PVC Sheet</t>
  </si>
  <si>
    <t>07: Aluminium Foil</t>
  </si>
  <si>
    <t>08: Gallium Foil</t>
  </si>
  <si>
    <t>09: Platinum Fine Wire</t>
  </si>
  <si>
    <t>10: Annealed Copper Fine Wire</t>
  </si>
  <si>
    <t>11: Aluminium Frame Box</t>
  </si>
  <si>
    <t>12: Neodymium Ring</t>
  </si>
  <si>
    <t>13: SMD Capacitor</t>
  </si>
  <si>
    <t>14: SMD Transistor</t>
  </si>
  <si>
    <t>15: SMD Inductor</t>
  </si>
  <si>
    <t>16: SMD Diode</t>
  </si>
  <si>
    <t>17: Boule Cutting</t>
  </si>
  <si>
    <t>18: CPU Wafer</t>
  </si>
  <si>
    <t>19: NanoCPU Wafer</t>
  </si>
  <si>
    <t>20: Nanocomponent CPU</t>
  </si>
  <si>
    <t>21: QBit Wafer</t>
  </si>
  <si>
    <t>22: QBit Processing Unit</t>
  </si>
  <si>
    <t>23: Quantum Eye</t>
  </si>
  <si>
    <t>24: Raw Carbon Fibre</t>
  </si>
  <si>
    <t>25: Reinforced Epoxy</t>
  </si>
  <si>
    <t>26: Reinforced Circuit Board</t>
  </si>
  <si>
    <t>27: More Advanced Circuit Board</t>
  </si>
  <si>
    <t>28: Energetic Alloy Foil</t>
  </si>
  <si>
    <t>29: RAM Wafer</t>
  </si>
  <si>
    <t>30: RAM Chip</t>
  </si>
  <si>
    <t>31: NOR Wafer</t>
  </si>
  <si>
    <t>32: NOR Chip</t>
  </si>
  <si>
    <t>33: Annealed Copper Wire</t>
  </si>
  <si>
    <t>Platinum Line</t>
  </si>
  <si>
    <t>These are the recipes for the IV platline, one of the most important required lines in the game. This page should show the EU and time costs to get Platinum and other outputs at various rates.</t>
  </si>
  <si>
    <t>01: Platinum Start</t>
  </si>
  <si>
    <t>(Main Line)</t>
  </si>
  <si>
    <t>02: Plat. Precipitation</t>
  </si>
  <si>
    <t>(Platinum Processing)</t>
  </si>
  <si>
    <t>03: Plat. Salt Dust Sifting</t>
  </si>
  <si>
    <t>04: Plat. Salt Dust Recycle</t>
  </si>
  <si>
    <t>05: Platinum Dust</t>
  </si>
  <si>
    <t>06: Pal. Precipitation 1</t>
  </si>
  <si>
    <t>(Palladium Processing)</t>
  </si>
  <si>
    <t>07: Pall. Precipitation 2</t>
  </si>
  <si>
    <t>08: Pall. Salt Dust Sifting</t>
  </si>
  <si>
    <t>09: Palladium Dust</t>
  </si>
  <si>
    <t>10: Aqua Regia</t>
  </si>
  <si>
    <t>(Aqua Regia)</t>
  </si>
  <si>
    <t>11: Ammonia</t>
  </si>
  <si>
    <t>12: Nitric Acid</t>
  </si>
  <si>
    <t>13: Formic Acid</t>
  </si>
  <si>
    <t>(Other Chemicals)</t>
  </si>
  <si>
    <t>14: Sodium Formate</t>
  </si>
  <si>
    <t>15: Rhodium Start</t>
  </si>
  <si>
    <t>16: Rhodium Sulfate Solution</t>
  </si>
  <si>
    <t>(Rhodium Processing)</t>
  </si>
  <si>
    <t>17: Crude Rhodium Dust</t>
  </si>
  <si>
    <t>18: Rhodium Salt Dust</t>
  </si>
  <si>
    <t>19: Rhodium Salt Solution</t>
  </si>
  <si>
    <t>20: Rhodium Nitrate Dust</t>
  </si>
  <si>
    <t>21: Rhodium Cake Sifting</t>
  </si>
  <si>
    <t>22: Rhodium Cake Solution</t>
  </si>
  <si>
    <t>23: Rhodium Precipitation</t>
  </si>
  <si>
    <t>24: Rhodium Dust</t>
  </si>
  <si>
    <t>25: Potassium Dis. Extraction</t>
  </si>
  <si>
    <t>26: Potassium Disulfate</t>
  </si>
  <si>
    <t>27: Sodium Nitrate</t>
  </si>
  <si>
    <t>28: Ruthenium Start</t>
  </si>
  <si>
    <t>29: Ruthenium Solution</t>
  </si>
  <si>
    <t>(Ruthenium Processing)</t>
  </si>
  <si>
    <t>30: Solution Heating</t>
  </si>
  <si>
    <t>31: Ruthenium Tetroxide</t>
  </si>
  <si>
    <t>32: Tetroxide Solidifying</t>
  </si>
  <si>
    <t>33: Ruthenium Dust</t>
  </si>
  <si>
    <t>34: Iridium Start</t>
  </si>
  <si>
    <t>35: Iridium Dioxide</t>
  </si>
  <si>
    <t>(Iridium Processing)</t>
  </si>
  <si>
    <t>36: Iridium Solution</t>
  </si>
  <si>
    <t>37: Iridium Chloride</t>
  </si>
  <si>
    <t>38: Iridium Dust</t>
  </si>
  <si>
    <t>39: Osmium Start</t>
  </si>
  <si>
    <t>40: Osmium Dust</t>
  </si>
  <si>
    <t>(Osmium Processing)</t>
  </si>
  <si>
    <t>41: Ammonium Chloride</t>
  </si>
  <si>
    <t>42: Salt Water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</si>
</sst>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0"/>
    <numFmt numFmtId="166" formatCode="0.0"/>
  </numFmts>
  <fonts count="14">
    <font>
      <sz val="10.0"/>
      <color rgb="FF000000"/>
      <name val="Arial"/>
      <scheme val="minor"/>
    </font>
    <font>
      <color theme="1"/>
      <name val="Arial"/>
      <scheme val="minor"/>
    </font>
    <font>
      <u/>
      <color theme="1"/>
      <name val="Arial"/>
      <scheme val="minor"/>
    </font>
    <font>
      <color rgb="FF181A1B"/>
      <name val="Arial"/>
      <scheme val="minor"/>
    </font>
    <font>
      <sz val="19.0"/>
      <color theme="1"/>
      <name val="Arial"/>
      <scheme val="minor"/>
    </font>
    <font>
      <b/>
      <sz val="19.0"/>
      <color theme="1"/>
      <name val="Arial"/>
      <scheme val="minor"/>
    </font>
    <font/>
    <font>
      <sz val="13.0"/>
      <color theme="1"/>
      <name val="Arial"/>
      <scheme val="minor"/>
    </font>
    <font>
      <b/>
      <color theme="1"/>
      <name val="Arial"/>
      <scheme val="minor"/>
    </font>
    <font>
      <b/>
      <color theme="1"/>
      <name val="Arial"/>
    </font>
    <font>
      <color theme="1"/>
      <name val="Arial"/>
    </font>
    <font>
      <sz val="20.0"/>
      <color theme="1"/>
      <name val="Arial"/>
      <scheme val="minor"/>
    </font>
    <font>
      <b/>
      <color rgb="FF181A1B"/>
      <name val="Arial"/>
      <scheme val="minor"/>
    </font>
    <font>
      <color rgb="FF181A1B"/>
      <name val="Arial"/>
    </font>
  </fonts>
  <fills count="11">
    <fill>
      <patternFill patternType="none"/>
    </fill>
    <fill>
      <patternFill patternType="lightGray"/>
    </fill>
    <fill>
      <patternFill patternType="solid">
        <fgColor rgb="FFB6D7A8"/>
        <bgColor rgb="FFB6D7A8"/>
      </patternFill>
    </fill>
    <fill>
      <patternFill patternType="solid">
        <fgColor rgb="FFF9CB9C"/>
        <bgColor rgb="FFF9CB9C"/>
      </patternFill>
    </fill>
    <fill>
      <patternFill patternType="solid">
        <fgColor rgb="FFE6B8AF"/>
        <bgColor rgb="FFE6B8AF"/>
      </patternFill>
    </fill>
    <fill>
      <patternFill patternType="solid">
        <fgColor rgb="FFEFEFEF"/>
        <bgColor rgb="FFEFEFEF"/>
      </patternFill>
    </fill>
    <fill>
      <patternFill patternType="solid">
        <fgColor rgb="FFFFE599"/>
        <bgColor rgb="FFFFE599"/>
      </patternFill>
    </fill>
    <fill>
      <patternFill patternType="solid">
        <fgColor rgb="FFA2C4C9"/>
        <bgColor rgb="FFA2C4C9"/>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s>
  <borders count="42">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double">
        <color rgb="FF000000"/>
      </right>
    </border>
    <border>
      <left style="medium">
        <color rgb="FF000000"/>
      </left>
      <right style="thin">
        <color rgb="FF000000"/>
      </right>
    </border>
    <border>
      <left style="thin">
        <color rgb="FF000000"/>
      </left>
      <top style="thin">
        <color rgb="FF000000"/>
      </top>
    </border>
    <border>
      <top style="thin">
        <color rgb="FF000000"/>
      </top>
    </border>
    <border>
      <right style="dotted">
        <color rgb="FF000000"/>
      </right>
      <top style="thin">
        <color rgb="FF000000"/>
      </top>
    </border>
    <border>
      <left style="dotted">
        <color rgb="FF000000"/>
      </left>
      <top style="thin">
        <color rgb="FF000000"/>
      </top>
    </border>
    <border>
      <right style="medium">
        <color rgb="FF000000"/>
      </right>
      <top style="thin">
        <color rgb="FF000000"/>
      </top>
    </border>
    <border>
      <left style="thin">
        <color rgb="FF000000"/>
      </left>
    </border>
    <border>
      <right style="dotted">
        <color rgb="FF000000"/>
      </right>
    </border>
    <border>
      <left style="dotted">
        <color rgb="FF000000"/>
      </left>
    </border>
    <border>
      <right style="medium">
        <color rgb="FF000000"/>
      </right>
    </border>
    <border>
      <left style="medium">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medium">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dotted">
        <color rgb="FF000000"/>
      </right>
      <bottom style="medium">
        <color rgb="FF000000"/>
      </bottom>
    </border>
    <border>
      <left style="dotted">
        <color rgb="FF000000"/>
      </left>
      <bottom style="medium">
        <color rgb="FF000000"/>
      </bottom>
    </border>
    <border>
      <right style="medium">
        <color rgb="FF000000"/>
      </right>
      <bottom style="medium">
        <color rgb="FF000000"/>
      </bottom>
    </border>
    <border>
      <left style="dotted">
        <color rgb="FF000000"/>
      </left>
      <right style="dotted">
        <color rgb="FF000000"/>
      </right>
    </border>
    <border>
      <left style="dotted">
        <color rgb="FF000000"/>
      </left>
      <right style="dotted">
        <color rgb="FF000000"/>
      </right>
      <bottom style="medium">
        <color rgb="FF000000"/>
      </bottom>
    </border>
    <border>
      <left style="hair">
        <color rgb="FF000000"/>
      </left>
      <top style="medium">
        <color rgb="FF000000"/>
      </top>
      <bottom style="thin">
        <color rgb="FF000000"/>
      </bottom>
    </border>
    <border>
      <left style="hair">
        <color rgb="FF000000"/>
      </left>
      <right style="hair">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hair">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medium">
        <color rgb="FF000000"/>
      </bottom>
    </border>
    <border>
      <bottom style="dotted">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Font="1"/>
    <xf borderId="0" fillId="0" fontId="1" numFmtId="0" xfId="0" applyFont="1"/>
    <xf borderId="1" fillId="2" fontId="4" numFmtId="0" xfId="0" applyAlignment="1" applyBorder="1" applyFill="1" applyFont="1">
      <alignment horizontal="center" readingOrder="0"/>
    </xf>
    <xf borderId="2" fillId="2" fontId="5" numFmtId="0" xfId="0" applyAlignment="1" applyBorder="1" applyFont="1">
      <alignment horizontal="center" readingOrder="0"/>
    </xf>
    <xf borderId="2" fillId="0" fontId="6" numFmtId="0" xfId="0" applyBorder="1" applyFont="1"/>
    <xf borderId="3" fillId="2" fontId="4" numFmtId="0" xfId="0" applyAlignment="1" applyBorder="1" applyFont="1">
      <alignment horizontal="center" readingOrder="0"/>
    </xf>
    <xf borderId="4" fillId="3" fontId="7" numFmtId="0" xfId="0" applyAlignment="1" applyBorder="1" applyFill="1" applyFont="1">
      <alignment horizontal="center" readingOrder="0"/>
    </xf>
    <xf borderId="3" fillId="0" fontId="6" numFmtId="0" xfId="0" applyBorder="1" applyFont="1"/>
    <xf borderId="5" fillId="2" fontId="1" numFmtId="0" xfId="0" applyAlignment="1" applyBorder="1" applyFont="1">
      <alignment horizontal="center" readingOrder="0"/>
    </xf>
    <xf borderId="6" fillId="2" fontId="1" numFmtId="0" xfId="0" applyAlignment="1" applyBorder="1" applyFont="1">
      <alignment horizontal="center" readingOrder="0"/>
    </xf>
    <xf borderId="6" fillId="0" fontId="6" numFmtId="0" xfId="0" applyBorder="1" applyFont="1"/>
    <xf borderId="7" fillId="2" fontId="1" numFmtId="0" xfId="0" applyAlignment="1" applyBorder="1" applyFont="1">
      <alignment horizontal="center" readingOrder="0"/>
    </xf>
    <xf borderId="7" fillId="0" fontId="6" numFmtId="0" xfId="0" applyBorder="1" applyFont="1"/>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4" fillId="3" fontId="1" numFmtId="0" xfId="0" applyAlignment="1" applyBorder="1" applyFont="1">
      <alignment horizontal="center" readingOrder="0"/>
    </xf>
    <xf borderId="8" fillId="0" fontId="1" numFmtId="0" xfId="0" applyAlignment="1" applyBorder="1" applyFont="1">
      <alignment readingOrder="0"/>
    </xf>
    <xf borderId="9" fillId="4" fontId="8" numFmtId="0" xfId="0" applyAlignment="1" applyBorder="1" applyFill="1" applyFont="1">
      <alignment horizontal="center" readingOrder="0"/>
    </xf>
    <xf borderId="10" fillId="4" fontId="8" numFmtId="0" xfId="0" applyAlignment="1" applyBorder="1" applyFont="1">
      <alignment horizontal="center" readingOrder="0"/>
    </xf>
    <xf borderId="11" fillId="4" fontId="8" numFmtId="0" xfId="0" applyAlignment="1" applyBorder="1" applyFont="1">
      <alignment horizontal="center" readingOrder="0"/>
    </xf>
    <xf borderId="12" fillId="0" fontId="1" numFmtId="0" xfId="0" applyAlignment="1" applyBorder="1" applyFont="1">
      <alignment readingOrder="0"/>
    </xf>
    <xf borderId="4" fillId="3" fontId="1" numFmtId="0" xfId="0" applyBorder="1" applyFont="1"/>
    <xf borderId="8" fillId="0" fontId="1" numFmtId="0" xfId="0" applyBorder="1" applyFont="1"/>
    <xf borderId="12" fillId="0" fontId="1" numFmtId="0" xfId="0" applyBorder="1" applyFont="1"/>
    <xf borderId="13" fillId="5" fontId="8" numFmtId="0" xfId="0" applyAlignment="1" applyBorder="1" applyFill="1" applyFont="1">
      <alignment horizontal="center" readingOrder="0"/>
    </xf>
    <xf borderId="14" fillId="5" fontId="1" numFmtId="0" xfId="0" applyAlignment="1" applyBorder="1" applyFont="1">
      <alignment horizontal="center"/>
    </xf>
    <xf borderId="15" fillId="5" fontId="1" numFmtId="0" xfId="0" applyAlignment="1" applyBorder="1" applyFont="1">
      <alignment horizontal="center"/>
    </xf>
    <xf borderId="16" fillId="5" fontId="1" numFmtId="0" xfId="0" applyAlignment="1" applyBorder="1" applyFont="1">
      <alignment horizontal="center"/>
    </xf>
    <xf borderId="0" fillId="4" fontId="1" numFmtId="0" xfId="0" applyAlignment="1" applyFont="1">
      <alignment horizontal="center" readingOrder="0"/>
    </xf>
    <xf borderId="17" fillId="5" fontId="8" numFmtId="0" xfId="0" applyAlignment="1" applyBorder="1" applyFont="1">
      <alignment horizontal="center" readingOrder="0"/>
    </xf>
    <xf borderId="15" fillId="5" fontId="1" numFmtId="0" xfId="0" applyAlignment="1" applyBorder="1" applyFont="1">
      <alignment horizontal="center" readingOrder="0"/>
    </xf>
    <xf borderId="0" fillId="5" fontId="1" numFmtId="0" xfId="0" applyAlignment="1" applyFont="1">
      <alignment horizontal="center" readingOrder="0"/>
    </xf>
    <xf borderId="18" fillId="5" fontId="1" numFmtId="0" xfId="0" applyAlignment="1" applyBorder="1" applyFont="1">
      <alignment horizontal="center"/>
    </xf>
    <xf borderId="13" fillId="5" fontId="8" numFmtId="0" xfId="0" applyAlignment="1" applyBorder="1" applyFont="1">
      <alignment horizontal="center"/>
    </xf>
    <xf borderId="19" fillId="5" fontId="1" numFmtId="0" xfId="0" applyAlignment="1" applyBorder="1" applyFont="1">
      <alignment horizontal="center" readingOrder="0"/>
    </xf>
    <xf borderId="20" fillId="5" fontId="1" numFmtId="0" xfId="0" applyAlignment="1" applyBorder="1" applyFont="1">
      <alignment horizontal="center" readingOrder="0"/>
    </xf>
    <xf borderId="0" fillId="4" fontId="1" numFmtId="0" xfId="0" applyAlignment="1" applyFont="1">
      <alignment horizontal="center"/>
    </xf>
    <xf borderId="21" fillId="5" fontId="1" numFmtId="0" xfId="0" applyAlignment="1" applyBorder="1" applyFont="1">
      <alignment horizontal="center"/>
    </xf>
    <xf borderId="0" fillId="5" fontId="1" numFmtId="0" xfId="0" applyAlignment="1" applyFont="1">
      <alignment horizontal="center"/>
    </xf>
    <xf borderId="22" fillId="5" fontId="1" numFmtId="0" xfId="0" applyAlignment="1" applyBorder="1" applyFont="1">
      <alignment horizontal="center"/>
    </xf>
    <xf borderId="20" fillId="5" fontId="1" numFmtId="0" xfId="0" applyAlignment="1" applyBorder="1" applyFont="1">
      <alignment horizontal="center"/>
    </xf>
    <xf borderId="21" fillId="6" fontId="9" numFmtId="0" xfId="0" applyAlignment="1" applyBorder="1" applyFill="1" applyFont="1">
      <alignment horizontal="center" vertical="bottom"/>
    </xf>
    <xf borderId="0" fillId="6" fontId="10" numFmtId="0" xfId="0" applyAlignment="1" applyFont="1">
      <alignment horizontal="center" readingOrder="0" vertical="bottom"/>
    </xf>
    <xf borderId="23" fillId="4" fontId="8" numFmtId="0" xfId="0" applyAlignment="1" applyBorder="1" applyFont="1">
      <alignment horizontal="center"/>
    </xf>
    <xf borderId="24" fillId="4" fontId="1" numFmtId="0" xfId="0" applyAlignment="1" applyBorder="1" applyFont="1">
      <alignment horizontal="center"/>
    </xf>
    <xf borderId="25" fillId="4" fontId="1" numFmtId="0" xfId="0" applyAlignment="1" applyBorder="1" applyFont="1">
      <alignment horizontal="center"/>
    </xf>
    <xf borderId="26" fillId="4" fontId="1" numFmtId="0" xfId="0" applyAlignment="1" applyBorder="1" applyFont="1">
      <alignment horizontal="center"/>
    </xf>
    <xf borderId="19" fillId="5" fontId="1" numFmtId="0" xfId="0" applyAlignment="1" applyBorder="1" applyFont="1">
      <alignment horizontal="center"/>
    </xf>
    <xf borderId="21" fillId="5" fontId="8" numFmtId="0" xfId="0" applyAlignment="1" applyBorder="1" applyFont="1">
      <alignment horizontal="center" readingOrder="0"/>
    </xf>
    <xf borderId="21" fillId="6" fontId="8" numFmtId="0" xfId="0" applyAlignment="1" applyBorder="1" applyFont="1">
      <alignment horizontal="center" readingOrder="0"/>
    </xf>
    <xf borderId="0" fillId="6" fontId="1" numFmtId="0" xfId="0" applyAlignment="1" applyFont="1">
      <alignment horizontal="center" readingOrder="0"/>
    </xf>
    <xf borderId="27" fillId="5" fontId="8" numFmtId="0" xfId="0" applyAlignment="1" applyBorder="1" applyFont="1">
      <alignment horizontal="center"/>
    </xf>
    <xf borderId="28" fillId="5" fontId="1" numFmtId="0" xfId="0" applyAlignment="1" applyBorder="1" applyFont="1">
      <alignment horizontal="center"/>
    </xf>
    <xf borderId="29" fillId="5" fontId="1" numFmtId="0" xfId="0" applyAlignment="1" applyBorder="1" applyFont="1">
      <alignment horizontal="center"/>
    </xf>
    <xf borderId="29" fillId="5" fontId="1" numFmtId="0" xfId="0" applyAlignment="1" applyBorder="1" applyFont="1">
      <alignment horizontal="center" readingOrder="0"/>
    </xf>
    <xf borderId="30" fillId="5" fontId="1" numFmtId="0" xfId="0" applyAlignment="1" applyBorder="1" applyFont="1">
      <alignment horizontal="center" readingOrder="0"/>
    </xf>
    <xf borderId="29" fillId="4" fontId="1" numFmtId="0" xfId="0" applyAlignment="1" applyBorder="1" applyFont="1">
      <alignment horizontal="center"/>
    </xf>
    <xf borderId="31" fillId="6" fontId="8" numFmtId="0" xfId="0" applyAlignment="1" applyBorder="1" applyFont="1">
      <alignment horizontal="center" readingOrder="0"/>
    </xf>
    <xf borderId="29" fillId="6" fontId="1" numFmtId="0" xfId="0" applyAlignment="1" applyBorder="1" applyFont="1">
      <alignment horizontal="center" readingOrder="0"/>
    </xf>
    <xf borderId="32" fillId="5" fontId="1" numFmtId="0" xfId="0" applyAlignment="1" applyBorder="1" applyFont="1">
      <alignment horizontal="center"/>
    </xf>
    <xf borderId="0" fillId="0" fontId="8" numFmtId="0" xfId="0" applyFont="1"/>
    <xf borderId="0" fillId="0" fontId="4" numFmtId="0" xfId="0" applyAlignment="1" applyFont="1">
      <alignment horizontal="center" readingOrder="0"/>
    </xf>
    <xf borderId="12" fillId="0" fontId="4" numFmtId="0" xfId="0" applyAlignment="1" applyBorder="1" applyFont="1">
      <alignment horizontal="center" readingOrder="0"/>
    </xf>
    <xf borderId="12" fillId="0" fontId="1" numFmtId="0" xfId="0" applyAlignment="1" applyBorder="1" applyFont="1">
      <alignment horizontal="center" readingOrder="0"/>
    </xf>
    <xf borderId="5" fillId="0" fontId="1" numFmtId="0" xfId="0" applyBorder="1" applyFont="1"/>
    <xf borderId="6" fillId="0" fontId="1" numFmtId="0" xfId="0" applyBorder="1" applyFont="1"/>
    <xf borderId="7" fillId="0" fontId="1" numFmtId="0" xfId="0" applyBorder="1" applyFont="1"/>
    <xf borderId="13" fillId="0" fontId="8" numFmtId="0" xfId="0" applyAlignment="1" applyBorder="1" applyFont="1">
      <alignment horizontal="center" readingOrder="0"/>
    </xf>
    <xf borderId="33" fillId="4" fontId="1" numFmtId="0" xfId="0" applyAlignment="1" applyBorder="1" applyFont="1">
      <alignment horizontal="center" readingOrder="0"/>
    </xf>
    <xf borderId="0" fillId="0" fontId="8" numFmtId="0" xfId="0" applyAlignment="1" applyFont="1">
      <alignment horizontal="center" readingOrder="0"/>
    </xf>
    <xf borderId="22" fillId="0" fontId="1" numFmtId="0" xfId="0" applyAlignment="1" applyBorder="1" applyFont="1">
      <alignment horizontal="center"/>
    </xf>
    <xf borderId="13" fillId="0" fontId="8" numFmtId="0" xfId="0" applyAlignment="1" applyBorder="1" applyFont="1">
      <alignment horizontal="center"/>
    </xf>
    <xf borderId="33" fillId="4" fontId="1" numFmtId="0" xfId="0" applyAlignment="1" applyBorder="1" applyFont="1">
      <alignment horizontal="center"/>
    </xf>
    <xf borderId="25" fillId="4" fontId="8" numFmtId="0" xfId="0" applyAlignment="1" applyBorder="1" applyFont="1">
      <alignment horizontal="center"/>
    </xf>
    <xf borderId="27" fillId="0" fontId="8" numFmtId="0" xfId="0" applyAlignment="1" applyBorder="1" applyFont="1">
      <alignment horizontal="center"/>
    </xf>
    <xf borderId="29" fillId="0" fontId="1" numFmtId="0" xfId="0" applyAlignment="1" applyBorder="1" applyFont="1">
      <alignment horizontal="center"/>
    </xf>
    <xf borderId="29" fillId="0" fontId="1" numFmtId="0" xfId="0" applyAlignment="1" applyBorder="1" applyFont="1">
      <alignment horizontal="center" readingOrder="0"/>
    </xf>
    <xf borderId="34" fillId="4" fontId="1" numFmtId="0" xfId="0" applyAlignment="1" applyBorder="1" applyFont="1">
      <alignment horizontal="center"/>
    </xf>
    <xf borderId="29" fillId="0" fontId="8" numFmtId="0" xfId="0" applyAlignment="1" applyBorder="1" applyFont="1">
      <alignment horizontal="center" readingOrder="0"/>
    </xf>
    <xf borderId="32" fillId="0" fontId="1" numFmtId="0" xfId="0" applyAlignment="1" applyBorder="1" applyFont="1">
      <alignment horizontal="center"/>
    </xf>
    <xf borderId="0" fillId="0" fontId="11" numFmtId="0" xfId="0" applyAlignment="1" applyFont="1">
      <alignment horizontal="center" readingOrder="0"/>
    </xf>
    <xf borderId="0" fillId="0" fontId="8" numFmtId="0" xfId="0" applyAlignment="1" applyFont="1">
      <alignment horizontal="center"/>
    </xf>
    <xf borderId="9" fillId="4" fontId="8"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35" fillId="4" fontId="8" numFmtId="0" xfId="0" applyAlignment="1" applyBorder="1" applyFont="1">
      <alignment horizontal="center" readingOrder="0" shrinkToFit="0" vertical="center" wrapText="1"/>
    </xf>
    <xf borderId="36" fillId="4" fontId="8" numFmtId="0" xfId="0" applyAlignment="1" applyBorder="1" applyFont="1">
      <alignment horizontal="center" readingOrder="0" shrinkToFit="0" vertical="center" wrapText="1"/>
    </xf>
    <xf borderId="37" fillId="4" fontId="8" numFmtId="0" xfId="0" applyAlignment="1" applyBorder="1" applyFont="1">
      <alignment horizontal="center" readingOrder="0" shrinkToFit="0" vertical="center" wrapText="1"/>
    </xf>
    <xf borderId="38" fillId="4" fontId="8" numFmtId="0" xfId="0" applyAlignment="1" applyBorder="1" applyFont="1">
      <alignment horizontal="center" readingOrder="0" shrinkToFit="0" vertical="center" wrapText="1"/>
    </xf>
    <xf borderId="39" fillId="4" fontId="8" numFmtId="0" xfId="0" applyAlignment="1" applyBorder="1" applyFont="1">
      <alignment horizontal="center" readingOrder="0" shrinkToFit="0" vertical="center" wrapText="1"/>
    </xf>
    <xf borderId="11" fillId="4" fontId="8" numFmtId="0" xfId="0" applyAlignment="1" applyBorder="1" applyFont="1">
      <alignment horizontal="center" readingOrder="0" shrinkToFit="0" vertical="center" wrapText="1"/>
    </xf>
    <xf borderId="0" fillId="7" fontId="1" numFmtId="0" xfId="0" applyAlignment="1" applyFill="1" applyFont="1">
      <alignment readingOrder="0"/>
    </xf>
    <xf borderId="0" fillId="7" fontId="1" numFmtId="0" xfId="0" applyAlignment="1" applyFont="1">
      <alignment horizontal="center" readingOrder="0"/>
    </xf>
    <xf borderId="21" fillId="5" fontId="1" numFmtId="0" xfId="0" applyAlignment="1" applyBorder="1" applyFont="1">
      <alignment horizontal="center" readingOrder="0"/>
    </xf>
    <xf borderId="0" fillId="8" fontId="1" numFmtId="0" xfId="0" applyAlignment="1" applyFill="1" applyFont="1">
      <alignment horizontal="center" readingOrder="0"/>
    </xf>
    <xf borderId="0" fillId="5" fontId="1" numFmtId="0" xfId="0" applyFont="1"/>
    <xf borderId="0" fillId="0" fontId="1" numFmtId="2" xfId="0" applyFont="1" applyNumberFormat="1"/>
    <xf borderId="0" fillId="0" fontId="1" numFmtId="0" xfId="0" applyAlignment="1" applyFont="1">
      <alignment horizontal="center"/>
    </xf>
    <xf borderId="0" fillId="9" fontId="1" numFmtId="0" xfId="0" applyAlignment="1" applyFill="1" applyFont="1">
      <alignment readingOrder="0"/>
    </xf>
    <xf borderId="0" fillId="0" fontId="1" numFmtId="164" xfId="0" applyAlignment="1" applyFont="1" applyNumberFormat="1">
      <alignment horizontal="center"/>
    </xf>
    <xf borderId="0" fillId="0" fontId="1" numFmtId="165" xfId="0" applyAlignment="1" applyFont="1" applyNumberFormat="1">
      <alignment horizontal="center"/>
    </xf>
    <xf borderId="0" fillId="0" fontId="1" numFmtId="166" xfId="0" applyAlignment="1" applyFont="1" applyNumberFormat="1">
      <alignment horizontal="center"/>
    </xf>
    <xf borderId="40" fillId="4" fontId="8" numFmtId="0" xfId="0" applyAlignment="1" applyBorder="1" applyFont="1">
      <alignment horizontal="center" readingOrder="0"/>
    </xf>
    <xf borderId="0" fillId="0" fontId="1" numFmtId="10" xfId="0" applyAlignment="1" applyFont="1" applyNumberFormat="1">
      <alignment horizontal="center" readingOrder="0"/>
    </xf>
    <xf borderId="0" fillId="0" fontId="1" numFmtId="10" xfId="0" applyAlignment="1" applyFont="1" applyNumberFormat="1">
      <alignment horizontal="center"/>
    </xf>
    <xf borderId="2" fillId="2" fontId="4" numFmtId="0" xfId="0" applyAlignment="1" applyBorder="1" applyFont="1">
      <alignment horizontal="center" readingOrder="0"/>
    </xf>
    <xf borderId="0" fillId="4" fontId="10" numFmtId="0" xfId="0" applyAlignment="1" applyFont="1">
      <alignment vertical="bottom"/>
    </xf>
    <xf borderId="25" fillId="4" fontId="10" numFmtId="0" xfId="0" applyAlignment="1" applyBorder="1" applyFont="1">
      <alignment vertical="bottom"/>
    </xf>
    <xf borderId="26" fillId="4" fontId="10" numFmtId="0" xfId="0" applyAlignment="1" applyBorder="1" applyFont="1">
      <alignment vertical="bottom"/>
    </xf>
    <xf borderId="21" fillId="5" fontId="9" numFmtId="0" xfId="0" applyAlignment="1" applyBorder="1" applyFont="1">
      <alignment horizontal="center" readingOrder="0" vertical="bottom"/>
    </xf>
    <xf borderId="0" fillId="5" fontId="10" numFmtId="0" xfId="0" applyAlignment="1" applyFont="1">
      <alignment horizontal="center" vertical="bottom"/>
    </xf>
    <xf borderId="0" fillId="5" fontId="10" numFmtId="0" xfId="0" applyAlignment="1" applyFont="1">
      <alignment horizontal="center" readingOrder="0" vertical="bottom"/>
    </xf>
    <xf borderId="33" fillId="4" fontId="10" numFmtId="0" xfId="0" applyAlignment="1" applyBorder="1" applyFont="1">
      <alignment vertical="bottom"/>
    </xf>
    <xf borderId="22" fillId="5" fontId="10" numFmtId="0" xfId="0" applyAlignment="1" applyBorder="1" applyFont="1">
      <alignment horizontal="center" vertical="bottom"/>
    </xf>
    <xf borderId="0" fillId="8" fontId="10" numFmtId="0" xfId="0" applyAlignment="1" applyFont="1">
      <alignment horizontal="center" vertical="bottom"/>
    </xf>
    <xf borderId="0" fillId="5" fontId="10" numFmtId="0" xfId="0" applyAlignment="1" applyFont="1">
      <alignment vertical="bottom"/>
    </xf>
    <xf borderId="22" fillId="5" fontId="10" numFmtId="0" xfId="0" applyAlignment="1" applyBorder="1" applyFont="1">
      <alignment vertical="bottom"/>
    </xf>
    <xf borderId="21" fillId="5" fontId="1" numFmtId="0" xfId="0" applyBorder="1" applyFont="1"/>
    <xf borderId="22" fillId="5" fontId="1" numFmtId="0" xfId="0" applyBorder="1" applyFont="1"/>
    <xf borderId="21" fillId="5" fontId="9" numFmtId="0" xfId="0" applyAlignment="1" applyBorder="1" applyFont="1">
      <alignment horizontal="center" vertical="bottom"/>
    </xf>
    <xf borderId="0" fillId="2" fontId="5" numFmtId="0" xfId="0" applyAlignment="1" applyFont="1">
      <alignment horizontal="center" readingOrder="0"/>
    </xf>
    <xf borderId="0" fillId="2" fontId="1" numFmtId="0" xfId="0" applyAlignment="1" applyFont="1">
      <alignment horizontal="center" readingOrder="0"/>
    </xf>
    <xf borderId="12" fillId="2" fontId="5" numFmtId="0" xfId="0" applyAlignment="1" applyBorder="1" applyFont="1">
      <alignment horizontal="center" readingOrder="0"/>
    </xf>
    <xf borderId="12" fillId="2" fontId="1" numFmtId="0" xfId="0" applyAlignment="1" applyBorder="1" applyFont="1">
      <alignment horizontal="center" readingOrder="0"/>
    </xf>
    <xf borderId="12" fillId="3" fontId="1" numFmtId="0" xfId="0" applyAlignment="1" applyBorder="1" applyFont="1">
      <alignment horizontal="center" readingOrder="0"/>
    </xf>
    <xf borderId="21" fillId="5" fontId="1" numFmtId="0" xfId="0" applyBorder="1" applyFont="1"/>
    <xf borderId="0" fillId="5" fontId="1" numFmtId="0" xfId="0" applyFont="1"/>
    <xf borderId="41" fillId="5" fontId="1" numFmtId="0" xfId="0" applyAlignment="1" applyBorder="1" applyFont="1">
      <alignment horizontal="center" readingOrder="0"/>
    </xf>
    <xf borderId="41" fillId="4" fontId="1" numFmtId="0" xfId="0" applyAlignment="1" applyBorder="1" applyFont="1">
      <alignment horizontal="center"/>
    </xf>
    <xf borderId="23" fillId="4" fontId="8" numFmtId="1" xfId="0" applyAlignment="1" applyBorder="1" applyFont="1" applyNumberFormat="1">
      <alignment horizontal="center"/>
    </xf>
    <xf borderId="24" fillId="4" fontId="1" numFmtId="1" xfId="0" applyAlignment="1" applyBorder="1" applyFont="1" applyNumberFormat="1">
      <alignment horizontal="center"/>
    </xf>
    <xf borderId="25" fillId="4" fontId="1" numFmtId="1" xfId="0" applyAlignment="1" applyBorder="1" applyFont="1" applyNumberFormat="1">
      <alignment horizontal="center"/>
    </xf>
    <xf borderId="0" fillId="4" fontId="1" numFmtId="1" xfId="0" applyAlignment="1" applyFont="1" applyNumberFormat="1">
      <alignment horizontal="center"/>
    </xf>
    <xf borderId="26" fillId="4" fontId="1" numFmtId="1" xfId="0" applyAlignment="1" applyBorder="1" applyFont="1" applyNumberFormat="1">
      <alignment horizontal="center"/>
    </xf>
    <xf borderId="0" fillId="0" fontId="1" numFmtId="1" xfId="0" applyFont="1" applyNumberFormat="1"/>
    <xf borderId="13" fillId="5" fontId="8" numFmtId="1" xfId="0" applyAlignment="1" applyBorder="1" applyFont="1" applyNumberFormat="1">
      <alignment horizontal="center" readingOrder="0"/>
    </xf>
    <xf borderId="19" fillId="5" fontId="1" numFmtId="1" xfId="0" applyAlignment="1" applyBorder="1" applyFont="1" applyNumberFormat="1">
      <alignment horizontal="center"/>
    </xf>
    <xf borderId="0" fillId="5" fontId="1" numFmtId="1" xfId="0" applyAlignment="1" applyFont="1" applyNumberFormat="1">
      <alignment horizontal="center"/>
    </xf>
    <xf borderId="20" fillId="5" fontId="1" numFmtId="1" xfId="0" applyAlignment="1" applyBorder="1" applyFont="1" applyNumberFormat="1">
      <alignment horizontal="center"/>
    </xf>
    <xf borderId="0" fillId="4" fontId="1" numFmtId="1" xfId="0" applyAlignment="1" applyFont="1" applyNumberFormat="1">
      <alignment horizontal="center" readingOrder="0"/>
    </xf>
    <xf borderId="21" fillId="5" fontId="8" numFmtId="1" xfId="0" applyAlignment="1" applyBorder="1" applyFont="1" applyNumberFormat="1">
      <alignment horizontal="center" readingOrder="0"/>
    </xf>
    <xf borderId="0" fillId="5" fontId="1" numFmtId="1" xfId="0" applyAlignment="1" applyFont="1" applyNumberFormat="1">
      <alignment horizontal="center" readingOrder="0"/>
    </xf>
    <xf borderId="33" fillId="4" fontId="1" numFmtId="1" xfId="0" applyAlignment="1" applyBorder="1" applyFont="1" applyNumberFormat="1">
      <alignment horizontal="center" readingOrder="0"/>
    </xf>
    <xf borderId="22" fillId="5" fontId="1" numFmtId="1" xfId="0" applyAlignment="1" applyBorder="1" applyFont="1" applyNumberFormat="1">
      <alignment horizontal="center"/>
    </xf>
    <xf borderId="13" fillId="5" fontId="8" numFmtId="1" xfId="0" applyAlignment="1" applyBorder="1" applyFont="1" applyNumberFormat="1">
      <alignment horizontal="center"/>
    </xf>
    <xf borderId="19" fillId="5" fontId="1" numFmtId="1" xfId="0" applyAlignment="1" applyBorder="1" applyFont="1" applyNumberFormat="1">
      <alignment horizontal="center" readingOrder="0"/>
    </xf>
    <xf borderId="20" fillId="5" fontId="1" numFmtId="1" xfId="0" applyAlignment="1" applyBorder="1" applyFont="1" applyNumberFormat="1">
      <alignment horizontal="center" readingOrder="0"/>
    </xf>
    <xf borderId="21" fillId="5" fontId="1" numFmtId="1" xfId="0" applyAlignment="1" applyBorder="1" applyFont="1" applyNumberFormat="1">
      <alignment horizontal="center" readingOrder="0"/>
    </xf>
    <xf borderId="0" fillId="8" fontId="1" numFmtId="1" xfId="0" applyAlignment="1" applyFont="1" applyNumberFormat="1">
      <alignment horizontal="center" readingOrder="0"/>
    </xf>
    <xf borderId="0" fillId="5" fontId="1" numFmtId="1" xfId="0" applyFont="1" applyNumberFormat="1"/>
    <xf borderId="33" fillId="4" fontId="1" numFmtId="1" xfId="0" applyAlignment="1" applyBorder="1" applyFont="1" applyNumberFormat="1">
      <alignment horizontal="center"/>
    </xf>
    <xf borderId="21" fillId="6" fontId="8" numFmtId="1" xfId="0" applyAlignment="1" applyBorder="1" applyFont="1" applyNumberFormat="1">
      <alignment horizontal="center" readingOrder="0"/>
    </xf>
    <xf borderId="0" fillId="6" fontId="1" numFmtId="1" xfId="0" applyAlignment="1" applyFont="1" applyNumberFormat="1">
      <alignment horizontal="center" readingOrder="0"/>
    </xf>
    <xf borderId="0" fillId="10" fontId="1" numFmtId="1" xfId="0" applyAlignment="1" applyFill="1" applyFont="1" applyNumberFormat="1">
      <alignment horizontal="center" readingOrder="0"/>
    </xf>
    <xf borderId="0" fillId="9" fontId="1" numFmtId="1" xfId="0" applyAlignment="1" applyFont="1" applyNumberFormat="1">
      <alignment readingOrder="0"/>
    </xf>
    <xf borderId="0" fillId="0" fontId="1" numFmtId="1" xfId="0" applyAlignment="1" applyFont="1" applyNumberFormat="1">
      <alignment horizontal="center"/>
    </xf>
    <xf borderId="0" fillId="10" fontId="1" numFmtId="0" xfId="0" applyAlignment="1" applyFont="1">
      <alignment horizontal="center" readingOrder="0"/>
    </xf>
    <xf borderId="21" fillId="5" fontId="12" numFmtId="0" xfId="0" applyAlignment="1" applyBorder="1" applyFont="1">
      <alignment horizontal="center" readingOrder="0"/>
    </xf>
    <xf borderId="0" fillId="5" fontId="3" numFmtId="0" xfId="0" applyAlignment="1" applyFont="1">
      <alignment horizontal="center" readingOrder="0"/>
    </xf>
    <xf borderId="19" fillId="5" fontId="3" numFmtId="0" xfId="0" applyAlignment="1" applyBorder="1" applyFont="1">
      <alignment horizontal="center" readingOrder="0"/>
    </xf>
    <xf borderId="0" fillId="6" fontId="13" numFmtId="0" xfId="0" applyAlignment="1" applyFont="1">
      <alignment horizontal="center" readingOrder="0" vertical="bottom"/>
    </xf>
    <xf borderId="21" fillId="5" fontId="12" numFmtId="1" xfId="0" applyAlignment="1" applyBorder="1" applyFont="1" applyNumberFormat="1">
      <alignment horizontal="center" readingOrder="0"/>
    </xf>
    <xf borderId="0" fillId="5" fontId="3" numFmtId="1" xfId="0" applyAlignment="1" applyFont="1" applyNumberFormat="1">
      <alignment horizontal="center" readingOrder="0"/>
    </xf>
    <xf borderId="19" fillId="5" fontId="3" numFmtId="1" xfId="0" applyAlignment="1" applyBorder="1" applyFont="1" applyNumberFormat="1">
      <alignment horizontal="center" readingOrder="0"/>
    </xf>
    <xf borderId="0" fillId="6" fontId="3" numFmtId="1" xfId="0" applyAlignment="1" applyFont="1" applyNumberFormat="1">
      <alignment horizontal="center" readingOrder="0"/>
    </xf>
    <xf borderId="0" fillId="0" fontId="3" numFmtId="0" xfId="0" applyAlignment="1" applyFont="1">
      <alignment horizontal="center" readingOrder="0"/>
    </xf>
    <xf borderId="0" fillId="0" fontId="3" numFmtId="1" xfId="0" applyAlignment="1" applyFont="1" applyNumberFormat="1">
      <alignment horizontal="center" readingOrder="0"/>
    </xf>
    <xf borderId="20" fillId="5" fontId="1" numFmtId="2"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21.xml"/><Relationship Id="rId42" Type="http://schemas.openxmlformats.org/officeDocument/2006/relationships/pivotCacheDefinition" Target="pivotCache/pivotCacheDefinition23.xml"/><Relationship Id="rId41" Type="http://schemas.openxmlformats.org/officeDocument/2006/relationships/pivotCacheDefinition" Target="pivotCache/pivotCacheDefinition22.xml"/><Relationship Id="rId44" Type="http://schemas.openxmlformats.org/officeDocument/2006/relationships/pivotCacheDefinition" Target="pivotCache/pivotCacheDefinition25.xml"/><Relationship Id="rId43" Type="http://schemas.openxmlformats.org/officeDocument/2006/relationships/pivotCacheDefinition" Target="pivotCache/pivotCacheDefinition24.xml"/><Relationship Id="rId46" Type="http://schemas.openxmlformats.org/officeDocument/2006/relationships/pivotCacheDefinition" Target="pivotCache/pivotCacheDefinition27.xml"/><Relationship Id="rId45" Type="http://schemas.openxmlformats.org/officeDocument/2006/relationships/pivotCacheDefinition" Target="pivotCache/pivotCacheDefinition26.xml"/><Relationship Id="rId48" Type="http://schemas.openxmlformats.org/officeDocument/2006/relationships/pivotCacheDefinition" Target="pivotCache/pivotCacheDefinition29.xml"/><Relationship Id="rId47" Type="http://schemas.openxmlformats.org/officeDocument/2006/relationships/pivotCacheDefinition" Target="pivotCache/pivotCacheDefinition28.xml"/><Relationship Id="rId49" Type="http://schemas.openxmlformats.org/officeDocument/2006/relationships/pivotCacheDefinition" Target="pivotCache/pivotCacheDefinition30.xml"/><Relationship Id="rId100" Type="http://schemas.openxmlformats.org/officeDocument/2006/relationships/pivotCacheDefinition" Target="pivotCache/pivotCacheDefinition81.xml"/><Relationship Id="rId31" Type="http://schemas.openxmlformats.org/officeDocument/2006/relationships/pivotCacheDefinition" Target="pivotCache/pivotCacheDefinition12.xml"/><Relationship Id="rId30" Type="http://schemas.openxmlformats.org/officeDocument/2006/relationships/pivotCacheDefinition" Target="pivotCache/pivotCacheDefinition11.xml"/><Relationship Id="rId33" Type="http://schemas.openxmlformats.org/officeDocument/2006/relationships/pivotCacheDefinition" Target="pivotCache/pivotCacheDefinition14.xml"/><Relationship Id="rId32" Type="http://schemas.openxmlformats.org/officeDocument/2006/relationships/pivotCacheDefinition" Target="pivotCache/pivotCacheDefinition13.xml"/><Relationship Id="rId35" Type="http://schemas.openxmlformats.org/officeDocument/2006/relationships/pivotCacheDefinition" Target="pivotCache/pivotCacheDefinition16.xml"/><Relationship Id="rId34" Type="http://schemas.openxmlformats.org/officeDocument/2006/relationships/pivotCacheDefinition" Target="pivotCache/pivotCacheDefinition15.xml"/><Relationship Id="rId37" Type="http://schemas.openxmlformats.org/officeDocument/2006/relationships/pivotCacheDefinition" Target="pivotCache/pivotCacheDefinition18.xml"/><Relationship Id="rId36" Type="http://schemas.openxmlformats.org/officeDocument/2006/relationships/pivotCacheDefinition" Target="pivotCache/pivotCacheDefinition17.xml"/><Relationship Id="rId39" Type="http://schemas.openxmlformats.org/officeDocument/2006/relationships/pivotCacheDefinition" Target="pivotCache/pivotCacheDefinition20.xml"/><Relationship Id="rId38" Type="http://schemas.openxmlformats.org/officeDocument/2006/relationships/pivotCacheDefinition" Target="pivotCache/pivotCacheDefinition19.xml"/><Relationship Id="rId20" Type="http://schemas.openxmlformats.org/officeDocument/2006/relationships/pivotCacheDefinition" Target="pivotCache/pivotCacheDefinition1.xml"/><Relationship Id="rId22" Type="http://schemas.openxmlformats.org/officeDocument/2006/relationships/pivotCacheDefinition" Target="pivotCache/pivotCacheDefinition3.xml"/><Relationship Id="rId21" Type="http://schemas.openxmlformats.org/officeDocument/2006/relationships/pivotCacheDefinition" Target="pivotCache/pivotCacheDefinition2.xml"/><Relationship Id="rId24" Type="http://schemas.openxmlformats.org/officeDocument/2006/relationships/pivotCacheDefinition" Target="pivotCache/pivotCacheDefinition5.xml"/><Relationship Id="rId23" Type="http://schemas.openxmlformats.org/officeDocument/2006/relationships/pivotCacheDefinition" Target="pivotCache/pivotCacheDefinition4.xml"/><Relationship Id="rId26" Type="http://schemas.openxmlformats.org/officeDocument/2006/relationships/pivotCacheDefinition" Target="pivotCache/pivotCacheDefinition7.xml"/><Relationship Id="rId25" Type="http://schemas.openxmlformats.org/officeDocument/2006/relationships/pivotCacheDefinition" Target="pivotCache/pivotCacheDefinition6.xml"/><Relationship Id="rId28" Type="http://schemas.openxmlformats.org/officeDocument/2006/relationships/pivotCacheDefinition" Target="pivotCache/pivotCacheDefinition9.xml"/><Relationship Id="rId27" Type="http://schemas.openxmlformats.org/officeDocument/2006/relationships/pivotCacheDefinition" Target="pivotCache/pivotCacheDefinition8.xml"/><Relationship Id="rId29" Type="http://schemas.openxmlformats.org/officeDocument/2006/relationships/pivotCacheDefinition" Target="pivotCache/pivotCacheDefinition10.xml"/><Relationship Id="rId95" Type="http://schemas.openxmlformats.org/officeDocument/2006/relationships/pivotCacheDefinition" Target="pivotCache/pivotCacheDefinition76.xml"/><Relationship Id="rId94" Type="http://schemas.openxmlformats.org/officeDocument/2006/relationships/pivotCacheDefinition" Target="pivotCache/pivotCacheDefinition75.xml"/><Relationship Id="rId97" Type="http://schemas.openxmlformats.org/officeDocument/2006/relationships/pivotCacheDefinition" Target="pivotCache/pivotCacheDefinition78.xml"/><Relationship Id="rId96" Type="http://schemas.openxmlformats.org/officeDocument/2006/relationships/pivotCacheDefinition" Target="pivotCache/pivotCacheDefinition77.xml"/><Relationship Id="rId11" Type="http://schemas.openxmlformats.org/officeDocument/2006/relationships/worksheet" Target="worksheets/sheet8.xml"/><Relationship Id="rId99" Type="http://schemas.openxmlformats.org/officeDocument/2006/relationships/pivotCacheDefinition" Target="pivotCache/pivotCacheDefinition80.xml"/><Relationship Id="rId10" Type="http://schemas.openxmlformats.org/officeDocument/2006/relationships/worksheet" Target="worksheets/sheet7.xml"/><Relationship Id="rId98" Type="http://schemas.openxmlformats.org/officeDocument/2006/relationships/pivotCacheDefinition" Target="pivotCache/pivotCacheDefinition79.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pivotCacheDefinition" Target="pivotCache/pivotCacheDefinition72.xml"/><Relationship Id="rId90" Type="http://schemas.openxmlformats.org/officeDocument/2006/relationships/pivotCacheDefinition" Target="pivotCache/pivotCacheDefinition71.xml"/><Relationship Id="rId93" Type="http://schemas.openxmlformats.org/officeDocument/2006/relationships/pivotCacheDefinition" Target="pivotCache/pivotCacheDefinition74.xml"/><Relationship Id="rId92" Type="http://schemas.openxmlformats.org/officeDocument/2006/relationships/pivotCacheDefinition" Target="pivotCache/pivotCacheDefinition73.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pivotCacheDefinition" Target="pivotCache/pivotCacheDefinition65.xml"/><Relationship Id="rId83" Type="http://schemas.openxmlformats.org/officeDocument/2006/relationships/pivotCacheDefinition" Target="pivotCache/pivotCacheDefinition64.xml"/><Relationship Id="rId86" Type="http://schemas.openxmlformats.org/officeDocument/2006/relationships/pivotCacheDefinition" Target="pivotCache/pivotCacheDefinition67.xml"/><Relationship Id="rId85" Type="http://schemas.openxmlformats.org/officeDocument/2006/relationships/pivotCacheDefinition" Target="pivotCache/pivotCacheDefinition66.xml"/><Relationship Id="rId88" Type="http://schemas.openxmlformats.org/officeDocument/2006/relationships/pivotCacheDefinition" Target="pivotCache/pivotCacheDefinition69.xml"/><Relationship Id="rId87" Type="http://schemas.openxmlformats.org/officeDocument/2006/relationships/pivotCacheDefinition" Target="pivotCache/pivotCacheDefinition68.xml"/><Relationship Id="rId89" Type="http://schemas.openxmlformats.org/officeDocument/2006/relationships/pivotCacheDefinition" Target="pivotCache/pivotCacheDefinition70.xml"/><Relationship Id="rId80" Type="http://schemas.openxmlformats.org/officeDocument/2006/relationships/pivotCacheDefinition" Target="pivotCache/pivotCacheDefinition61.xml"/><Relationship Id="rId82" Type="http://schemas.openxmlformats.org/officeDocument/2006/relationships/pivotCacheDefinition" Target="pivotCache/pivotCacheDefinition63.xml"/><Relationship Id="rId81" Type="http://schemas.openxmlformats.org/officeDocument/2006/relationships/pivotCacheDefinition" Target="pivotCache/pivotCacheDefinition6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pivotCacheDefinition" Target="pivotCache/pivotCacheDefinition54.xml"/><Relationship Id="rId72" Type="http://schemas.openxmlformats.org/officeDocument/2006/relationships/pivotCacheDefinition" Target="pivotCache/pivotCacheDefinition53.xml"/><Relationship Id="rId75" Type="http://schemas.openxmlformats.org/officeDocument/2006/relationships/pivotCacheDefinition" Target="pivotCache/pivotCacheDefinition56.xml"/><Relationship Id="rId74" Type="http://schemas.openxmlformats.org/officeDocument/2006/relationships/pivotCacheDefinition" Target="pivotCache/pivotCacheDefinition55.xml"/><Relationship Id="rId77" Type="http://schemas.openxmlformats.org/officeDocument/2006/relationships/pivotCacheDefinition" Target="pivotCache/pivotCacheDefinition58.xml"/><Relationship Id="rId76" Type="http://schemas.openxmlformats.org/officeDocument/2006/relationships/pivotCacheDefinition" Target="pivotCache/pivotCacheDefinition57.xml"/><Relationship Id="rId79" Type="http://schemas.openxmlformats.org/officeDocument/2006/relationships/pivotCacheDefinition" Target="pivotCache/pivotCacheDefinition60.xml"/><Relationship Id="rId78" Type="http://schemas.openxmlformats.org/officeDocument/2006/relationships/pivotCacheDefinition" Target="pivotCache/pivotCacheDefinition59.xml"/><Relationship Id="rId71" Type="http://schemas.openxmlformats.org/officeDocument/2006/relationships/pivotCacheDefinition" Target="pivotCache/pivotCacheDefinition52.xml"/><Relationship Id="rId70" Type="http://schemas.openxmlformats.org/officeDocument/2006/relationships/pivotCacheDefinition" Target="pivotCache/pivotCacheDefinition51.xml"/><Relationship Id="rId62" Type="http://schemas.openxmlformats.org/officeDocument/2006/relationships/pivotCacheDefinition" Target="pivotCache/pivotCacheDefinition43.xml"/><Relationship Id="rId61" Type="http://schemas.openxmlformats.org/officeDocument/2006/relationships/pivotCacheDefinition" Target="pivotCache/pivotCacheDefinition42.xml"/><Relationship Id="rId64" Type="http://schemas.openxmlformats.org/officeDocument/2006/relationships/pivotCacheDefinition" Target="pivotCache/pivotCacheDefinition45.xml"/><Relationship Id="rId63" Type="http://schemas.openxmlformats.org/officeDocument/2006/relationships/pivotCacheDefinition" Target="pivotCache/pivotCacheDefinition44.xml"/><Relationship Id="rId66" Type="http://schemas.openxmlformats.org/officeDocument/2006/relationships/pivotCacheDefinition" Target="pivotCache/pivotCacheDefinition47.xml"/><Relationship Id="rId65" Type="http://schemas.openxmlformats.org/officeDocument/2006/relationships/pivotCacheDefinition" Target="pivotCache/pivotCacheDefinition46.xml"/><Relationship Id="rId68" Type="http://schemas.openxmlformats.org/officeDocument/2006/relationships/pivotCacheDefinition" Target="pivotCache/pivotCacheDefinition49.xml"/><Relationship Id="rId67" Type="http://schemas.openxmlformats.org/officeDocument/2006/relationships/pivotCacheDefinition" Target="pivotCache/pivotCacheDefinition48.xml"/><Relationship Id="rId60" Type="http://schemas.openxmlformats.org/officeDocument/2006/relationships/pivotCacheDefinition" Target="pivotCache/pivotCacheDefinition41.xml"/><Relationship Id="rId69" Type="http://schemas.openxmlformats.org/officeDocument/2006/relationships/pivotCacheDefinition" Target="pivotCache/pivotCacheDefinition50.xml"/><Relationship Id="rId51" Type="http://schemas.openxmlformats.org/officeDocument/2006/relationships/pivotCacheDefinition" Target="pivotCache/pivotCacheDefinition32.xml"/><Relationship Id="rId50" Type="http://schemas.openxmlformats.org/officeDocument/2006/relationships/pivotCacheDefinition" Target="pivotCache/pivotCacheDefinition31.xml"/><Relationship Id="rId53" Type="http://schemas.openxmlformats.org/officeDocument/2006/relationships/pivotCacheDefinition" Target="pivotCache/pivotCacheDefinition34.xml"/><Relationship Id="rId52" Type="http://schemas.openxmlformats.org/officeDocument/2006/relationships/pivotCacheDefinition" Target="pivotCache/pivotCacheDefinition33.xml"/><Relationship Id="rId55" Type="http://schemas.openxmlformats.org/officeDocument/2006/relationships/pivotCacheDefinition" Target="pivotCache/pivotCacheDefinition36.xml"/><Relationship Id="rId54" Type="http://schemas.openxmlformats.org/officeDocument/2006/relationships/pivotCacheDefinition" Target="pivotCache/pivotCacheDefinition35.xml"/><Relationship Id="rId57" Type="http://schemas.openxmlformats.org/officeDocument/2006/relationships/pivotCacheDefinition" Target="pivotCache/pivotCacheDefinition38.xml"/><Relationship Id="rId56" Type="http://schemas.openxmlformats.org/officeDocument/2006/relationships/pivotCacheDefinition" Target="pivotCache/pivotCacheDefinition37.xml"/><Relationship Id="rId59" Type="http://schemas.openxmlformats.org/officeDocument/2006/relationships/pivotCacheDefinition" Target="pivotCache/pivotCacheDefinition40.xml"/><Relationship Id="rId58" Type="http://schemas.openxmlformats.org/officeDocument/2006/relationships/pivotCacheDefinition" Target="pivotCache/pivotCacheDefinition39.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647700</xdr:colOff>
      <xdr:row>0</xdr:row>
      <xdr:rowOff>24993600</xdr:rowOff>
    </xdr:from>
    <xdr:ext cx="3333750" cy="3657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142875</xdr:colOff>
      <xdr:row>142</xdr:row>
      <xdr:rowOff>142875</xdr:rowOff>
    </xdr:from>
    <xdr:ext cx="3838575" cy="30956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G26" sheet="Template Recipe Line"/>
  </cacheSource>
  <cacheFields>
    <cacheField name="Inputs" numFmtId="0">
      <sharedItems containsBlank="1">
        <m/>
        <s v="Sulfuric Acid"/>
        <s v="PTFE"/>
        <s v="Polyethylene"/>
        <s v="Osmium"/>
        <s v="Platinum"/>
      </sharedItems>
    </cacheField>
    <cacheField name="Input(L)" numFmtId="0">
      <sharedItems containsString="0" containsBlank="1" containsNumber="1" containsInteger="1">
        <m/>
        <n v="500.0"/>
        <n v="600.0"/>
        <n v="2000.0"/>
        <n v="1000.0"/>
      </sharedItems>
    </cacheField>
    <cacheField name="Outputs" numFmtId="0">
      <sharedItems containsBlank="1">
        <m/>
        <s v="Platinum"/>
        <s v="Osmium"/>
        <s v="Sulfuric Acid"/>
        <s v="Polyethylene"/>
        <s v="PTFE"/>
      </sharedItems>
    </cacheField>
    <cacheField name="Output(L)" numFmtId="0">
      <sharedItems containsString="0" containsBlank="1" containsNumber="1" containsInteger="1">
        <m/>
        <n v="1000.0"/>
        <n v="250.0"/>
        <n v="3000.0"/>
      </sharedItems>
    </cacheField>
    <cacheField name="Machine Type" numFmtId="0">
      <sharedItems containsBlank="1">
        <s v="Chemical Reactor"/>
        <m/>
        <s v="Mixer"/>
      </sharedItems>
    </cacheField>
    <cacheField name="Machine Count" numFmtId="0">
      <sharedItems containsString="0" containsBlank="1" containsNumber="1" containsInteger="1">
        <n v="2.0"/>
        <m/>
        <n v="3.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H26" sheet="Template Recipe Line"/>
  </cacheSource>
  <cacheFields>
    <cacheField name="Inputs" numFmtId="0">
      <sharedItems containsBlank="1">
        <m/>
        <s v="Sulfuric Acid"/>
        <s v="PTFE"/>
        <s v="Polyethylene"/>
        <s v="Osmium"/>
        <s v="Platinum"/>
      </sharedItems>
    </cacheField>
    <cacheField name="Input(L)" numFmtId="0">
      <sharedItems containsString="0" containsBlank="1" containsNumber="1" containsInteger="1">
        <m/>
        <n v="500.0"/>
        <n v="600.0"/>
        <n v="2000.0"/>
        <n v="1000.0"/>
      </sharedItems>
    </cacheField>
    <cacheField name="Outputs" numFmtId="0">
      <sharedItems containsBlank="1">
        <m/>
        <s v="Platinum"/>
        <s v="Osmium"/>
        <s v="Sulfuric Acid"/>
        <s v="Polyethylene"/>
        <s v="PTFE"/>
      </sharedItems>
    </cacheField>
    <cacheField name="Output(L)" numFmtId="0">
      <sharedItems containsString="0" containsBlank="1" containsNumber="1" containsInteger="1">
        <m/>
        <n v="1000.0"/>
        <n v="250.0"/>
        <n v="3000.0"/>
      </sharedItems>
    </cacheField>
    <cacheField name="Machine Type" numFmtId="0">
      <sharedItems containsBlank="1">
        <s v="Chemical Reactor"/>
        <m/>
        <s v="Mixer"/>
      </sharedItems>
    </cacheField>
    <cacheField name="Machine Count" numFmtId="0">
      <sharedItems containsString="0" containsBlank="1" containsNumber="1" containsInteger="1">
        <n v="2.0"/>
        <m/>
        <n v="3.0"/>
      </sharedItems>
    </cacheField>
    <cacheField name="Min Tier" numFmtId="0">
      <sharedItems containsString="0" containsBlank="1" containsNumber="1" containsInteger="1">
        <n v="1.0"/>
        <m/>
        <n v="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P7:S12" sheet="Template Recipe Line"/>
  </cacheSource>
  <cacheFields>
    <cacheField name="Inputs" numFmtId="0">
      <sharedItems>
        <s v="Osmium"/>
        <s v="Platinum"/>
        <s v="Polyethylene"/>
        <s v="PTFE"/>
        <s v="Sulfuric Acid"/>
      </sharedItems>
    </cacheField>
    <cacheField name="A" numFmtId="0">
      <sharedItems containsSemiMixedTypes="0" containsString="0" containsNumber="1" containsInteger="1">
        <n v="500.0"/>
        <n v="0.0"/>
        <n v="2000.0"/>
        <n v="1600.0"/>
      </sharedItems>
    </cacheField>
    <cacheField name="Outputs" numFmtId="0">
      <sharedItems>
        <s v="Osmium"/>
        <s v="Platinum"/>
        <s v="Polyethylene"/>
        <s v="PTFE"/>
        <s v="Sulfuric Acid"/>
      </sharedItems>
    </cacheField>
    <cacheField name="B" numFmtId="0">
      <sharedItems containsSemiMixedTypes="0" containsString="0" containsNumber="1" containsInteger="1">
        <n v="1000.0"/>
        <n v="1250.0"/>
        <n v="3000.0"/>
        <n v="0.0"/>
      </sharedItems>
    </cacheField>
    <cacheField name="Amount Consumed" formula="A-B" databaseField="0"/>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O12" sheet="Template Recipe Line"/>
  </cacheSource>
  <cacheFields>
    <cacheField name="Recipes" numFmtId="0">
      <sharedItems containsBlank="1">
        <s v="Recipe 1"/>
        <m/>
        <s v="Recipe 2"/>
      </sharedItems>
    </cacheField>
    <cacheField name="Inputs" numFmtId="0">
      <sharedItems containsBlank="1">
        <m/>
        <s v="Sulfuric Acid"/>
        <s v="PTFE"/>
        <s v="Polyethylene"/>
        <s v="Osmium"/>
      </sharedItems>
    </cacheField>
    <cacheField name="Input(L)" numFmtId="0">
      <sharedItems containsString="0" containsBlank="1" containsNumber="1" containsInteger="1">
        <m/>
        <n v="500.0"/>
        <n v="600.0"/>
        <n v="2000.0"/>
        <n v="1000.0"/>
      </sharedItems>
    </cacheField>
    <cacheField name="Outputs" numFmtId="0">
      <sharedItems containsBlank="1">
        <m/>
        <s v="Platinum"/>
        <s v="Osmium"/>
        <s v="Sulfuric Acid"/>
        <s v="Polyethylene"/>
      </sharedItems>
    </cacheField>
    <cacheField name="Output(L)" numFmtId="0">
      <sharedItems containsString="0" containsBlank="1" containsNumber="1" containsInteger="1">
        <m/>
        <n v="1000.0"/>
        <n v="250.0"/>
        <n v="3000.0"/>
      </sharedItems>
    </cacheField>
    <cacheField name="Machine Type" numFmtId="0">
      <sharedItems containsBlank="1">
        <s v="Chemical Reactor"/>
        <m/>
        <s v="Mixer"/>
      </sharedItems>
    </cacheField>
    <cacheField name="Machine Count" numFmtId="0">
      <sharedItems containsString="0" containsBlank="1" containsNumber="1" containsInteger="1">
        <n v="2.0"/>
        <m/>
        <n v="3.0"/>
      </sharedItems>
    </cacheField>
    <cacheField name="Min Tier" numFmtId="0">
      <sharedItems containsString="0" containsBlank="1" containsNumber="1" containsInteger="1">
        <n v="1.0"/>
        <m/>
        <n v="2.0"/>
      </sharedItems>
    </cacheField>
    <cacheField name="EU/t" numFmtId="0">
      <sharedItems containsString="0" containsBlank="1" containsNumber="1" containsInteger="1">
        <n v="16.0"/>
        <m/>
        <n v="120.0"/>
      </sharedItems>
    </cacheField>
    <cacheField name="Time (t)" numFmtId="0">
      <sharedItems containsString="0" containsBlank="1" containsNumber="1" containsInteger="1">
        <n v="20.0"/>
        <m/>
        <n v="60.0"/>
      </sharedItems>
    </cacheField>
    <cacheField name="EU Cost" numFmtId="0">
      <sharedItems containsString="0" containsBlank="1" containsNumber="1" containsInteger="1">
        <n v="640.0"/>
        <m/>
        <n v="21600.0"/>
      </sharedItems>
    </cacheField>
    <cacheField name="OC Tier" numFmtId="0">
      <sharedItems containsString="0" containsBlank="1" containsNumber="1" containsInteger="1">
        <n v="3.0"/>
        <m/>
        <n v="12.0"/>
      </sharedItems>
    </cacheField>
    <cacheField name="OC EU/t" numFmtId="0">
      <sharedItems containsString="0" containsBlank="1" containsNumber="1" containsInteger="1">
        <n v="256.0"/>
        <m/>
        <n v="1.2582912E8"/>
      </sharedItems>
    </cacheField>
    <cacheField name="OC Time (t)" numFmtId="0">
      <sharedItems containsString="0" containsBlank="1" containsNumber="1" containsInteger="1">
        <n v="2.0"/>
        <m/>
        <n v="1.0"/>
      </sharedItems>
    </cacheField>
    <cacheField name="OC EU Cost" numFmtId="0">
      <sharedItems containsString="0" containsBlank="1" containsNumber="1" containsInteger="1">
        <n v="1024.0"/>
        <m/>
        <n v="3.7748736E8"/>
      </sharedItems>
    </cacheField>
    <cacheField name="Nº Overclocks" formula="'OC Tier'-'Min Tier'" databaseField="0"/>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F17" sheet="Poly SI Silicon"/>
  </cacheSource>
  <cacheFields>
    <cacheField name="Recipes" numFmtId="0">
      <sharedItems containsBlank="1">
        <s v="1: Silicon Tetrachloride"/>
        <m/>
        <s v="2: Silicon Poly SI"/>
        <s v="3: Salt Electrolysis"/>
      </sharedItems>
    </cacheField>
    <cacheField name="Inputs" numFmtId="0">
      <sharedItems containsBlank="1">
        <m/>
        <s v="Raw Silicon Dust"/>
        <s v="Chlorine"/>
        <s v="Sodium Dust"/>
        <s v="Silicon Tetrachloride"/>
        <s v="Salt"/>
        <s v="Silicon Poly SI"/>
      </sharedItems>
    </cacheField>
    <cacheField name="Input(L)" numFmtId="0">
      <sharedItems containsString="0" containsBlank="1" containsNumber="1" containsInteger="1">
        <m/>
        <n v="1.0"/>
        <n v="4000.0"/>
        <n v="4.0"/>
        <n v="1000.0"/>
        <n v="8.0"/>
      </sharedItems>
    </cacheField>
    <cacheField name="Outputs" numFmtId="0">
      <sharedItems containsBlank="1">
        <m/>
        <s v="Silicon Tetrachloride"/>
        <s v="Silicon Poly SI"/>
        <s v="Salt"/>
        <s v="Sodium Dust"/>
        <s v="Chlorine"/>
        <s v="Raw Silicon Dust"/>
      </sharedItems>
    </cacheField>
    <cacheField name="Output(L)" numFmtId="0">
      <sharedItems containsString="0" containsBlank="1" containsNumber="1" containsInteger="1">
        <m/>
        <n v="1000.0"/>
        <n v="1.0"/>
        <n v="8.0"/>
        <n v="4.0"/>
        <n v="4000.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F4:AG10" sheet="Poly SI Silicon"/>
  </cacheSource>
  <cacheFields>
    <cacheField name="Inputs" numFmtId="0">
      <sharedItems>
        <s v="Chlorine"/>
        <s v="Raw Silicon Dust"/>
        <s v="Salt"/>
        <s v="Silicon Poly SI"/>
        <s v="Silicon Tetrachloride"/>
        <s v="Sodium Dust"/>
      </sharedItems>
    </cacheField>
    <cacheField name="Amount Produced" numFmtId="0">
      <sharedItems containsSemiMixedTypes="0" containsString="0" containsNumber="1" containsInteger="1">
        <n v="0.0"/>
        <n v="-1.0"/>
        <n v="1.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B12:AD15" sheet="Poly SI Silicon"/>
  </cacheSource>
  <cacheFields>
    <cacheField name="Recipes" numFmtId="0">
      <sharedItems>
        <s v="1: Silicon Tetrachloride"/>
        <s v="2: Silicon Poly SI"/>
        <s v="3: Salt Electrolysis"/>
      </sharedItems>
    </cacheField>
    <cacheField name="Time (t)" numFmtId="0">
      <sharedItems containsSemiMixedTypes="0" containsString="0" containsNumber="1" containsInteger="1">
        <n v="400.0"/>
        <n v="100.0"/>
        <n v="1280.0"/>
      </sharedItems>
    </cacheField>
    <cacheField name="OC Time (t)" numFmtId="0">
      <sharedItems containsSemiMixedTypes="0" containsString="0" containsNumber="1" containsInteger="1">
        <n v="200.0"/>
        <n v="50.0"/>
        <n v="640.0"/>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8:F41" sheet="Poly SI Silicon"/>
  </cacheSource>
  <cacheFields>
    <cacheField name="Recipes" numFmtId="0">
      <sharedItems containsBlank="1">
        <s v="1: Silicon Tetrachloride"/>
        <m/>
        <s v="2: Silicon Poly SI"/>
        <s v="3: Zinc Chloride Electrolysis"/>
      </sharedItems>
    </cacheField>
    <cacheField name="Inputs" numFmtId="0">
      <sharedItems containsBlank="1">
        <m/>
        <s v="Raw Silicon"/>
        <s v="Chlorine"/>
        <s v="Zinc"/>
        <s v="Silicon Tetrachloride"/>
        <s v="Zinc Chloride"/>
        <s v="Silicon Poly SI"/>
      </sharedItems>
    </cacheField>
    <cacheField name="Input(L)" numFmtId="0">
      <sharedItems containsString="0" containsBlank="1" containsNumber="1" containsInteger="1">
        <m/>
        <n v="1.0"/>
        <n v="4000.0"/>
        <n v="2.0"/>
        <n v="1000.0"/>
        <n v="6.0"/>
      </sharedItems>
    </cacheField>
    <cacheField name="Outputs" numFmtId="0">
      <sharedItems containsBlank="1">
        <m/>
        <s v="Silicon Tetrachloride"/>
        <s v="Silicon Poly SI"/>
        <s v="Zinc Chloride"/>
        <s v="Zinc"/>
        <s v="Chlorine"/>
        <s v="Raw Silicon"/>
      </sharedItems>
    </cacheField>
    <cacheField name="Output(L)" numFmtId="0">
      <sharedItems containsString="0" containsBlank="1" containsNumber="1" containsInteger="1">
        <m/>
        <n v="1000.0"/>
        <n v="1.0"/>
        <n v="6.0"/>
        <n v="2.0"/>
        <n v="4000.0"/>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F28:AG34" sheet="Poly SI Silicon"/>
  </cacheSource>
  <cacheFields>
    <cacheField name="Inputs" numFmtId="0">
      <sharedItems>
        <s v="Chlorine"/>
        <s v="Raw Silicon"/>
        <s v="Silicon Poly SI"/>
        <s v="Silicon Tetrachloride"/>
        <s v="Zinc"/>
        <s v="Zinc Chloride"/>
      </sharedItems>
    </cacheField>
    <cacheField name="Amount Produced" numFmtId="0">
      <sharedItems containsSemiMixedTypes="0" containsString="0" containsNumber="1" containsInteger="1">
        <n v="0.0"/>
        <n v="-1.0"/>
        <n v="1.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B36:AD39" sheet="Poly SI Silicon"/>
  </cacheSource>
  <cacheFields>
    <cacheField name="Recipes" numFmtId="0">
      <sharedItems>
        <s v="1: Silicon Tetrachloride"/>
        <s v="2: Silicon Poly SI"/>
        <s v="3: Zinc Chloride Electrolysis"/>
      </sharedItems>
    </cacheField>
    <cacheField name="Time (t)" numFmtId="0">
      <sharedItems containsSemiMixedTypes="0" containsString="0" containsNumber="1" containsInteger="1">
        <n v="400.0"/>
        <n v="64.0"/>
      </sharedItems>
    </cacheField>
    <cacheField name="OC Time (t)" numFmtId="0">
      <sharedItems containsSemiMixedTypes="0" containsString="0" containsNumber="1" containsInteger="1">
        <n v="200.0"/>
        <n v="64.0"/>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52:F61" sheet="Poly SI Silicon"/>
  </cacheSource>
  <cacheFields>
    <cacheField name="Recipes" numFmtId="0">
      <sharedItems containsBlank="1">
        <s v="1: Trichlorosilane"/>
        <m/>
        <s v="2: Silicon Poly SI"/>
      </sharedItems>
    </cacheField>
    <cacheField name="Inputs" numFmtId="0">
      <sharedItems containsBlank="1">
        <m/>
        <s v="Raw Silicon"/>
        <s v="Hydrochloric Acid"/>
        <s v="Trichlorosilane"/>
        <s v="Hydrogen"/>
        <s v="Silicon Poly SI"/>
      </sharedItems>
    </cacheField>
    <cacheField name="Input(L)" numFmtId="0">
      <sharedItems containsString="0" containsBlank="1" containsNumber="1" containsInteger="1">
        <m/>
        <n v="1.0"/>
        <n v="3000.0"/>
        <n v="1000.0"/>
        <n v="2000.0"/>
      </sharedItems>
    </cacheField>
    <cacheField name="Outputs" numFmtId="0">
      <sharedItems containsBlank="1">
        <m/>
        <s v="Trichlorosilane"/>
        <s v="Hydrogen"/>
        <s v="Silicon Poly SI"/>
        <s v="Hydrochloric Acid"/>
        <s v="Raw Silicon"/>
      </sharedItems>
    </cacheField>
    <cacheField name="Output(L)" numFmtId="0">
      <sharedItems containsString="0" containsBlank="1" containsNumber="1" containsInteger="1">
        <m/>
        <n v="1000.0"/>
        <n v="2000.0"/>
        <n v="1.0"/>
        <n v="3000.0"/>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F52:AG57" sheet="Poly SI Silicon"/>
  </cacheSource>
  <cacheFields>
    <cacheField name="Inputs" numFmtId="0">
      <sharedItems>
        <s v="Hydrochloric Acid"/>
        <s v="Hydrogen"/>
        <s v="Raw Silicon"/>
        <s v="Silicon Poly SI"/>
        <s v="Trichlorosilane"/>
      </sharedItems>
    </cacheField>
    <cacheField name="Amount Produced" numFmtId="0">
      <sharedItems containsSemiMixedTypes="0" containsString="0" containsNumber="1" containsInteger="1">
        <n v="0.0"/>
        <n v="-1.0"/>
        <n v="1.0"/>
      </sharedItems>
    </cacheField>
  </cacheFields>
</pivotCacheDefinition>
</file>

<file path=xl/pivotCache/pivotCacheDefinition1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B59:AD61" sheet="Poly SI Silicon"/>
  </cacheSource>
  <cacheFields>
    <cacheField name="Recipes" numFmtId="0">
      <sharedItems>
        <s v="1: Trichlorosilane"/>
        <s v="2: Silicon Poly SI"/>
      </sharedItems>
    </cacheField>
    <cacheField name="Time (t)" numFmtId="0">
      <sharedItems containsSemiMixedTypes="0" containsString="0" containsNumber="1" containsInteger="1">
        <n v="300.0"/>
      </sharedItems>
    </cacheField>
    <cacheField name="OC Time (t)" numFmtId="0">
      <sharedItems containsSemiMixedTypes="0" containsString="0" containsNumber="1" containsInteger="1">
        <n v="150.0"/>
      </sharedItems>
    </cacheField>
  </cacheFields>
</pivotCacheDefinition>
</file>

<file path=xl/pivotCache/pivotCacheDefinition1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73:F98" sheet="Poly SI Silicon"/>
  </cacheSource>
  <cacheFields>
    <cacheField name="Recipes" numFmtId="0">
      <sharedItems containsBlank="1">
        <s v="1: Trichlorosilane"/>
        <m/>
        <s v="2: Trichlorosilane Separation"/>
        <s v="3: Silane to Silicon Poly SI"/>
        <s v="4: Silicon T. to Silicon Poly SI"/>
        <s v="5: Zinc Chloride Electrolysis"/>
        <s v="6: Hydrochloric Acid Recovery"/>
      </sharedItems>
    </cacheField>
    <cacheField name="Inputs" numFmtId="0">
      <sharedItems containsBlank="1">
        <m/>
        <s v="Raw Silicon"/>
        <s v="Hydrochloric Acid"/>
        <s v="Trichlorosilane"/>
        <s v="Silane"/>
        <s v="Zinc"/>
        <s v="Silicon Tetrachloride"/>
        <s v="Zinc Chloride"/>
        <s v="Hydrogen"/>
        <s v="Chlorine"/>
        <s v="Silicon Poly SI"/>
      </sharedItems>
    </cacheField>
    <cacheField name="Input(L)" numFmtId="0">
      <sharedItems containsString="0" containsBlank="1" containsNumber="1" containsInteger="1">
        <m/>
        <n v="4.0"/>
        <n v="12000.0"/>
        <n v="4000.0"/>
        <n v="1000.0"/>
        <n v="6.0"/>
        <n v="3000.0"/>
        <n v="18.0"/>
      </sharedItems>
    </cacheField>
    <cacheField name="Outputs" numFmtId="0">
      <sharedItems containsBlank="1">
        <m/>
        <s v="Trichlorosilane"/>
        <s v="Hydrogen"/>
        <s v="Silane"/>
        <s v="Silicon Tetrachloride"/>
        <s v="Silicon Poly SI"/>
        <s v="Zinc Chloride"/>
        <s v="Zinc"/>
        <s v="Chlorine"/>
        <s v="Hydrochloric Acid"/>
        <s v="Raw Silicon"/>
      </sharedItems>
    </cacheField>
    <cacheField name="Output(L)" numFmtId="0">
      <sharedItems containsString="0" containsBlank="1" containsNumber="1" containsInteger="1">
        <m/>
        <n v="4000.0"/>
        <n v="8000.0"/>
        <n v="1000.0"/>
        <n v="3000.0"/>
        <n v="1.0"/>
        <n v="3.0"/>
        <n v="18.0"/>
        <n v="6.0"/>
        <n v="12000.0"/>
      </sharedItems>
    </cacheField>
  </cacheFields>
</pivotCacheDefinition>
</file>

<file path=xl/pivotCache/pivotCacheDefinition1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41" sheet="Diesel -&gt; CBD"/>
  </cacheSource>
  <cacheFields>
    <cacheField name="Inputs" numFmtId="0">
      <sharedItems containsBlank="1">
        <m/>
        <s v="Oil"/>
        <s v="Sulfuric Gas"/>
        <s v="Hydrogen"/>
        <s v="Sulfuric Naphtha"/>
        <s v="Sulfuric Light Fuel"/>
        <s v="Sulfuric Heavy Fuel"/>
        <s v="Hydrogen Sulfide"/>
        <s v="Oxygen"/>
        <s v="Light Fuel"/>
        <s v="Heavy Fuel"/>
        <s v="Diesel"/>
        <s v="Sulfuric Acid"/>
        <s v="Naphtha"/>
        <s v="Naphthenic Acid"/>
        <s v="Refinery Gas"/>
      </sharedItems>
    </cacheField>
    <cacheField name="Input(L)" numFmtId="0">
      <sharedItems containsString="0" containsBlank="1" containsNumber="1" containsInteger="1">
        <m/>
        <n v="300000.0"/>
        <n v="352000.0"/>
        <n v="44000.0"/>
        <n v="120000.0"/>
        <n v="20000.0"/>
        <n v="50000.0"/>
        <n v="80000.0"/>
        <n v="67000.0"/>
        <n v="268000.0"/>
        <n v="60000.0"/>
      </sharedItems>
    </cacheField>
    <cacheField name="Outputs" numFmtId="0">
      <sharedItems containsBlank="1">
        <m/>
        <s v="Sulfuric Gas"/>
        <s v="Sulfuric Naphtha"/>
        <s v="Sulfuric Light Fuel"/>
        <s v="Sulfuric Heavy Fuel"/>
        <s v="Naphthenic Acid"/>
        <s v="Refinery Gas"/>
        <s v="Hydrogen Sulfide"/>
        <s v="Naphtha"/>
        <s v="Light Fuel"/>
        <s v="Heavy Fuel"/>
        <s v="Sulfuric Acid"/>
        <s v="Diesel"/>
        <s v="Hydrogen"/>
        <s v="Oxygen"/>
        <s v="Oil"/>
      </sharedItems>
    </cacheField>
    <cacheField name="Output(L)" numFmtId="0">
      <sharedItems containsString="0" containsBlank="1" containsNumber="1" containsInteger="1">
        <m/>
        <n v="360000.0"/>
        <n v="120000.0"/>
        <n v="300000.0"/>
        <n v="90000.0"/>
        <n v="15000.0"/>
        <n v="352000.0"/>
        <n v="22000.0"/>
        <n v="10000.0"/>
        <n v="25000.0"/>
        <n v="80000.0"/>
        <n v="67000.0"/>
      </sharedItems>
    </cacheField>
  </cacheFields>
</pivotCacheDefinition>
</file>

<file path=xl/pivotCache/pivotCacheDefinition1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5:BR20" sheet="Diesel -&gt; CBD"/>
  </cacheSource>
  <cacheFields>
    <cacheField name="Inputs" numFmtId="0">
      <sharedItems>
        <s v="Diesel"/>
        <s v="Heavy Fuel"/>
        <s v="Hydrogen"/>
        <s v="Hydrogen Sulfide"/>
        <s v="Light Fuel"/>
        <s v="Naphtha"/>
        <s v="Naphthenic Acid"/>
        <s v="Oil"/>
        <s v="Oxygen"/>
        <s v="Refinery Gas"/>
        <s v="Sulfuric Acid"/>
        <s v="Sulfuric Gas"/>
        <s v="Sulfuric Heavy Fuel"/>
        <s v="Sulfuric Light Fuel"/>
        <s v="Sulfuric Naphtha"/>
      </sharedItems>
    </cacheField>
    <cacheField name="Amount Produced" numFmtId="0">
      <sharedItems containsSemiMixedTypes="0" containsString="0" containsNumber="1" containsInteger="1">
        <n v="360000.0"/>
        <n v="20000.0"/>
        <n v="-134000.0"/>
        <n v="0.0"/>
        <n v="120000.0"/>
        <n v="15000.0"/>
        <n v="-300000.0"/>
        <n v="-268000.0"/>
        <n v="352000.0"/>
        <n v="67000.0"/>
        <n v="8000.0"/>
        <n v="10000.0"/>
      </sharedItems>
    </cacheField>
  </cacheFields>
</pivotCacheDefinition>
</file>

<file path=xl/pivotCache/pivotCacheDefinition1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O23:BO29" sheet="Diesel -&gt; CBD"/>
  </cacheSource>
  <cacheFields>
    <cacheField name="19200" numFmtId="0">
      <sharedItems containsSemiMixedTypes="0" containsString="0" containsNumber="1" containsInteger="1">
        <n v="3520.0"/>
        <n v="1600.0"/>
        <n v="4000.0"/>
        <n v="32160.0"/>
        <n v="1500.0"/>
      </sharedItems>
    </cacheField>
  </cacheFields>
</pivotCacheDefinition>
</file>

<file path=xl/pivotCache/pivotCacheDefinition1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P22:BP29" sheet="Diesel -&gt; CBD"/>
  </cacheSource>
  <cacheFields>
    <cacheField name="OC Time (t)" numFmtId="0">
      <sharedItems containsSemiMixedTypes="0" containsString="0" containsNumber="1" containsInteger="1">
        <n v="1200.0"/>
        <n v="14.0"/>
        <n v="7.0"/>
        <n v="250.0"/>
        <n v="100.0"/>
        <n v="503.0"/>
        <n v="375.0"/>
      </sharedItems>
    </cacheField>
  </cacheFields>
</pivotCacheDefinition>
</file>

<file path=xl/pivotCache/pivotCacheDefinition1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A23:CA29" sheet="Diesel -&gt; CBD"/>
  </cacheSource>
  <cacheFields>
    <cacheField name="1000" numFmtId="0">
      <sharedItems containsSemiMixedTypes="0" containsString="0" containsNumber="1" containsInteger="1">
        <n v="10.0"/>
        <n v="1000.0"/>
      </sharedItems>
    </cacheField>
  </cacheFields>
</pivotCacheDefinition>
</file>

<file path=xl/pivotCache/pivotCacheDefinition2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A34:CA40" sheet="Diesel -&gt; CBD"/>
  </cacheSource>
  <cacheFields>
    <cacheField name="100000" numFmtId="0">
      <sharedItems containsSemiMixedTypes="0" containsString="0" containsNumber="1" containsInteger="1">
        <n v="100000.0"/>
        <n v="1000.0"/>
        <n v="10000.0"/>
      </sharedItems>
    </cacheField>
  </cacheFields>
</pivotCacheDefinition>
</file>

<file path=xl/pivotCache/pivotCacheDefinition2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60:F141" sheet="Diesel -&gt; CBD"/>
  </cacheSource>
  <cacheFields>
    <cacheField name="Inputs" numFmtId="0">
      <sharedItems containsBlank="1">
        <m/>
        <s v="Oil"/>
        <s v="Sulfuric Gas"/>
        <s v="Hydrogen"/>
        <s v="Sulfuric Naphtha"/>
        <s v="Sulfuric Light Fuel"/>
        <s v="Sulfuric Heavy Fuel"/>
        <s v="Hydrogen Sulfide"/>
        <s v="Oxygen"/>
        <s v="Light Fuel"/>
        <s v="Heavy Fuel"/>
        <s v="Refinery Gas"/>
        <s v="Steam"/>
        <s v="SSC Refinery Gas"/>
        <s v="Ethylene"/>
        <s v="Acetic Acid"/>
        <s v="Sulfuric Acid"/>
        <s v="Nitrogen"/>
        <s v="Ammonia"/>
        <s v="Diluted Sulfuric Acid"/>
        <s v="Nitric Acid"/>
        <s v="Ethenone"/>
        <s v="Diesel"/>
        <s v="Tetranitromethane"/>
        <s v="Water"/>
        <s v="Carbon Dust"/>
        <s v="Cetane-Boosted Diesel"/>
        <s v="Ethane"/>
        <s v="Propene"/>
        <s v="Methane"/>
        <s v="Helium"/>
        <s v="Naphtha"/>
        <s v="Naphthenic Acid"/>
      </sharedItems>
    </cacheField>
    <cacheField name="Input(L)" numFmtId="0">
      <sharedItems containsString="0" containsBlank="1" containsNumber="1" containsInteger="1">
        <m/>
        <n v="300000.0"/>
        <n v="352000.0"/>
        <n v="44000.0"/>
        <n v="120000.0"/>
        <n v="20000.0"/>
        <n v="50000.0"/>
        <n v="80000.0"/>
        <n v="67000.0"/>
        <n v="268000.0"/>
        <n v="60000.0"/>
        <n v="22500.0"/>
        <n v="27000.0"/>
        <n v="8000.0"/>
        <n v="4000.0"/>
        <n v="32000.0"/>
        <n v="96000.0"/>
        <n v="128000.0"/>
        <n v="3960.0"/>
        <n v="360000.0"/>
        <n v="7200.0"/>
      </sharedItems>
    </cacheField>
    <cacheField name="Outputs" numFmtId="0">
      <sharedItems containsBlank="1">
        <m/>
        <s v="Sulfuric Gas"/>
        <s v="Sulfuric Naphtha"/>
        <s v="Sulfuric Light Fuel"/>
        <s v="Sulfuric Heavy Fuel"/>
        <s v="Naphthenic Acid"/>
        <s v="Refinery Gas"/>
        <s v="Hydrogen Sulfide"/>
        <s v="Naphtha"/>
        <s v="Light Fuel"/>
        <s v="Heavy Fuel"/>
        <s v="Sulfuric Acid"/>
        <s v="Diesel"/>
        <s v="SSC Refinery Gas"/>
        <s v="Helium"/>
        <s v="Methane"/>
        <s v="Ethylene"/>
        <s v="Ethane"/>
        <s v="Propene"/>
        <s v="Carbon Dust"/>
        <s v="Acetic Acid"/>
        <s v="Ethenone"/>
        <s v="Diluted Sulfuric Acid"/>
        <s v="Ammonia"/>
        <s v="Nitric Acid"/>
        <s v="Water"/>
        <s v="Tetranitromethane"/>
        <s v="Cetane-Boosted Diesel"/>
        <s v="Steam"/>
        <s v="Oil"/>
        <s v="Oxygen"/>
        <s v="Hydrogen"/>
        <s v="Nitrogen"/>
      </sharedItems>
    </cacheField>
    <cacheField name="Output(L)" numFmtId="0">
      <sharedItems containsString="0" containsBlank="1" containsNumber="1">
        <m/>
        <n v="360000.0"/>
        <n v="120000.0"/>
        <n v="300000.0"/>
        <n v="90000.0"/>
        <n v="15000.0"/>
        <n v="352000.0"/>
        <n v="22000.0"/>
        <n v="10000.0"/>
        <n v="25000.0"/>
        <n v="80000.0"/>
        <n v="67000.0"/>
        <n v="27000.0"/>
        <n v="2700.0"/>
        <n v="18900.0"/>
        <n v="8100.0"/>
        <n v="270.0"/>
        <n v="2.7"/>
        <n v="4000.0"/>
        <n v="32000.0"/>
        <n v="2640.0"/>
        <n v="8000.0"/>
        <n v="36000.0"/>
      </sharedItems>
    </cacheField>
  </cacheFields>
</pivotCacheDefinition>
</file>

<file path=xl/pivotCache/pivotCacheDefinition2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61:BR93" sheet="Diesel -&gt; CBD"/>
  </cacheSource>
  <cacheFields>
    <cacheField name="Inputs" numFmtId="0">
      <sharedItems>
        <s v="Acetic Acid"/>
        <s v="Ammonia"/>
        <s v="Carbon Dust"/>
        <s v="Cetane-Boosted Diesel"/>
        <s v="Diesel"/>
        <s v="Diluted Sulfuric Acid"/>
        <s v="Ethane"/>
        <s v="Ethenone"/>
        <s v="Ethylene"/>
        <s v="Heavy Fuel"/>
        <s v="Helium"/>
        <s v="Hydrogen"/>
        <s v="Hydrogen Sulfide"/>
        <s v="Light Fuel"/>
        <s v="Methane"/>
        <s v="Naphtha"/>
        <s v="Naphthenic Acid"/>
        <s v="Nitric Acid"/>
        <s v="Nitrogen"/>
        <s v="Oil"/>
        <s v="Oxygen"/>
        <s v="Propene"/>
        <s v="Refinery Gas"/>
        <s v="SSC Refinery Gas"/>
        <s v="Steam"/>
        <s v="Sulfuric Acid"/>
        <s v="Sulfuric Gas"/>
        <s v="Sulfuric Heavy Fuel"/>
        <s v="Sulfuric Light Fuel"/>
        <s v="Sulfuric Naphtha"/>
        <s v="Tetranitromethane"/>
        <s v="Water"/>
      </sharedItems>
    </cacheField>
    <cacheField name="Amount Produced" numFmtId="0">
      <sharedItems containsSemiMixedTypes="0" containsString="0" containsNumber="1">
        <n v="0.0"/>
        <n v="2.7"/>
        <n v="360000.0"/>
        <n v="40.0"/>
        <n v="270.0"/>
        <n v="100.0"/>
        <n v="20000.0"/>
        <n v="2700.0"/>
        <n v="-230000.0"/>
        <n v="18900.0"/>
        <n v="120000.0"/>
        <n v="15000.0"/>
        <n v="-32000.0"/>
        <n v="-300000.0"/>
        <n v="-400000.0"/>
        <n v="329500.0"/>
        <n v="-22500.0"/>
        <n v="65640.0"/>
        <n v="8000.0"/>
        <n v="10000.0"/>
        <n v="800.0"/>
        <n v="68000.0"/>
      </sharedItems>
    </cacheField>
  </cacheFields>
</pivotCacheDefinition>
</file>

<file path=xl/pivotCache/pivotCacheDefinition2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Y77:BY92" sheet="Diesel -&gt; CBD"/>
  </cacheSource>
  <cacheFields>
    <cacheField name="1000" numFmtId="0">
      <sharedItems containsSemiMixedTypes="0" containsString="0" containsNumber="1" containsInteger="1">
        <n v="10.0"/>
        <n v="1000.0"/>
        <n v="100.0"/>
      </sharedItems>
    </cacheField>
  </cacheFields>
</pivotCacheDefinition>
</file>

<file path=xl/pivotCache/pivotCacheDefinition2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C77:CC92" sheet="Diesel -&gt; CBD"/>
  </cacheSource>
  <cacheFields>
    <cacheField name="10000" numFmtId="0">
      <sharedItems containsSemiMixedTypes="0" containsString="0" containsNumber="1" containsInteger="1">
        <n v="10000.0"/>
      </sharedItems>
    </cacheField>
  </cacheFields>
</pivotCacheDefinition>
</file>

<file path=xl/pivotCache/pivotCacheDefinition2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O97:BO112" sheet="Diesel -&gt; CBD"/>
  </cacheSource>
  <cacheFields>
    <cacheField name="19200" numFmtId="0">
      <sharedItems containsSemiMixedTypes="0" containsString="0" containsNumber="1" containsInteger="1">
        <n v="3520.0"/>
        <n v="1600.0"/>
        <n v="4000.0"/>
        <n v="32160.0"/>
        <n v="1500.0"/>
        <n v="1350.0"/>
        <n v="3240.0"/>
        <n v="400.0"/>
        <n v="640.0"/>
        <n v="10240.0"/>
        <n v="1584.0"/>
        <n v="1920.0"/>
        <n v="4320.0"/>
      </sharedItems>
    </cacheField>
  </cacheFields>
</pivotCacheDefinition>
</file>

<file path=xl/pivotCache/pivotCacheDefinition2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P96:BP112" sheet="Diesel -&gt; CBD"/>
  </cacheSource>
  <cacheFields>
    <cacheField name="OC Time (t)" numFmtId="0">
      <sharedItems containsSemiMixedTypes="0" containsString="0" containsNumber="1" containsInteger="1">
        <n v="9600.0"/>
        <n v="55.0"/>
        <n v="25.0"/>
        <n v="63.0"/>
        <n v="503.0"/>
        <n v="375.0"/>
        <n v="675.0"/>
        <n v="810.0"/>
        <n v="7.0"/>
        <n v="40.0"/>
        <n v="2560.0"/>
        <n v="160.0"/>
        <n v="198.0"/>
        <n v="120.0"/>
        <n v="1080.0"/>
      </sharedItems>
    </cacheField>
  </cacheFields>
</pivotCacheDefinition>
</file>

<file path=xl/pivotCache/pivotCacheDefinition2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33" sheet="Bio Diesel -&gt; CBD"/>
  </cacheSource>
  <cacheFields>
    <cacheField name="Inputs" numFmtId="0">
      <sharedItems containsBlank="1">
        <m/>
        <s v="Fish"/>
        <s v="Methane"/>
        <s v="Distilled Water"/>
        <s v="Hydrogen"/>
        <s v="Carbon Monoxide"/>
        <s v="Fish Oil"/>
        <s v="Methanol"/>
        <s v="Sodium Dust"/>
        <s v="Bio Diesel"/>
        <s v="Glycerol"/>
      </sharedItems>
    </cacheField>
    <cacheField name="Input(L)" numFmtId="0">
      <sharedItems containsString="0" containsBlank="1" containsNumber="1">
        <m/>
        <n v="600.0"/>
        <n v="104.0"/>
        <n v="5000.0"/>
        <n v="20000.0"/>
        <n v="30000.0"/>
        <n v="0.5"/>
      </sharedItems>
    </cacheField>
    <cacheField name="Outputs" numFmtId="0">
      <sharedItems containsBlank="1">
        <m/>
        <s v="Fish"/>
        <s v="Fish Oil"/>
        <s v="Methane"/>
        <s v="Hydrogen"/>
        <s v="Carbon Monoxide"/>
        <s v="Methanol"/>
        <s v="Bio Diesel"/>
        <s v="Glycerol"/>
        <s v="Sodium Dust"/>
        <s v="Distilled Water"/>
      </sharedItems>
    </cacheField>
    <cacheField name="Output(L)" numFmtId="0">
      <sharedItems containsString="0" containsBlank="1" containsNumber="1" containsInteger="1">
        <m/>
        <n v="710.0"/>
        <n v="30000.0"/>
        <n v="4992.0"/>
        <n v="5000.0"/>
      </sharedItems>
    </cacheField>
  </cacheFields>
</pivotCacheDefinition>
</file>

<file path=xl/pivotCache/pivotCacheDefinition2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5:BR15" sheet="Bio Diesel -&gt; CBD"/>
  </cacheSource>
  <cacheFields>
    <cacheField name="Inputs" numFmtId="0">
      <sharedItems>
        <s v="Bio Diesel"/>
        <s v="Carbon Monoxide"/>
        <s v="Distilled Water"/>
        <s v="Fish"/>
        <s v="Fish Oil"/>
        <s v="Glycerol"/>
        <s v="Hydrogen"/>
        <s v="Methane"/>
        <s v="Methanol"/>
        <s v="Sodium Dust"/>
      </sharedItems>
    </cacheField>
    <cacheField name="Amount Produced" numFmtId="0">
      <sharedItems containsSemiMixedTypes="0" containsString="0" containsNumber="1">
        <n v="30000.0"/>
        <n v="0.0"/>
        <n v="-5000.0"/>
        <n v="6.0"/>
        <n v="5000.0"/>
        <n v="10000.0"/>
        <n v="-8.0"/>
        <n v="-0.5"/>
      </sharedItems>
    </cacheField>
  </cacheFields>
</pivotCacheDefinition>
</file>

<file path=xl/pivotCache/pivotCacheDefinition2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O17:BO22" sheet="Bio Diesel -&gt; CBD"/>
  </cacheSource>
  <cacheFields>
    <cacheField name="Time (t)" numFmtId="0">
      <sharedItems containsSemiMixedTypes="0" containsString="0" containsNumber="1" containsInteger="1">
        <n v="4544.0"/>
        <n v="4800.0"/>
        <n v="2959.0"/>
        <n v="200.0"/>
        <n v="600.0"/>
      </sharedItems>
    </cacheField>
  </cacheFields>
</pivotCacheDefinition>
</file>

<file path=xl/pivotCache/pivotCacheDefinition3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P17:BP22" sheet="Bio Diesel -&gt; CBD"/>
  </cacheSource>
  <cacheFields>
    <cacheField name="OC Time (t)" numFmtId="0">
      <sharedItems containsSemiMixedTypes="0" containsString="0" containsNumber="1" containsInteger="1">
        <n v="284.0"/>
        <n v="300.0"/>
        <n v="148.0"/>
        <n v="200.0"/>
        <n v="150.0"/>
      </sharedItems>
    </cacheField>
  </cacheFields>
</pivotCacheDefinition>
</file>

<file path=xl/pivotCache/pivotCacheDefinition3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27:CE33" sheet="Bio Diesel -&gt; CBD"/>
  </cacheSource>
  <cacheFields>
    <cacheField name="Machine Start. Cost" numFmtId="0">
      <sharedItems containsSemiMixedTypes="0" containsString="0" containsNumber="1" containsInteger="1">
        <n v="1405511.0"/>
        <n v="10.0"/>
        <n v="105511.0"/>
        <n v="1000.0"/>
        <n v="100.0"/>
      </sharedItems>
    </cacheField>
  </cacheFields>
</pivotCacheDefinition>
</file>

<file path=xl/pivotCache/pivotCacheDefinition3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37:CE43" sheet="Bio Diesel -&gt; CBD"/>
  </cacheSource>
  <cacheFields>
    <cacheField name="OC Machine Start. Cost" numFmtId="0">
      <sharedItems containsSemiMixedTypes="0" containsString="0" containsNumber="1" containsInteger="1">
        <n v="1405511.0"/>
        <n v="100000.0"/>
        <n v="105511.0"/>
        <n v="1000.0"/>
      </sharedItems>
    </cacheField>
  </cacheFields>
</pivotCacheDefinition>
</file>

<file path=xl/pivotCache/pivotCacheDefinition3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51:F110" sheet="Bio Diesel -&gt; CBD"/>
  </cacheSource>
  <cacheFields>
    <cacheField name="Inputs" numFmtId="0">
      <sharedItems containsBlank="1">
        <m/>
        <s v="Fish"/>
        <s v="Methane"/>
        <s v="Distilled Water"/>
        <s v="Hydrogen"/>
        <s v="Carbon Monoxide"/>
        <s v="Fish Oil"/>
        <s v="Methanol"/>
        <s v="Sodium"/>
        <s v="Acetic Acid"/>
        <s v="Sulfuric Acid"/>
        <s v="Nitrogen"/>
        <s v="Ammonia"/>
        <s v="Oxygen"/>
        <s v="Diluted Sulfuric Acid"/>
        <s v="Nitric Acid"/>
        <s v="Ethenone"/>
        <s v="Bio Diesel"/>
        <s v="Tetranitromethane"/>
        <s v="Glycerol"/>
        <s v="Water"/>
        <s v="Cetane-Boosted Diesel"/>
      </sharedItems>
    </cacheField>
    <cacheField name="Input(L)" numFmtId="0">
      <sharedItems containsString="0" containsBlank="1" containsNumber="1">
        <m/>
        <n v="2040.0"/>
        <n v="417.0"/>
        <n v="20000.0"/>
        <n v="76000.0"/>
        <n v="19000.0"/>
        <n v="102000.0"/>
        <n v="17000.0"/>
        <n v="1.7000000000000002"/>
        <n v="2000.0"/>
        <n v="16000.0"/>
        <n v="48000.0"/>
        <n v="64000.0"/>
        <n v="100000.0"/>
        <n v="4000.0"/>
      </sharedItems>
    </cacheField>
    <cacheField name="Outputs" numFmtId="0">
      <sharedItems containsBlank="1">
        <m/>
        <s v="Fish"/>
        <s v="Fish Oil"/>
        <s v="Methane"/>
        <s v="Hydrogen"/>
        <s v="Carbon Monoxide"/>
        <s v="Methanol"/>
        <s v="Bio Diesel"/>
        <s v="Glycerol"/>
        <s v="Acetic Acid"/>
        <s v="Ethenone"/>
        <s v="Diluted Sulfuric Acid"/>
        <s v="Ammonia"/>
        <s v="Nitric Acid"/>
        <s v="Water"/>
        <s v="Sulfuric Acid"/>
        <s v="Tetranitromethane"/>
        <s v="Cetane-Boosted Diesel"/>
        <s v="Sodium"/>
        <s v="Distilled Water"/>
        <s v="Nitrogen"/>
        <s v="Oxygen"/>
      </sharedItems>
    </cacheField>
    <cacheField name="Output(L)" numFmtId="0">
      <sharedItems containsString="0" containsBlank="1" containsNumber="1" containsInteger="1">
        <m/>
        <n v="2460.0"/>
        <n v="102000.0"/>
        <n v="20016.0"/>
        <n v="120000.0"/>
        <n v="20000.0"/>
        <n v="19000.0"/>
        <n v="17000.0"/>
        <n v="2000.0"/>
        <n v="16000.0"/>
        <n v="1360.0"/>
        <n v="4000.0"/>
        <n v="18000.0"/>
        <n v="90000.0"/>
      </sharedItems>
    </cacheField>
  </cacheFields>
</pivotCacheDefinition>
</file>

<file path=xl/pivotCache/pivotCacheDefinition3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52:BR73" sheet="Bio Diesel -&gt; CBD"/>
  </cacheSource>
  <cacheFields>
    <cacheField name="Inputs" numFmtId="0">
      <sharedItems>
        <s v="Acetic Acid"/>
        <s v="Ammonia"/>
        <s v="Bio Diesel"/>
        <s v="Carbon Monoxide"/>
        <s v="Cetane-Boosted Diesel"/>
        <s v="Diluted Sulfuric Acid"/>
        <s v="Distilled Water"/>
        <s v="Ethenone"/>
        <s v="Fish"/>
        <s v="Fish Oil"/>
        <s v="Glycerol"/>
        <s v="Hydrogen"/>
        <s v="Methane"/>
        <s v="Methanol"/>
        <s v="Nitric Acid"/>
        <s v="Nitrogen"/>
        <s v="Oxygen"/>
        <s v="Sodium"/>
        <s v="Sulfuric Acid"/>
        <s v="Tetranitromethane"/>
        <s v="Water"/>
      </sharedItems>
    </cacheField>
    <cacheField name="Amount Produced" numFmtId="0">
      <sharedItems containsSemiMixedTypes="0" containsString="0" containsNumber="1">
        <n v="0.0"/>
        <n v="2000.0"/>
        <n v="-1000.0"/>
        <n v="90000.0"/>
        <n v="-40.0"/>
        <n v="-20000.0"/>
        <n v="3.0"/>
        <n v="17000.0"/>
        <n v="-4000.0"/>
        <n v="16.0"/>
        <n v="-16000.0"/>
        <n v="-64000.0"/>
        <n v="-1.7000000000000002"/>
        <n v="-640.0"/>
        <n v="34000.0"/>
      </sharedItems>
    </cacheField>
  </cacheFields>
</pivotCacheDefinition>
</file>

<file path=xl/pivotCache/pivotCacheDefinition3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O76:BO88" sheet="Bio Diesel -&gt; CBD"/>
  </cacheSource>
  <cacheFields>
    <cacheField name="7872" numFmtId="0">
      <sharedItems containsSemiMixedTypes="0" containsString="0" containsNumber="1" containsInteger="1">
        <n v="8160.0"/>
        <n v="11862.0"/>
        <n v="800.0"/>
        <n v="2280.0"/>
        <n v="2040.0"/>
        <n v="600.0"/>
        <n v="320.0"/>
        <n v="5120.0"/>
        <n v="960.0"/>
        <n v="1200.0"/>
      </sharedItems>
    </cacheField>
  </cacheFields>
</pivotCacheDefinition>
</file>

<file path=xl/pivotCache/pivotCacheDefinition3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P76:BP88" sheet="Bio Diesel -&gt; CBD"/>
  </cacheSource>
  <cacheFields>
    <cacheField name="492" numFmtId="0">
      <sharedItems containsSemiMixedTypes="0" containsString="0" containsNumber="1" containsInteger="1">
        <n v="510.0"/>
        <n v="594.0"/>
        <n v="200.0"/>
        <n v="570.0"/>
        <n v="38.0"/>
        <n v="80.0"/>
        <n v="320.0"/>
        <n v="240.0"/>
        <n v="300.0"/>
      </sharedItems>
    </cacheField>
  </cacheFields>
</pivotCacheDefinition>
</file>

<file path=xl/pivotCache/pivotCacheDefinition3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93:CE105" sheet="Bio Diesel -&gt; CBD"/>
  </cacheSource>
  <cacheFields>
    <cacheField name="1405511" numFmtId="0">
      <sharedItems containsSemiMixedTypes="0" containsString="0" containsNumber="1" containsInteger="1">
        <n v="10.0"/>
        <n v="105511.0"/>
        <n v="1000.0"/>
        <n v="100.0"/>
      </sharedItems>
    </cacheField>
  </cacheFields>
</pivotCacheDefinition>
</file>

<file path=xl/pivotCache/pivotCacheDefinition3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109:CE122" sheet="Bio Diesel -&gt; CBD"/>
  </cacheSource>
  <cacheFields>
    <cacheField name="OC Machine Start. Cost" numFmtId="0">
      <sharedItems containsSemiMixedTypes="0" containsString="0" containsNumber="1" containsInteger="1">
        <n v="1405511.0"/>
        <n v="100000.0"/>
        <n v="105511.0"/>
        <n v="10000.0"/>
        <n v="1000.0"/>
      </sharedItems>
    </cacheField>
  </cacheFields>
</pivotCacheDefinition>
</file>

<file path=xl/pivotCache/pivotCacheDefinition3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123" sheet="HOG"/>
  </cacheSource>
  <cacheFields>
    <cacheField name="Inputs" numFmtId="0">
      <sharedItems containsBlank="1">
        <m/>
        <s v="Raw Oil"/>
        <s v="Sulfuric Gas"/>
        <s v="Hydrogen"/>
        <s v="Sulfuric Naphtha"/>
        <s v="Sulfuric Light Fuel"/>
        <s v="Sulfuric Heavy Fuel"/>
        <s v="Light Fuel"/>
        <s v="LHC Light Fuel"/>
        <s v="Naphtha"/>
        <s v="Steam"/>
        <s v="SSC Naphtha"/>
        <s v="Heavy Fuel"/>
        <s v="Carbon Monoxide"/>
        <s v="Methanol"/>
        <s v="Butene"/>
        <s v="MTBE Reaction Mixture"/>
        <s v="Oxygen"/>
        <s v="Ethylene"/>
        <s v="Acetic Acid"/>
        <s v="Calcium Dust"/>
        <s v="Refinery Gas"/>
        <s v="Acetone"/>
        <s v="Raw Gasoline"/>
        <s v="Toluene"/>
        <s v="Gasoline"/>
        <s v="Octane"/>
        <s v="Nitrous Oxide"/>
        <s v="Anti-Knock Agent"/>
        <s v="Water"/>
        <s v="High Octane Gasoline"/>
        <s v="Carbon Dioxide"/>
        <s v="Methane"/>
        <s v="Carbon Dust"/>
        <s v="Ethane"/>
        <s v="Propene"/>
        <s v="Propane"/>
        <s v="Butadiene"/>
        <s v="Benzene"/>
        <s v="Phenol"/>
        <s v="Butane"/>
        <s v="Naphthenic Acid"/>
        <s v="Hydrogen Sulfide"/>
      </sharedItems>
    </cacheField>
    <cacheField name="Input(L)" numFmtId="0">
      <sharedItems containsString="0" containsBlank="1" containsNumber="1" containsInteger="1">
        <m/>
        <n v="384000.0"/>
        <n v="224000.0"/>
        <n v="28000.0"/>
        <n v="576000.0"/>
        <n v="96000.0"/>
        <n v="192000.0"/>
        <n v="32000.0"/>
        <n v="40000.0"/>
        <n v="10000.0"/>
        <n v="220000.0"/>
        <n v="352000.0"/>
        <n v="592500.0"/>
        <n v="711000.0"/>
        <n v="58000.0"/>
        <n v="136000.0"/>
        <n v="34000.0"/>
        <n v="75000.0"/>
        <n v="74700.0"/>
        <n v="140000.0"/>
        <n v="70000.0"/>
        <n v="20000.0"/>
        <n v="10.0"/>
        <n v="160000.0"/>
        <n v="200000.0"/>
        <n v="22000.0"/>
        <n v="66000.0"/>
        <n v="33000.0"/>
        <n v="11000.0"/>
      </sharedItems>
    </cacheField>
    <cacheField name="Outputs" numFmtId="0">
      <sharedItems containsBlank="1">
        <m/>
        <s v="Sulfuric Gas"/>
        <s v="Sulfuric Naphtha"/>
        <s v="Sulfuric Light Fuel"/>
        <s v="Sulfuric Heavy Fuel"/>
        <s v="Naphthenic Acid"/>
        <s v="Refinery Gas"/>
        <s v="Hydrogen Sulfide"/>
        <s v="Naphtha"/>
        <s v="Light Fuel"/>
        <s v="Heavy Fuel"/>
        <s v="LHC Light Fuel"/>
        <s v="Methane"/>
        <s v="Ethane"/>
        <s v="Propane"/>
        <s v="Butane"/>
        <s v="Octane"/>
        <s v="SSC Naphtha"/>
        <s v="Ethylene"/>
        <s v="Propene"/>
        <s v="Butadiene"/>
        <s v="Butene"/>
        <s v="Benzene"/>
        <s v="Toluene"/>
        <s v="Carbon Dust"/>
        <s v="Phenol"/>
        <s v="Methanol"/>
        <s v="MTBE Reaction Mixture"/>
        <s v="Anti-Knock Agent"/>
        <s v="Nitrous Oxide"/>
        <s v="Acetic Acid"/>
        <s v="Acetone"/>
        <s v="Carbon Dioxide"/>
        <s v="Water"/>
        <s v="Raw Gasoline"/>
        <s v="Gasoline"/>
        <s v="High Octane Gasoline"/>
        <s v="Calcium Dust"/>
        <s v="Carbon Monoxide"/>
        <s v="Oxygen"/>
        <s v="Raw Oil"/>
        <s v="Steam"/>
        <s v="Hydrogen"/>
      </sharedItems>
    </cacheField>
    <cacheField name="Output(L)" numFmtId="0">
      <sharedItems containsString="0" containsBlank="1" containsNumber="1">
        <m/>
        <n v="230400.0"/>
        <n v="576000.0"/>
        <n v="192000.0"/>
        <n v="38400.0"/>
        <n v="9600.0"/>
        <n v="224000.0"/>
        <n v="14000.0"/>
        <n v="48000.0"/>
        <n v="16000.0"/>
        <n v="40000.0"/>
        <n v="5000.0"/>
        <n v="220000.0"/>
        <n v="27500.0"/>
        <n v="33000.0"/>
        <n v="44000.0"/>
        <n v="22000.0"/>
        <n v="176000.0"/>
        <n v="711000.0"/>
        <n v="355500.0"/>
        <n v="46215.0"/>
        <n v="213300.0"/>
        <n v="10665.0"/>
        <n v="35550.0"/>
        <n v="71100.0"/>
        <n v="14220.0"/>
        <n v="17775.0"/>
        <n v="213.29999999999998"/>
        <n v="14500.0"/>
        <n v="23200.0"/>
        <n v="34000.0"/>
        <n v="75000.0"/>
        <n v="33200.0"/>
        <n v="41500.0"/>
        <n v="70000.0"/>
        <n v="20000.0"/>
        <n v="10000.0"/>
        <n v="200000.0"/>
        <n v="352000.0"/>
      </sharedItems>
    </cacheField>
  </cacheFields>
</pivotCacheDefinition>
</file>

<file path=xl/pivotCache/pivotCacheDefinition4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5:BR47" sheet="HOG"/>
  </cacheSource>
  <cacheFields>
    <cacheField name="Inputs" numFmtId="0">
      <sharedItems>
        <s v="Acetic Acid"/>
        <s v="Acetone"/>
        <s v="Anti-Knock Agent"/>
        <s v="Benzene"/>
        <s v="Butadiene"/>
        <s v="Butane"/>
        <s v="Butene"/>
        <s v="Calcium Dust"/>
        <s v="Carbon Dioxide"/>
        <s v="Carbon Dust"/>
        <s v="Carbon Monoxide"/>
        <s v="Ethane"/>
        <s v="Ethylene"/>
        <s v="Gasoline"/>
        <s v="Heavy Fuel"/>
        <s v="High Octane Gasoline"/>
        <s v="Hydrogen"/>
        <s v="Hydrogen Sulfide"/>
        <s v="LHC Light Fuel"/>
        <s v="Light Fuel"/>
        <s v="Methane"/>
        <s v="Methanol"/>
        <s v="MTBE Reaction Mixture"/>
        <s v="Naphtha"/>
        <s v="Naphthenic Acid"/>
        <s v="Nitrous Oxide"/>
        <s v="Octane"/>
        <s v="Oxygen"/>
        <s v="Phenol"/>
        <s v="Propane"/>
        <s v="Propene"/>
        <s v="Raw Gasoline"/>
        <s v="Raw Oil"/>
        <s v="Refinery Gas"/>
        <s v="SSC Naphtha"/>
        <s v="Steam"/>
        <s v="Sulfuric Gas"/>
        <s v="Sulfuric Heavy Fuel"/>
        <s v="Sulfuric Light Fuel"/>
        <s v="Sulfuric Naphtha"/>
        <s v="Toluene"/>
        <s v="Water"/>
      </sharedItems>
    </cacheField>
    <cacheField name="Amount Produced" numFmtId="0">
      <sharedItems containsSemiMixedTypes="0" containsString="0" containsNumber="1">
        <n v="0.0"/>
        <n v="200.0"/>
        <n v="94300.0"/>
        <n v="35550.0"/>
        <n v="33000.0"/>
        <n v="-6250.0"/>
        <n v="-10.0"/>
        <n v="10000.0"/>
        <n v="213.29999999999998"/>
        <n v="-34000.0"/>
        <n v="79215.0"/>
        <n v="315500.0"/>
        <n v="-225.0"/>
        <n v="352000.0"/>
        <n v="-794000.0"/>
        <n v="83000.0"/>
        <n v="7550.0"/>
        <n v="383000.0"/>
        <n v="-19500.0"/>
        <n v="300.0"/>
        <n v="-500.0"/>
        <n v="9600.0"/>
        <n v="4000.0"/>
        <n v="-90000.0"/>
        <n v="14500.0"/>
        <n v="54665.0"/>
        <n v="213300.0"/>
        <n v="-384000.0"/>
        <n v="204000.0"/>
        <n v="-592500.0"/>
        <n v="6400.0"/>
        <n v="-1600.0"/>
        <n v="6420.0"/>
      </sharedItems>
    </cacheField>
  </cacheFields>
</pivotCacheDefinition>
</file>

<file path=xl/pivotCache/pivotCacheDefinition4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Y27:BY46" sheet="HOG"/>
  </cacheSource>
  <cacheFields>
    <cacheField name="Machine Start. Cost" numFmtId="0">
      <sharedItems containsSemiMixedTypes="0" containsString="0" containsNumber="1" containsInteger="1">
        <n v="1000.0"/>
        <n v="10.0"/>
      </sharedItems>
    </cacheField>
  </cacheFields>
</pivotCacheDefinition>
</file>

<file path=xl/pivotCache/pivotCacheDefinition4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C27:CC46" sheet="HOG"/>
  </cacheSource>
  <cacheFields>
    <cacheField name="OC Machine Start. Cost" numFmtId="0">
      <sharedItems containsSemiMixedTypes="0" containsString="0" containsNumber="1" containsInteger="1">
        <n v="10000.0"/>
        <n v="100000.0"/>
      </sharedItems>
    </cacheField>
  </cacheFields>
</pivotCacheDefinition>
</file>

<file path=xl/pivotCache/pivotCacheDefinition4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O50:BO69" sheet="HOG"/>
  </cacheSource>
  <cacheFields>
    <cacheField name="Time (t)" numFmtId="0">
      <sharedItems containsSemiMixedTypes="0" containsString="0" containsNumber="1" containsInteger="1">
        <n v="12288.0"/>
        <n v="2240.0"/>
        <n v="7680.0"/>
        <n v="2560.0"/>
        <n v="800.0"/>
        <n v="4400.0"/>
        <n v="26400.0"/>
        <n v="35550.0"/>
        <n v="85320.0"/>
        <n v="6960.0"/>
        <n v="4080.0"/>
        <n v="9000.0"/>
        <n v="3320.0"/>
        <n v="350.0"/>
        <n v="2000.0"/>
        <n v="4000.0"/>
        <n v="1000.0"/>
        <n v="200.0"/>
        <n v="550.0"/>
      </sharedItems>
    </cacheField>
  </cacheFields>
</pivotCacheDefinition>
</file>

<file path=xl/pivotCache/pivotCacheDefinition4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P50:BP69" sheet="HOG"/>
  </cacheSource>
  <cacheFields>
    <cacheField name="OC Time (t)" numFmtId="0">
      <sharedItems containsSemiMixedTypes="0" containsString="0" containsNumber="1" containsInteger="1">
        <n v="1536.0"/>
        <n v="35.0"/>
        <n v="120.0"/>
        <n v="40.0"/>
        <n v="13.0"/>
        <n v="550.0"/>
        <n v="825.0"/>
        <n v="4444.0"/>
        <n v="2667.0"/>
        <n v="3480.0"/>
        <n v="255.0"/>
        <n v="563.0"/>
        <n v="830.0"/>
        <n v="88.0"/>
        <n v="32.0"/>
        <n v="1000.0"/>
        <n v="250.0"/>
        <n v="50.0"/>
      </sharedItems>
    </cacheField>
  </cacheFields>
</pivotCacheDefinition>
</file>

<file path=xl/pivotCache/pivotCacheDefinition4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123" sheet="HOG wChanges"/>
  </cacheSource>
  <cacheFields>
    <cacheField name="Inputs" numFmtId="0">
      <sharedItems containsBlank="1">
        <m/>
        <s v="Oil"/>
        <s v="Sulfuric Gas"/>
        <s v="Hydrogen"/>
        <s v="Sulfuric Naphtha"/>
        <s v="Sulfuric Light Fuel"/>
        <s v="Sulfuric Heavy Fuel"/>
        <s v="Light Fuel"/>
        <s v="LHC Light Fuel"/>
        <s v="Naphtha"/>
        <s v="LHC Naphtha"/>
        <s v="Heavy Fuel"/>
        <s v="Carbon Monoxide"/>
        <s v="Methanol"/>
        <s v="Butane"/>
        <s v="MTBE Reaction Mixture"/>
        <s v="Oxygen"/>
        <s v="Ethylene"/>
        <s v="Acetic Acid"/>
        <s v="Calcium Dust"/>
        <s v="Refinery Gas"/>
        <s v="Acetone"/>
        <s v="Raw Gasoline"/>
        <s v="Toluene"/>
        <s v="Gasoline"/>
        <s v="Octane"/>
        <s v="Nitrous Oxide"/>
        <s v="Anti-Knock Agent"/>
        <s v="Water"/>
        <s v="High Octane Gasoline"/>
        <s v="Carbon Dioxide"/>
        <s v="Methane"/>
        <s v="Propane"/>
        <s v="Ethane"/>
        <s v="Benzene"/>
        <s v="Phenol"/>
        <s v="Naphthenic Acid"/>
        <s v="Hydrogen Sulfide"/>
      </sharedItems>
    </cacheField>
    <cacheField name="Input(L)" numFmtId="0">
      <sharedItems containsString="0" containsBlank="1" containsNumber="1" containsInteger="1">
        <m/>
        <n v="267000.0"/>
        <n v="320000.0"/>
        <n v="40000.0"/>
        <n v="108000.0"/>
        <n v="18000.0"/>
        <n v="264000.0"/>
        <n v="44000.0"/>
        <n v="80000.0"/>
        <n v="20000.0"/>
        <n v="220000.0"/>
        <n v="352000.0"/>
        <n v="11000.0"/>
        <n v="17600.0"/>
        <n v="78000.0"/>
        <n v="216000.0"/>
        <n v="54000.0"/>
        <n v="75000.0"/>
        <n v="74700.0"/>
        <n v="140000.0"/>
        <n v="70000.0"/>
        <n v="10.0"/>
        <n v="160000.0"/>
        <n v="10000.0"/>
        <n v="200000.0"/>
        <n v="22000.0"/>
        <n v="66000.0"/>
        <n v="33000.0"/>
      </sharedItems>
    </cacheField>
    <cacheField name="Outputs" numFmtId="0">
      <sharedItems containsBlank="1">
        <m/>
        <s v="Sulfuric Gas"/>
        <s v="Sulfuric Naphtha"/>
        <s v="Sulfuric Light Fuel"/>
        <s v="Sulfuric Heavy Fuel"/>
        <s v="Naphthenic Acid"/>
        <s v="Refinery Gas"/>
        <s v="Hydrogen Sulfide"/>
        <s v="Naphtha"/>
        <s v="Light Fuel"/>
        <s v="Heavy Fuel"/>
        <s v="LHC Light Fuel"/>
        <s v="Methane"/>
        <s v="Ethane"/>
        <s v="Propane"/>
        <s v="Butane"/>
        <s v="Octane"/>
        <s v="LHC Naphtha"/>
        <s v="Phenol"/>
        <s v="Benzene"/>
        <s v="Toluene"/>
        <s v="Methanol"/>
        <s v="MTBE Reaction Mixture"/>
        <s v="Anti-Knock Agent"/>
        <s v="Nitrous Oxide"/>
        <s v="Acetic Acid"/>
        <s v="Acetone"/>
        <s v="Carbon Dioxide"/>
        <s v="Water"/>
        <s v="Raw Gasoline"/>
        <s v="Gasoline"/>
        <s v="High Octane Gasoline"/>
        <s v="Calcium Dust"/>
        <s v="Carbon Monoxide"/>
        <s v="Oxygen"/>
        <s v="Oil"/>
        <s v="Hydrogen"/>
        <s v="Ethylene"/>
      </sharedItems>
    </cacheField>
    <cacheField name="Output(L)" numFmtId="0">
      <sharedItems containsString="0" containsBlank="1" containsNumber="1" containsInteger="1">
        <m/>
        <n v="320400.0"/>
        <n v="106800.0"/>
        <n v="267000.0"/>
        <n v="80100.0"/>
        <n v="13350.0"/>
        <n v="320000.0"/>
        <n v="20000.0"/>
        <n v="108000.0"/>
        <n v="9000.0"/>
        <n v="264000.0"/>
        <n v="22000.0"/>
        <n v="80000.0"/>
        <n v="10000.0"/>
        <n v="220000.0"/>
        <n v="27500.0"/>
        <n v="33000.0"/>
        <n v="44000.0"/>
        <n v="176000.0"/>
        <n v="11000.0"/>
        <n v="3300.0"/>
        <n v="2750.0"/>
        <n v="8800.0"/>
        <n v="19500.0"/>
        <n v="31200.0"/>
        <n v="54000.0"/>
        <n v="75000.0"/>
        <n v="33200.0"/>
        <n v="41500.0"/>
        <n v="70000.0"/>
        <n v="200000.0"/>
        <n v="352000.0"/>
      </sharedItems>
    </cacheField>
  </cacheFields>
</pivotCacheDefinition>
</file>

<file path=xl/pivotCache/pivotCacheDefinition4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5:BR42" sheet="HOG wChanges"/>
  </cacheSource>
  <cacheFields>
    <cacheField name="Inputs" numFmtId="0">
      <sharedItems>
        <s v="Acetic Acid"/>
        <s v="Acetone"/>
        <s v="Anti-Knock Agent"/>
        <s v="Benzene"/>
        <s v="Butane"/>
        <s v="Calcium Dust"/>
        <s v="Carbon Dioxide"/>
        <s v="Carbon Monoxide"/>
        <s v="Ethane"/>
        <s v="Ethylene"/>
        <s v="Gasoline"/>
        <s v="Heavy Fuel"/>
        <s v="High Octane Gasoline"/>
        <s v="Hydrogen"/>
        <s v="Hydrogen Sulfide"/>
        <s v="LHC Light Fuel"/>
        <s v="LHC Naphtha"/>
        <s v="Light Fuel"/>
        <s v="Methane"/>
        <s v="Methanol"/>
        <s v="MTBE Reaction Mixture"/>
        <s v="Naphtha"/>
        <s v="Naphthenic Acid"/>
        <s v="Nitrous Oxide"/>
        <s v="Octane"/>
        <s v="Oil"/>
        <s v="Oxygen"/>
        <s v="Phenol"/>
        <s v="Propane"/>
        <s v="Raw Gasoline"/>
        <s v="Refinery Gas"/>
        <s v="Sulfuric Gas"/>
        <s v="Sulfuric Heavy Fuel"/>
        <s v="Sulfuric Light Fuel"/>
        <s v="Sulfuric Naphtha"/>
        <s v="Toluene"/>
        <s v="Water"/>
      </sharedItems>
    </cacheField>
    <cacheField name="Amount Produced" numFmtId="0">
      <sharedItems containsSemiMixedTypes="0" containsString="0" containsNumber="1" containsInteger="1">
        <n v="0.0"/>
        <n v="200.0"/>
        <n v="31200.0"/>
        <n v="-10.0"/>
        <n v="10000.0"/>
        <n v="-54000.0"/>
        <n v="35750.0"/>
        <n v="-40000.0"/>
        <n v="2000.0"/>
        <n v="352000.0"/>
        <n v="-847600.0"/>
        <n v="61000.0"/>
        <n v="44000.0"/>
        <n v="30250.0"/>
        <n v="500.0"/>
        <n v="300.0"/>
        <n v="113000.0"/>
        <n v="13350.0"/>
        <n v="4000.0"/>
        <n v="-267000.0"/>
        <n v="-90000.0"/>
        <n v="19500.0"/>
        <n v="47300.0"/>
        <n v="300000.0"/>
        <n v="400.0"/>
        <n v="100.0"/>
        <n v="3000.0"/>
        <n v="-1200.0"/>
      </sharedItems>
    </cacheField>
  </cacheFields>
</pivotCacheDefinition>
</file>

<file path=xl/pivotCache/pivotCacheDefinition4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Y27:BY46" sheet="HOG wChanges"/>
  </cacheSource>
  <cacheFields>
    <cacheField name="Machine Start. Cost" numFmtId="0">
      <sharedItems containsSemiMixedTypes="0" containsString="0" containsNumber="1" containsInteger="1">
        <n v="1000.0"/>
        <n v="10.0"/>
      </sharedItems>
    </cacheField>
  </cacheFields>
</pivotCacheDefinition>
</file>

<file path=xl/pivotCache/pivotCacheDefinition4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C27:CC46" sheet="HOG wChanges"/>
  </cacheSource>
  <cacheFields>
    <cacheField name="OC Machine Start. Cost" numFmtId="0">
      <sharedItems containsSemiMixedTypes="0" containsString="0" containsNumber="1" containsInteger="1">
        <n v="10000.0"/>
        <n v="100000.0"/>
      </sharedItems>
    </cacheField>
  </cacheFields>
</pivotCacheDefinition>
</file>

<file path=xl/pivotCache/pivotCacheDefinition4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O50:BO69" sheet="HOG wChanges"/>
  </cacheSource>
  <cacheFields>
    <cacheField name="Time (t)" numFmtId="0">
      <sharedItems containsSemiMixedTypes="0" containsString="0" containsNumber="1" containsInteger="1">
        <n v="8544.0"/>
        <n v="3200.0"/>
        <n v="1440.0"/>
        <n v="3520.0"/>
        <n v="1600.0"/>
        <n v="4400.0"/>
        <n v="26400.0"/>
        <n v="220.0"/>
        <n v="1320.0"/>
        <n v="9360.0"/>
        <n v="6480.0"/>
        <n v="9000.0"/>
        <n v="3320.0"/>
        <n v="350.0"/>
        <n v="2000.0"/>
        <n v="4000.0"/>
        <n v="1000.0"/>
        <n v="200.0"/>
        <n v="550.0"/>
      </sharedItems>
    </cacheField>
  </cacheFields>
</pivotCacheDefinition>
</file>

<file path=xl/pivotCache/pivotCacheDefinition5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P50:BP69" sheet="HOG wChanges"/>
  </cacheSource>
  <cacheFields>
    <cacheField name="OC Time (t)" numFmtId="0">
      <sharedItems containsSemiMixedTypes="0" containsString="0" containsNumber="1" containsInteger="1">
        <n v="1068.0"/>
        <n v="50.0"/>
        <n v="23.0"/>
        <n v="55.0"/>
        <n v="25.0"/>
        <n v="1100.0"/>
        <n v="825.0"/>
        <n v="110.0"/>
        <n v="330.0"/>
        <n v="1170.0"/>
        <n v="405.0"/>
        <n v="563.0"/>
        <n v="830.0"/>
        <n v="88.0"/>
        <n v="32.0"/>
        <n v="1000.0"/>
        <n v="250.0"/>
        <n v="550.0"/>
      </sharedItems>
    </cacheField>
  </cacheFields>
</pivotCacheDefinition>
</file>

<file path=xl/pivotCache/pivotCacheDefinition5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49" sheet="Nitrobenzene"/>
  </cacheSource>
  <cacheFields>
    <cacheField name="Inputs" numFmtId="0">
      <sharedItems containsBlank="1">
        <m/>
        <s v="Wood Log"/>
        <s v="Nitrogen"/>
        <s v="Charcoal"/>
        <s v="Wood Tar"/>
        <s v="Hydrogen"/>
        <s v="Ammonia"/>
        <s v="Oxygen"/>
        <s v="Benzene"/>
        <s v="Sulfuric Acid"/>
        <s v="Nitric Acid"/>
        <s v="Distilled Water"/>
        <s v="Water"/>
        <s v="1,2-Dimethylbenzene"/>
        <s v="Creosote Oil"/>
        <s v="Phenol"/>
        <s v="Toluene"/>
        <s v="Ashes"/>
        <s v="Nitrobenzene"/>
      </sharedItems>
    </cacheField>
    <cacheField name="Input(L)" numFmtId="0">
      <sharedItems containsString="0" containsBlank="1" containsNumber="1" containsInteger="1">
        <m/>
        <n v="520.0"/>
        <n v="32500.0"/>
        <n v="650.0"/>
        <n v="114000.0"/>
        <n v="45000.0"/>
        <n v="135000.0"/>
        <n v="180000.0"/>
        <n v="9000.0"/>
        <n v="90000.0"/>
      </sharedItems>
    </cacheField>
    <cacheField name="Outputs" numFmtId="0">
      <sharedItems containsBlank="1">
        <m/>
        <s v="Wood Log"/>
        <s v="Charcoal"/>
        <s v="Wood Tar"/>
        <s v="Ashes"/>
        <s v="Creosote Oil"/>
        <s v="Phenol"/>
        <s v="Benzene"/>
        <s v="Toluene"/>
        <s v="1,2-Dimethylbenzene"/>
        <s v="Ammonia"/>
        <s v="Nitric Acid"/>
        <s v="Water"/>
        <s v="Nitrobenzene"/>
        <s v="Sulfuric Acid"/>
        <s v="Distilled Water"/>
        <s v="Nitrogen"/>
        <s v="Hydrogen"/>
        <s v="Oxygen"/>
      </sharedItems>
    </cacheField>
    <cacheField name="Output(L)" numFmtId="0">
      <sharedItems containsString="0" containsBlank="1" containsNumber="1" containsInteger="1">
        <m/>
        <n v="520.0"/>
        <n v="650.0"/>
        <n v="48750.0"/>
        <n v="65000.0"/>
        <n v="65.0"/>
        <n v="28500.0"/>
        <n v="11400.0"/>
        <n v="45600.0"/>
        <n v="17100.0"/>
        <n v="45000.0"/>
      </sharedItems>
    </cacheField>
  </cacheFields>
</pivotCacheDefinition>
</file>

<file path=xl/pivotCache/pivotCacheDefinition5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S5:BT23" sheet="Nitrobenzene"/>
  </cacheSource>
  <cacheFields>
    <cacheField name="Inputs" numFmtId="0">
      <sharedItems>
        <s v="1,2-Dimethylbenzene"/>
        <s v="Ammonia"/>
        <s v="Ashes"/>
        <s v="Benzene"/>
        <s v="Charcoal"/>
        <s v="Creosote Oil"/>
        <s v="Distilled Water"/>
        <s v="Hydrogen"/>
        <s v="Nitric Acid"/>
        <s v="Nitrobenzene"/>
        <s v="Nitrogen"/>
        <s v="Oxygen"/>
        <s v="Phenol"/>
        <s v="Sulfuric Acid"/>
        <s v="Toluene"/>
        <s v="Water"/>
        <s v="Wood Log"/>
        <s v="Wood Tar"/>
      </sharedItems>
    </cacheField>
    <cacheField name="Amount Produced" numFmtId="0">
      <sharedItems containsSemiMixedTypes="0" containsString="0" containsNumber="1" containsInteger="1">
        <n v="17100.0"/>
        <n v="0.0"/>
        <n v="65.0"/>
        <n v="600.0"/>
        <n v="28500.0"/>
        <n v="-90000.0"/>
        <n v="-135000.0"/>
        <n v="45000.0"/>
        <n v="-77500.0"/>
        <n v="-180000.0"/>
        <n v="11400.0"/>
        <n v="-9000.0"/>
        <n v="-250.0"/>
      </sharedItems>
    </cacheField>
  </cacheFields>
</pivotCacheDefinition>
</file>

<file path=xl/pivotCache/pivotCacheDefinition5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A21:CA28" sheet="Nitrobenzene"/>
  </cacheSource>
  <cacheFields>
    <cacheField name="Machine Start. Cost" numFmtId="0">
      <sharedItems containsSemiMixedTypes="0" containsString="0" containsNumber="1" containsInteger="1">
        <n v="10.0"/>
        <n v="1405511.0"/>
        <n v="1000.0"/>
      </sharedItems>
    </cacheField>
  </cacheFields>
</pivotCacheDefinition>
</file>

<file path=xl/pivotCache/pivotCacheDefinition5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21:CE28" sheet="Nitrobenzene"/>
  </cacheSource>
  <cacheFields>
    <cacheField name="OC Machine Start. Cost" numFmtId="0">
      <sharedItems containsSemiMixedTypes="0" containsString="0" containsNumber="1" containsInteger="1">
        <n v="1000000.0"/>
        <n v="1405511.0"/>
      </sharedItems>
    </cacheField>
  </cacheFields>
</pivotCacheDefinition>
</file>

<file path=xl/pivotCache/pivotCacheDefinition5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26:BQ33" sheet="Nitrobenzene"/>
  </cacheSource>
  <cacheFields>
    <cacheField name="Time (t)" numFmtId="0">
      <sharedItems containsSemiMixedTypes="0" containsString="0" containsNumber="1" containsInteger="1">
        <n v="40.0"/>
        <n v="347.0"/>
        <n v="2786.0"/>
        <n v="652.0"/>
        <n v="14400.0"/>
        <n v="193.0"/>
      </sharedItems>
    </cacheField>
  </cacheFields>
</pivotCacheDefinition>
</file>

<file path=xl/pivotCache/pivotCacheDefinition5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R26:BR33" sheet="Nitrobenzene"/>
  </cacheSource>
  <cacheFields>
    <cacheField name="OC Time (t)" numFmtId="0">
      <sharedItems containsSemiMixedTypes="0" containsString="0" containsNumber="1" containsInteger="1">
        <n v="40.0"/>
        <n v="44.0"/>
        <n v="59.0"/>
        <n v="55.0"/>
        <n v="57.0"/>
        <n v="15.0"/>
        <n v="49.0"/>
      </sharedItems>
    </cacheField>
  </cacheFields>
</pivotCacheDefinition>
</file>

<file path=xl/pivotCache/pivotCacheDefinition5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125" sheet="LFTR"/>
  </cacheSource>
  <cacheFields>
    <cacheField name="Inputs" numFmtId="0">
      <sharedItems containsBlank="1">
        <m/>
        <s v="Beryllium Dust"/>
        <s v="Hydrogen"/>
        <s v="Oxygen"/>
        <s v="Beryllium Hydroxide Fluid"/>
        <s v="Fluorine"/>
        <s v="Industrial Hydrofluoric Acid"/>
        <s v="Hydrofluoric Acid"/>
        <s v="Ammonia"/>
        <s v="Beryllium Hydroxide Dust"/>
        <s v="Ammonium Bifluoride"/>
        <s v="Ammonium Tetrafluoroberyllate"/>
        <s v="Lithium Fluoride Dust"/>
        <s v="Lithium-7"/>
        <s v="Water"/>
        <s v="Lithium Hydroxide Fluid"/>
        <s v="Lithium Hydroxide Dust"/>
        <s v="Beryllium Fluoride Dust"/>
        <s v="Lithium Tetrafluoroberyllate Dust"/>
        <s v="Zirconium Dust"/>
        <s v="Chlorine"/>
        <s v="Zirconium Pellet"/>
        <s v="Zirconium Tetrachloride"/>
        <s v="Cooked Zirconium Tetrachloride"/>
        <s v="Zirconium Tetrafluoride Dust"/>
        <s v="Lithium Fluoride Fluid"/>
        <s v="Beryllium Fluoride Fluid"/>
        <s v="Zirconium Tetrafluoride Fluid"/>
        <s v="Uranium-235 Fluid"/>
        <s v="LFTR Fuel 1"/>
        <s v="Lithium Tetrafluoroberyllate Fluid"/>
        <s v="Hydrochloric Acid"/>
        <s v="Thorium Depleted Salt"/>
        <s v="Uranium Depleted Salt"/>
        <s v="Uranium Hexafluoride"/>
        <s v="Uranium-233 Fluid"/>
      </sharedItems>
    </cacheField>
    <cacheField name="Input(L)" numFmtId="0">
      <sharedItems containsString="0" containsBlank="1" containsNumber="1" containsInteger="1">
        <m/>
        <n v="14.0"/>
        <n v="28000.0"/>
        <n v="6048.0"/>
        <n v="75000.0"/>
        <n v="30000.0"/>
        <n v="42.0"/>
        <n v="16128.0"/>
        <n v="240.0"/>
        <n v="80.0"/>
        <n v="40000.0"/>
        <n v="30672.0"/>
        <n v="213.0"/>
        <n v="35500.0"/>
        <n v="96.0"/>
        <n v="72.0"/>
        <n v="167.0"/>
        <n v="1.0"/>
        <n v="4000.0"/>
        <n v="5.0"/>
        <n v="2000.0"/>
        <n v="46.0"/>
        <n v="13.0"/>
        <n v="6600.0"/>
        <n v="1800.0"/>
        <n v="720.0"/>
        <n v="2880.0"/>
        <n v="12000.0"/>
        <n v="24000.0"/>
      </sharedItems>
    </cacheField>
    <cacheField name="Outputs" numFmtId="0">
      <sharedItems containsBlank="1">
        <m/>
        <s v="Beryllium Hydroxide Fluid"/>
        <s v="Beryllium Hydroxide Dust"/>
        <s v="Hydrofluoric Acid"/>
        <s v="Industrial Hydrofluoric Acid"/>
        <s v="Ammonium Bifluoride"/>
        <s v="Ammonium Tetrafluoroberyllate"/>
        <s v="Water"/>
        <s v="Beryllium Fluoride Dust"/>
        <s v="Ammonia"/>
        <s v="Lithium-7"/>
        <s v="Lithium Hydroxide Fluid"/>
        <s v="Lithium Hydroxide Dust"/>
        <s v="Lithium Fluoride Dust"/>
        <s v="Lithium Tetrafluoroberyllate Dust"/>
        <s v="Lithium Tetrafluoroberyllate Fluid"/>
        <s v="Zirconium Pellet"/>
        <s v="Zirconium Tetrachloride"/>
        <s v="Cooked Zirconium Tetrachloride"/>
        <s v="Zirconium Tetrafluoride Dust"/>
        <s v="Hydrochloric Acid"/>
        <s v="Zirconium Tetrafluoride Fluid"/>
        <s v="Lithium Fluoride Fluid"/>
        <s v="Beryllium Fluoride Fluid"/>
        <s v="LFTR Fuel 1"/>
        <s v="Uranium Depleted Salt"/>
        <s v="Thorium Depleted Salt"/>
        <s v="Uranium Hexafluoride"/>
        <s v="Uranium-233 Fluid"/>
        <s v="Beryllium Dust"/>
        <s v="Fluorine"/>
        <s v="Chlorine"/>
        <s v="Hydrogen"/>
        <s v="Lithium Dust"/>
        <s v="Oxygen"/>
        <s v="Zirconium Dust"/>
        <s v="Uranium-235 Fluid"/>
      </sharedItems>
    </cacheField>
    <cacheField name="Output(L)" numFmtId="0">
      <sharedItems containsString="0" containsBlank="1" containsNumber="1" containsInteger="1">
        <m/>
        <n v="6048.0"/>
        <n v="42.0"/>
        <n v="75000.0"/>
        <n v="67500.0"/>
        <n v="16128.0"/>
        <n v="28000.0"/>
        <n v="14000.0"/>
        <n v="84.0"/>
        <n v="56000.0"/>
        <n v="80.0"/>
        <n v="34560.0"/>
        <n v="213.0"/>
        <n v="142.0"/>
        <n v="71000.0"/>
        <n v="168.0"/>
        <n v="24048.0"/>
        <n v="1.0"/>
        <n v="5.0"/>
        <n v="4000.0"/>
        <n v="720.0"/>
        <n v="6624.0"/>
        <n v="1872.0"/>
        <n v="12000.0"/>
        <n v="3000.0"/>
        <n v="6000.0"/>
      </sharedItems>
    </cacheField>
  </cacheFields>
</pivotCacheDefinition>
</file>

<file path=xl/pivotCache/pivotCacheDefinition5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S5:BT41" sheet="LFTR"/>
  </cacheSource>
  <cacheFields>
    <cacheField name="Inputs" numFmtId="0">
      <sharedItems containsBlank="1">
        <m/>
        <s v="Ammonia"/>
        <s v="Ammonium Bifluoride"/>
        <s v="Ammonium Tetrafluoroberyllate"/>
        <s v="Beryllium Dust"/>
        <s v="Beryllium Fluoride Dust"/>
        <s v="Beryllium Fluoride Fluid"/>
        <s v="Beryllium Hydroxide Dust"/>
        <s v="Beryllium Hydroxide Fluid"/>
        <s v="Chlorine"/>
        <s v="Cooked Zirconium Tetrachloride"/>
        <s v="Fluorine"/>
        <s v="Hydrochloric Acid"/>
        <s v="Hydrofluoric Acid"/>
        <s v="Hydrogen"/>
        <s v="Industrial Hydrofluoric Acid"/>
        <s v="LFTR Fuel 1"/>
        <s v="Lithium Fluoride Dust"/>
        <s v="Lithium Fluoride Fluid"/>
        <s v="Lithium Hydroxide Dust"/>
        <s v="Lithium Hydroxide Fluid"/>
        <s v="Lithium Tetrafluoroberyllate Dust"/>
        <s v="Lithium Tetrafluoroberyllate Fluid"/>
        <s v="Lithium-7"/>
        <s v="Oxygen"/>
        <s v="Thorium Depleted Salt"/>
        <s v="Uranium Depleted Salt"/>
        <s v="Uranium Hexafluoride"/>
        <s v="Uranium-233 Fluid"/>
        <s v="Uranium-235 Fluid"/>
        <s v="Water"/>
        <s v="Zirconium Dust"/>
        <s v="Zirconium Pellet"/>
        <s v="Zirconium Tetrachloride"/>
        <s v="Zirconium Tetrafluoride Dust"/>
        <s v="Zirconium Tetrafluoride Fluid"/>
      </sharedItems>
    </cacheField>
    <cacheField name="Amount Produced" numFmtId="1">
      <sharedItems containsSemiMixedTypes="0" containsString="0" containsNumber="1" containsInteger="1">
        <n v="720.0"/>
        <n v="28000.0"/>
        <n v="0.0"/>
        <n v="-14.0"/>
        <n v="-1.0"/>
        <n v="72.0"/>
        <n v="-4000.0"/>
        <n v="-75000.0"/>
        <n v="4000.0"/>
        <n v="-103000.0"/>
        <n v="-382.0"/>
        <n v="-6458.0"/>
        <n v="6411.0"/>
        <n v="-30459.0"/>
        <n v="34393.0"/>
        <n v="-23832.0"/>
        <n v="23968.0"/>
        <n v="-67920.0"/>
        <n v="6000.0"/>
        <n v="3000.0"/>
        <n v="3120.0"/>
        <n v="-40000.0"/>
        <n v="84999.0"/>
        <n v="-4.0"/>
        <n v="-715.0"/>
      </sharedItems>
    </cacheField>
  </cacheFields>
</pivotCacheDefinition>
</file>

<file path=xl/pivotCache/pivotCacheDefinition5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44:BQ66" sheet="LFTR"/>
  </cacheSource>
  <cacheFields>
    <cacheField name="Time (t)" numFmtId="0">
      <sharedItems containsSemiMixedTypes="0" containsString="0" containsNumber="1" containsInteger="1">
        <n v="1120.0"/>
        <n v="1260.0"/>
        <n v="4500.0"/>
        <n v="3000.0"/>
        <n v="11200.0"/>
        <n v="84000.0"/>
        <n v="168000.0"/>
        <n v="192000.0"/>
        <n v="30000.0"/>
        <n v="4260.0"/>
        <n v="170400.0"/>
        <n v="67200.0"/>
        <n v="16700.0"/>
        <n v="300.0"/>
        <n v="400.0"/>
        <n v="6000.0"/>
        <n v="1500.0"/>
        <n v="1000.0"/>
        <n v="1300.0"/>
        <n v="4600.0"/>
        <n v="432000.0"/>
        <n v="240000.0"/>
      </sharedItems>
    </cacheField>
  </cacheFields>
</pivotCacheDefinition>
</file>

<file path=xl/pivotCache/pivotCacheDefinition6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R44:BR66" sheet="LFTR"/>
  </cacheSource>
  <cacheFields>
    <cacheField name="OC Time (t)" numFmtId="0">
      <sharedItems containsSemiMixedTypes="0" containsString="0" containsNumber="1" containsInteger="1">
        <n v="18.0"/>
        <n v="158.0"/>
        <n v="71.0"/>
        <n v="3000.0"/>
        <n v="175.0"/>
        <n v="5250.0"/>
        <n v="10500.0"/>
        <n v="192000.0"/>
        <n v="469.0"/>
        <n v="1065.0"/>
        <n v="2663.0"/>
        <n v="67200.0"/>
        <n v="8350.0"/>
        <n v="38.0"/>
        <n v="50.0"/>
        <n v="750.0"/>
        <n v="1000.0"/>
        <n v="650.0"/>
        <n v="2300.0"/>
        <n v="216000.0"/>
        <n v="240000.0"/>
      </sharedItems>
    </cacheField>
  </cacheFields>
</pivotCacheDefinition>
</file>

<file path=xl/pivotCache/pivotCacheDefinition6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A44:CA66" sheet="LFTR"/>
  </cacheSource>
  <cacheFields>
    <cacheField name="Machine Start. Cost" numFmtId="0">
      <sharedItems containsSemiMixedTypes="0" containsString="0" containsNumber="1" containsInteger="1">
        <n v="10.0"/>
        <n v="1000.0"/>
        <n v="100.0"/>
        <n v="10000.0"/>
      </sharedItems>
    </cacheField>
  </cacheFields>
</pivotCacheDefinition>
</file>

<file path=xl/pivotCache/pivotCacheDefinition6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44:CE66" sheet="LFTR"/>
  </cacheSource>
  <cacheFields>
    <cacheField name="OC Machine Start. Cost" numFmtId="0">
      <sharedItems containsSemiMixedTypes="0" containsString="0" containsNumber="1" containsInteger="1">
        <n v="10000.0"/>
      </sharedItems>
    </cacheField>
  </cacheFields>
</pivotCacheDefinition>
</file>

<file path=xl/pivotCache/pivotCacheDefinition6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34:F307" sheet="LFTR"/>
  </cacheSource>
  <cacheFields>
    <cacheField name="Inputs" numFmtId="0">
      <sharedItems containsBlank="1">
        <m/>
        <s v="LFTR Fuel Base"/>
        <s v="Zirconium Tetrafluoride Fluid"/>
        <s v="LFTR Fuel 2"/>
        <s v="Lithium Tetrafluoroberyllate Fluid"/>
        <s v="Uranium Depleted Salt"/>
        <s v="Fluorine"/>
        <s v="Phosphorous UF6 "/>
        <s v="Sodium Fluoride Fluid"/>
        <s v="Sodium"/>
        <s v="Water"/>
        <s v="Sodium Hydroxide"/>
        <s v="Industrial Hydrofluoric Acid"/>
        <s v="Sodium Fluoride Dust"/>
        <s v="Thorium-Beryllium Depleted Salt"/>
        <s v="Fluorinated UF6"/>
        <s v="Hydrogen"/>
        <s v="Hydrofluoric Acid"/>
        <s v="Impure Molten Salt Base"/>
        <s v="Uranium Hexafluoride"/>
        <s v="Stable Molten Salt Base"/>
        <s v="Zirconium Dust"/>
        <s v="Chlorine"/>
        <s v="Zirconium Pellet"/>
        <s v="Zirconium Tetrachloride"/>
        <s v="Cooked Zirconium Tetrachloride"/>
        <s v="Zirconium Tetrafluoride Dust"/>
        <s v="Beryllium"/>
        <s v="Oxygen"/>
        <s v="Beryllium Hydroxide Fluid"/>
        <s v="Ammonia"/>
        <s v="Beryllium Hydroxide Dust"/>
        <s v="Ammonium Bifluoride"/>
        <s v="Ammonium Tetrafluoroberyllate"/>
        <s v="Lithium"/>
        <s v="Lithium-7"/>
        <s v="Lithium Hydroxide Fluid"/>
        <s v="Lithium Hydroxide Dust"/>
        <s v="Lithium Fluoride Dust"/>
        <s v="Beryllium Fluoride Dust"/>
        <s v="Lithium Tetrafluoroberyllate Dust"/>
        <s v="Beryllium Fluoride Fluid"/>
        <s v="Lithium Fluoride Fluid"/>
        <s v="Uranium Tetrafluoride"/>
        <s v="Uranium-235 Dust"/>
        <s v="Uranium-233 Dust"/>
        <s v="Uranium-233 Fluid"/>
        <s v="Protactinium Dust"/>
        <s v="Phosphorous Dust"/>
        <s v="Hydrochloric Acid"/>
      </sharedItems>
    </cacheField>
    <cacheField name="Input(L)" numFmtId="0">
      <sharedItems containsString="0" containsBlank="1" containsNumber="1" containsInteger="1">
        <m/>
        <n v="12600.0"/>
        <n v="1400.0"/>
        <n v="28000.0"/>
        <n v="56000.0"/>
        <n v="14000.0"/>
        <n v="21000.0"/>
        <n v="45.0"/>
        <n v="45000.0"/>
        <n v="135.0"/>
        <n v="22500.0"/>
        <n v="89.0"/>
        <n v="30000.0"/>
        <n v="18000.0"/>
        <n v="9000.0"/>
        <n v="12000.0"/>
        <n v="190000.0"/>
        <n v="76000.0"/>
        <n v="4000.0"/>
        <n v="8000.0"/>
        <n v="2.0"/>
        <n v="10.0"/>
        <n v="32.0"/>
        <n v="64000.0"/>
        <n v="13824.0"/>
        <n v="96.0"/>
        <n v="36864.0"/>
        <n v="384.0"/>
        <n v="128.0"/>
        <n v="56592.0"/>
        <n v="393.0"/>
        <n v="65500.0"/>
        <n v="224.0"/>
        <n v="168.0"/>
        <n v="389.0"/>
        <n v="3024.0"/>
        <n v="8400.0"/>
        <n v="3500.0"/>
        <n v="1120.0"/>
        <n v="980.0"/>
        <n v="58.0"/>
        <n v="24.0"/>
        <n v="1.0"/>
        <n v="4.0"/>
        <n v="10000.0"/>
      </sharedItems>
    </cacheField>
    <cacheField name="Outputs" numFmtId="0">
      <sharedItems containsBlank="1">
        <m/>
        <s v="LFTR Fuel 2"/>
        <s v="Uranium Depleted Salt"/>
        <s v="Thorium-Beryllium Depleted Salt"/>
        <s v="Uranium Hexafluoride"/>
        <s v="Uranium-233 Fluid"/>
        <s v="Phosphorous UF6 "/>
        <s v="Impure Molten Salt Base"/>
        <s v="Sodium Fluoride Fluid"/>
        <s v="Fluorine"/>
        <s v="Phosphorous Dust"/>
        <s v="Sodium Hydroxide"/>
        <s v="Hydrogen"/>
        <s v="Sodium Fluoride Dust"/>
        <s v="Water"/>
        <s v="Fluorinated UF6"/>
        <s v="Lithium Fluoride Fluid"/>
        <s v="Beryllium Fluoride Fluid"/>
        <s v="Protactinium Dust"/>
        <s v="Uranium-233 Dust"/>
        <s v="Hydrofluoric Acid"/>
        <s v="Industrial Hydrofluoric Acid"/>
        <s v="Stable Molten Salt Base"/>
        <s v="LFTR Fuel Base"/>
        <s v="Zirconium Pellet"/>
        <s v="Zirconium Tetrachloride"/>
        <s v="Cooked Zirconium Tetrachloride"/>
        <s v="Zirconium Tetrafluoride Dust"/>
        <s v="Hydrochloric Acid"/>
        <s v="Zirconium Tetrafluoride Fluid"/>
        <s v="Beryllium Hydroxide Fluid"/>
        <s v="Beryllium Hydroxide Dust"/>
        <s v="Ammonium Bifluoride"/>
        <s v="Ammonium Tetrafluoroberyllate"/>
        <s v="Beryllium Fluoride Dust"/>
        <s v="Ammonia"/>
        <s v="Lithium-7"/>
        <s v="Lithium Hydroxide Fluid"/>
        <s v="Lithium Hydroxide Dust"/>
        <s v="Lithium Fluoride Dust"/>
        <s v="Lithium Tetrafluoroberyllate Dust"/>
        <s v="Lithium Tetrafluoroberyllate Fluid"/>
        <s v="Uranium Tetrafluoride"/>
        <s v="Beryllium"/>
        <s v="Chlorine"/>
        <s v="Lithium"/>
        <s v="Oxygen"/>
        <s v="Zirconium Dust"/>
        <s v="Sodium"/>
        <s v="Uranium-235 Dust"/>
      </sharedItems>
    </cacheField>
    <cacheField name="Output(L)" numFmtId="0">
      <sharedItems containsString="0" containsBlank="1" containsNumber="1">
        <m/>
        <n v="14000.0"/>
        <n v="28000.0"/>
        <n v="4200.0"/>
        <n v="7000.0"/>
        <n v="28.0"/>
        <n v="135.0"/>
        <n v="45000.0"/>
        <n v="90.0"/>
        <n v="12816.0"/>
        <n v="9000.0"/>
        <n v="3000.0"/>
        <n v="9.899999999999999"/>
        <n v="6000.0"/>
        <n v="6.8999999999999995"/>
        <n v="190000.0"/>
        <n v="171000.0"/>
        <n v="12000.0"/>
        <n v="8000.0"/>
        <n v="2.0"/>
        <n v="10.0"/>
        <n v="1440.0"/>
        <n v="13824.0"/>
        <n v="96.0"/>
        <n v="36864.0"/>
        <n v="64000.0"/>
        <n v="32000.0"/>
        <n v="192.0"/>
        <n v="128000.0"/>
        <n v="128.0"/>
        <n v="55296.0"/>
        <n v="393.0"/>
        <n v="262.0"/>
        <n v="131000.0"/>
        <n v="392.0"/>
        <n v="56016.0"/>
        <n v="21.0"/>
        <n v="8352.0"/>
        <n v="3456.0"/>
        <n v="3600.0"/>
      </sharedItems>
    </cacheField>
  </cacheFields>
</pivotCacheDefinition>
</file>

<file path=xl/pivotCache/pivotCacheDefinition6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S135:BT184" sheet="LFTR"/>
  </cacheSource>
  <cacheFields>
    <cacheField name="Inputs" numFmtId="1">
      <sharedItems>
        <s v="Ammonia"/>
        <s v="Ammonium Bifluoride"/>
        <s v="Ammonium Tetrafluoroberyllate"/>
        <s v="Beryllium"/>
        <s v="Beryllium Fluoride Dust"/>
        <s v="Beryllium Fluoride Fluid"/>
        <s v="Beryllium Hydroxide Dust"/>
        <s v="Beryllium Hydroxide Fluid"/>
        <s v="Chlorine"/>
        <s v="Cooked Zirconium Tetrachloride"/>
        <s v="Fluorinated UF6"/>
        <s v="Fluorine"/>
        <s v="Hydrochloric Acid"/>
        <s v="Hydrofluoric Acid"/>
        <s v="Hydrogen"/>
        <s v="Impure Molten Salt Base"/>
        <s v="Industrial Hydrofluoric Acid"/>
        <s v="LFTR Fuel 2"/>
        <s v="LFTR Fuel Base"/>
        <s v="Lithium"/>
        <s v="Lithium Fluoride Dust"/>
        <s v="Lithium Fluoride Fluid"/>
        <s v="Lithium Hydroxide Dust"/>
        <s v="Lithium Hydroxide Fluid"/>
        <s v="Lithium Tetrafluoroberyllate Dust"/>
        <s v="Lithium Tetrafluoroberyllate Fluid"/>
        <s v="Lithium-7"/>
        <s v="Oxygen"/>
        <s v="Phosphorous Dust"/>
        <s v="Phosphorous UF6 "/>
        <s v="Protactinium Dust"/>
        <s v="Sodium"/>
        <s v="Sodium Fluoride Dust"/>
        <s v="Sodium Fluoride Fluid"/>
        <s v="Sodium Hydroxide"/>
        <s v="Stable Molten Salt Base"/>
        <s v="Thorium-Beryllium Depleted Salt"/>
        <s v="Uranium Depleted Salt"/>
        <s v="Uranium Hexafluoride"/>
        <s v="Uranium Tetrafluoride"/>
        <s v="Uranium-233 Dust"/>
        <s v="Uranium-233 Fluid"/>
        <s v="Uranium-235 Dust"/>
        <s v="Water"/>
        <s v="Zirconium Dust"/>
        <s v="Zirconium Pellet"/>
        <s v="Zirconium Tetrachloride"/>
        <s v="Zirconium Tetrafluoride Dust"/>
        <s v="Zirconium Tetrafluoride Fluid"/>
      </sharedItems>
    </cacheField>
    <cacheField name="Amount Produced" numFmtId="1">
      <sharedItems containsSemiMixedTypes="0" containsString="0" containsNumber="1">
        <n v="64000.0"/>
        <n v="0.0"/>
        <n v="-32.0"/>
        <n v="21.0"/>
        <n v="-68.0"/>
        <n v="-8000.0"/>
        <n v="-209000.0"/>
        <n v="8000.0"/>
        <n v="-217000.0"/>
        <n v="1000.0"/>
        <n v="-600.0"/>
        <n v="-384.0"/>
        <n v="1.0"/>
        <n v="-72.0"/>
        <n v="-1296.0"/>
        <n v="3.0"/>
        <n v="16.0"/>
        <n v="-128000.0"/>
        <n v="28.0"/>
        <n v="9.899999999999999"/>
        <n v="-45.0"/>
        <n v="-184.0"/>
        <n v="200.0"/>
        <n v="-2000.0"/>
        <n v="20200.0"/>
        <n v="2620.0"/>
        <n v="2.8999999999999995"/>
        <n v="14000.0"/>
        <n v="-1.0"/>
        <n v="99000.0"/>
        <n v="-2.0"/>
        <n v="-1080.0"/>
      </sharedItems>
    </cacheField>
  </cacheFields>
</pivotCacheDefinition>
</file>

<file path=xl/pivotCache/pivotCacheDefinition6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A151:CA182" sheet="LFTR"/>
  </cacheSource>
  <cacheFields>
    <cacheField name="Machine Start. Cost" numFmtId="0">
      <sharedItems containsSemiMixedTypes="0" containsString="0" containsNumber="1" containsInteger="1">
        <n v="100000.0"/>
        <n v="1000.0"/>
        <n v="10000.0"/>
        <n v="10.0"/>
        <n v="100.0"/>
      </sharedItems>
    </cacheField>
  </cacheFields>
</pivotCacheDefinition>
</file>

<file path=xl/pivotCache/pivotCacheDefinition6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151:CE182" sheet="LFTR"/>
  </cacheSource>
  <cacheFields>
    <cacheField name="OC Machine Start. Cost" numFmtId="0">
      <sharedItems containsSemiMixedTypes="0" containsString="0" containsNumber="1" containsInteger="1">
        <n v="100000.0"/>
      </sharedItems>
    </cacheField>
  </cacheFields>
</pivotCacheDefinition>
</file>

<file path=xl/pivotCache/pivotCacheDefinition6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187:BQ222" sheet="LFTR"/>
  </cacheSource>
  <cacheFields>
    <cacheField name="Time (t)" numFmtId="0">
      <sharedItems containsSemiMixedTypes="0" containsString="0" containsNumber="1" containsInteger="1">
        <n v="280000.0"/>
        <n v="560000.0"/>
        <n v="134400.0"/>
        <n v="84000.0"/>
        <n v="9000.0"/>
        <n v="54000.0"/>
        <n v="53400.0"/>
        <n v="1440.0"/>
        <n v="36000.0"/>
        <n v="11400.0"/>
        <n v="7600.0"/>
        <n v="126000.0"/>
        <n v="4000.0"/>
        <n v="600.0"/>
        <n v="800.0"/>
        <n v="12000.0"/>
        <n v="3000.0"/>
        <n v="2000.0"/>
        <n v="2560.0"/>
        <n v="2880.0"/>
        <n v="25600.0"/>
        <n v="192000.0"/>
        <n v="384000.0"/>
        <n v="307200.0"/>
        <n v="48000.0"/>
        <n v="7860.0"/>
        <n v="314400.0"/>
        <n v="156800.0"/>
        <n v="38900.0"/>
        <n v="201600.0"/>
        <n v="5800.0"/>
        <n v="2400.0"/>
      </sharedItems>
    </cacheField>
  </cacheFields>
</pivotCacheDefinition>
</file>

<file path=xl/pivotCache/pivotCacheDefinition6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R187:BR222" sheet="LFTR"/>
  </cacheSource>
  <cacheFields>
    <cacheField name="OC Time (t)" numFmtId="0">
      <sharedItems containsSemiMixedTypes="0" containsString="0" containsNumber="1" containsInteger="1">
        <n v="140000.0"/>
        <n v="80640.0"/>
        <n v="21000.0"/>
        <n v="36.0"/>
        <n v="211.0"/>
        <n v="13350.0"/>
        <n v="14400.0"/>
        <n v="4500.0"/>
        <n v="45.0"/>
        <n v="3800.0"/>
        <n v="126000.0"/>
        <n v="8000.0"/>
        <n v="38.0"/>
        <n v="50.0"/>
        <n v="3000.0"/>
        <n v="750.0"/>
        <n v="1000.0"/>
        <n v="10.0"/>
        <n v="180.0"/>
        <n v="100.0"/>
        <n v="6000.0"/>
        <n v="76800.0"/>
        <n v="188.0"/>
        <n v="983.0"/>
        <n v="1229.0"/>
        <n v="78400.0"/>
        <n v="9725.0"/>
        <n v="12600.0"/>
        <n v="1450.0"/>
        <n v="600.0"/>
      </sharedItems>
    </cacheField>
  </cacheFields>
</pivotCacheDefinition>
</file>

<file path=xl/pivotCache/pivotCacheDefinition6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318:F433" sheet="LFTR"/>
  </cacheSource>
  <cacheFields>
    <cacheField name="Inputs" numFmtId="0">
      <sharedItems containsBlank="1">
        <m/>
        <s v="LFTR Fuel Base"/>
        <s v="Thorium Tetrafluoride"/>
        <s v="LFTR Fuel 3"/>
        <s v="Lithium Tetrafluoroberyllate Fluid"/>
        <s v="Uranium Depleted Salt"/>
        <s v="Helium"/>
        <s v="Thorium-Beryllium Depleted Salt"/>
        <s v="Fluorine"/>
        <s v="Sparged U Salt"/>
        <s v="Phosphorous UF6 "/>
        <s v="Sodium Fluoride Fluid"/>
        <s v="Sodium"/>
        <s v="Water"/>
        <s v="Sodium Hydroxide"/>
        <s v="Industrial Hydrofluoric Acid"/>
        <s v="Sodium Fluoride Dust"/>
        <s v="Sparged TB Salt"/>
        <s v="Fluorinated UF6"/>
        <s v="Hydrogen"/>
        <s v="Hydrofluoric Acid"/>
        <s v="Impure Molten Salt Base"/>
        <s v="Uranium Hexafluoride"/>
        <s v="Stable Molten Salt Base"/>
        <s v="Beryllium Fluoride Fluid"/>
        <s v="Lithium Fluoride Fluid"/>
        <s v="Lithium Fluoride Dust"/>
        <s v="Beryllium Fluoride Dust"/>
        <s v="Lithium Tetrafluoroberyllate Dust"/>
        <s v="Neptunium Hexafluoride"/>
        <s v="Technetium Hexafluoride"/>
        <s v="Selenium Hexafluoride"/>
        <s v="Xenon"/>
        <s v="Neon"/>
        <s v="Argon"/>
        <s v="Krypton"/>
        <s v="Radon"/>
        <s v="Protactinium Dust"/>
        <s v="Uranium-233 Fluid"/>
        <s v="Uranium-233 Dust"/>
        <s v="Phosphorous Dust"/>
      </sharedItems>
    </cacheField>
    <cacheField name="Input(L)" numFmtId="0">
      <sharedItems containsString="0" containsBlank="1" containsNumber="1" containsInteger="1">
        <m/>
        <n v="4500.0"/>
        <n v="500.0"/>
        <n v="5000.0"/>
        <n v="10000.0"/>
        <n v="100000.0"/>
        <n v="20000.0"/>
        <n v="40000.0"/>
        <n v="15000.0"/>
        <n v="45.0"/>
        <n v="45000.0"/>
        <n v="135.0"/>
        <n v="22500.0"/>
        <n v="90.0"/>
        <n v="12000.0"/>
        <n v="16000.0"/>
        <n v="2000.0"/>
        <n v="4000.0"/>
        <n v="4320.0"/>
        <n v="5760.0"/>
        <n v="40.0"/>
        <n v="30.0"/>
        <n v="70.0"/>
      </sharedItems>
    </cacheField>
    <cacheField name="Outputs" numFmtId="0">
      <sharedItems containsBlank="1">
        <m/>
        <s v="LFTR Fuel 3"/>
        <s v="Uranium Depleted Salt"/>
        <s v="Thorium-Beryllium Depleted Salt"/>
        <s v="Uranium Hexafluoride"/>
        <s v="Uranium-233 Fluid"/>
        <s v="Sparged U Salt"/>
        <s v="Helium"/>
        <s v="Xenon"/>
        <s v="Neon"/>
        <s v="Argon"/>
        <s v="Krypton"/>
        <s v="Radon"/>
        <s v="Sparged TB Salt"/>
        <s v="Fluorine"/>
        <s v="Lithium Fluoride Fluid"/>
        <s v="Neptunium Hexafluoride"/>
        <s v="Technetium Hexafluoride"/>
        <s v="Selenium Hexafluoride"/>
        <s v="Thorium Tetrafluoride"/>
        <s v="Phosphorous UF6 "/>
        <s v="Impure Molten Salt Base"/>
        <s v="Sodium Fluoride Fluid"/>
        <s v="Phosphorous Dust"/>
        <s v="Sodium Hydroxide"/>
        <s v="Hydrogen"/>
        <s v="Sodium Fluoride Dust"/>
        <s v="Water"/>
        <s v="Fluorinated UF6"/>
        <s v="Beryllium Fluoride Fluid"/>
        <s v="Protactinium Dust"/>
        <s v="Uranium-233 Dust"/>
        <s v="Hydrofluoric Acid"/>
        <s v="Industrial Hydrofluoric Acid"/>
        <s v="Stable Molten Salt Base"/>
        <s v="LFTR Fuel Base"/>
        <s v="Beryllium Fluoride Dust"/>
        <s v="Lithium Fluoride Dust"/>
        <s v="Lithium Tetrafluoroberyllate Dust"/>
        <s v="Lithium Tetrafluoroberyllate Fluid"/>
        <s v="Sodium"/>
      </sharedItems>
    </cacheField>
    <cacheField name="Output(L)" numFmtId="0">
      <sharedItems containsString="0" containsBlank="1" containsNumber="1">
        <m/>
        <n v="5000.0"/>
        <n v="20000.0"/>
        <n v="1500.0"/>
        <n v="2500.0"/>
        <n v="50000.0"/>
        <n v="10000.0"/>
        <n v="4000.0"/>
        <n v="20.0"/>
        <n v="135.0"/>
        <n v="45000.0"/>
        <n v="90.0"/>
        <n v="12960.0"/>
        <n v="12000.0"/>
        <n v="7.2"/>
        <n v="8000.0"/>
        <n v="9.2"/>
        <n v="40000.0"/>
        <n v="36000.0"/>
        <n v="3000.0"/>
        <n v="6000.0"/>
        <n v="30.0"/>
        <n v="40.0"/>
        <n v="70.0"/>
        <n v="10080.0"/>
      </sharedItems>
    </cacheField>
  </cacheFields>
</pivotCacheDefinition>
</file>

<file path=xl/pivotCache/pivotCacheDefinition7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S319:BT359" sheet="LFTR"/>
  </cacheSource>
  <cacheFields>
    <cacheField name="Inputs" numFmtId="0">
      <sharedItems>
        <s v="Argon"/>
        <s v="Beryllium Fluoride Dust"/>
        <s v="Beryllium Fluoride Fluid"/>
        <s v="Fluorinated UF6"/>
        <s v="Fluorine"/>
        <s v="Helium"/>
        <s v="Hydrofluoric Acid"/>
        <s v="Hydrogen"/>
        <s v="Impure Molten Salt Base"/>
        <s v="Industrial Hydrofluoric Acid"/>
        <s v="Krypton"/>
        <s v="LFTR Fuel 3"/>
        <s v="LFTR Fuel Base"/>
        <s v="Lithium Fluoride Dust"/>
        <s v="Lithium Fluoride Fluid"/>
        <s v="Lithium Tetrafluoroberyllate Dust"/>
        <s v="Lithium Tetrafluoroberyllate Fluid"/>
        <s v="Neon"/>
        <s v="Neptunium Hexafluoride"/>
        <s v="Phosphorous Dust"/>
        <s v="Phosphorous UF6 "/>
        <s v="Protactinium Dust"/>
        <s v="Radon"/>
        <s v="Selenium Hexafluoride"/>
        <s v="Sodium"/>
        <s v="Sodium Fluoride Dust"/>
        <s v="Sodium Fluoride Fluid"/>
        <s v="Sodium Hydroxide"/>
        <s v="Sparged TB Salt"/>
        <s v="Sparged U Salt"/>
        <s v="Stable Molten Salt Base"/>
        <s v="Technetium Hexafluoride"/>
        <s v="Thorium Tetrafluoride"/>
        <s v="Thorium-Beryllium Depleted Salt"/>
        <s v="Uranium Depleted Salt"/>
        <s v="Uranium Hexafluoride"/>
        <s v="Uranium-233 Dust"/>
        <s v="Uranium-233 Fluid"/>
        <s v="Water"/>
        <s v="Xenon"/>
      </sharedItems>
    </cacheField>
    <cacheField name="Amount Produced" numFmtId="0">
      <sharedItems containsSemiMixedTypes="0" containsString="0" containsNumber="1">
        <n v="10000.0"/>
        <n v="0.0"/>
        <n v="-320.0"/>
        <n v="-74000.0"/>
        <n v="-50000.0"/>
        <n v="1000.0"/>
        <n v="1500.0"/>
        <n v="2240.0"/>
        <n v="80.0"/>
        <n v="4000.0"/>
        <n v="20.0"/>
        <n v="7.2"/>
        <n v="-45.0"/>
        <n v="-40.0"/>
        <n v="3500.0"/>
        <n v="17500.0"/>
        <n v="9.2"/>
        <n v="2500.0"/>
      </sharedItems>
    </cacheField>
  </cacheFields>
</pivotCacheDefinition>
</file>

<file path=xl/pivotCache/pivotCacheDefinition7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A332:CA351" sheet="LFTR"/>
  </cacheSource>
  <cacheFields>
    <cacheField name="Machine Start. Cost" numFmtId="0">
      <sharedItems containsSemiMixedTypes="0" containsString="0" containsNumber="1" containsInteger="1">
        <n v="100000.0"/>
        <n v="1000000.0"/>
        <n v="1000.0"/>
        <n v="10000.0"/>
        <n v="10.0"/>
      </sharedItems>
    </cacheField>
  </cacheFields>
</pivotCacheDefinition>
</file>

<file path=xl/pivotCache/pivotCacheDefinition7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E332:CE351" sheet="LFTR"/>
  </cacheSource>
  <cacheFields>
    <cacheField name="OC Machine Start. Cost" numFmtId="0">
      <sharedItems containsSemiMixedTypes="0" containsString="0" containsNumber="1" containsInteger="1">
        <n v="1000000.0"/>
        <n v="100000.0"/>
      </sharedItems>
    </cacheField>
  </cacheFields>
</pivotCacheDefinition>
</file>

<file path=xl/pivotCache/pivotCacheDefinition7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362:BQ381" sheet="LFTR"/>
  </cacheSource>
  <cacheFields>
    <cacheField name="Time (t)">
      <sharedItems containsMixedTypes="1" containsNumber="1" containsInteger="1">
        <n v="100000.0"/>
        <n v="50000.0"/>
        <n v="200000.0"/>
        <n v="24000.0"/>
        <n v="60000.0"/>
        <n v="9000.0"/>
        <n v="54000.0"/>
        <n v="480.0"/>
        <n v="48000.0"/>
        <n v="2400.0"/>
        <n v="1600.0"/>
        <e v="#N/A"/>
        <n v="2000.0"/>
        <n v="288000.0"/>
        <n v="384000.0"/>
        <n v="28000.0"/>
        <n v="7000.0"/>
      </sharedItems>
    </cacheField>
  </cacheFields>
</pivotCacheDefinition>
</file>

<file path=xl/pivotCache/pivotCacheDefinition7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R362:BR381" sheet="LFTR"/>
  </cacheSource>
  <cacheFields>
    <cacheField name="OC Time (t)">
      <sharedItems containsMixedTypes="1" containsNumber="1" containsInteger="1">
        <n v="25000.0"/>
        <n v="14400.0"/>
        <n v="15000.0"/>
        <n v="36.0"/>
        <n v="211.0"/>
        <n v="13500.0"/>
        <n v="4800.0"/>
        <n v="12000.0"/>
        <n v="10.0"/>
        <n v="800.0"/>
        <e v="#N/A"/>
        <n v="4000.0"/>
        <n v="18000.0"/>
        <n v="24000.0"/>
        <n v="14000.0"/>
        <n v="1750.0"/>
      </sharedItems>
    </cacheField>
  </cacheFields>
</pivotCacheDefinition>
</file>

<file path=xl/pivotCache/pivotCacheDefinition7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194" sheet="Circuits for Assline"/>
  </cacheSource>
  <cacheFields>
    <cacheField name="Inputs" numFmtId="0">
      <sharedItems containsBlank="1">
        <m/>
        <s v="More Advanced Circuit Board"/>
        <s v="QBit Processing Unit"/>
        <s v="Nanocomponent CPU"/>
        <s v="SMD Capacitor"/>
        <s v="SMD Transistor"/>
        <s v="Fine Platinum Wire"/>
        <s v="Soldering Alloy"/>
        <s v="Quantumprocessor"/>
        <s v="RAM Chip"/>
        <s v="SMD Inductor"/>
        <s v="Quantumprocessor Assembly"/>
        <s v="NOR Chip"/>
        <s v="SMD Diode"/>
        <s v="Aluminium Frame Box"/>
        <s v="Master Quantumcomputer"/>
        <s v="Annealed Copper Wire"/>
        <s v="PVC Fluid"/>
        <s v="PVC Sheet"/>
        <s v="Aluminium Ingot"/>
        <s v="Gallium Ingot"/>
        <s v="Platinum Ingot"/>
        <s v="Copper Ingot"/>
        <s v="Neodymium Ingot"/>
        <s v="Thin PVC Sheet"/>
        <s v="Aluminium Foil"/>
        <s v="Polyethylene"/>
        <s v="Gallium Foil"/>
        <s v="Fine Annealed Copper Wire"/>
        <s v="Neodymium Ring"/>
        <s v="Gallium Arsenide Dust"/>
        <s v="Phosphorous-doped Boule"/>
        <s v="Lubricant"/>
        <s v="Phosphorous-doped Wafer"/>
        <s v="CPU Wafer"/>
        <s v="Raw Carbon Fibre"/>
        <s v="Glowstone Fluid"/>
        <s v="NanoCPU Wafer"/>
        <s v="Quantum Eye"/>
        <s v="Gallium Arsenide Fluid"/>
        <s v="QBit Wafer"/>
        <s v="Ender Eye"/>
        <s v="Radon"/>
        <s v="Carbon Dust"/>
        <s v="Epoxid Fluid"/>
        <s v="Fiber-Reinforced Epoxy Resin"/>
        <s v="Sulfuric Acid"/>
        <s v="Fiber-Reinforced Circuit Board"/>
        <s v="Energetic Alloy Foil"/>
        <s v="Iron III Chloride"/>
        <s v="Energetic Alloy Ingot"/>
        <s v="RAM Wafer"/>
        <s v="NOR Wafer"/>
        <s v="Silicon Poly SI"/>
        <s v="Quantumprocessor Mainframe"/>
      </sharedItems>
    </cacheField>
    <cacheField name="Input(L)" numFmtId="0">
      <sharedItems containsString="0" containsBlank="1" containsNumber="1" containsInteger="1">
        <m/>
        <n v="892.0"/>
        <n v="10704.0"/>
        <n v="14272.0"/>
        <n v="64224.0"/>
        <n v="446.0"/>
        <n v="1784.0"/>
        <n v="5352.0"/>
        <n v="7136.0"/>
        <n v="210.0"/>
        <n v="420.0"/>
        <n v="840.0"/>
        <n v="1680.0"/>
        <n v="3360.0"/>
        <n v="10080.0"/>
        <n v="15120.0"/>
        <n v="2520.0"/>
        <n v="5040.0"/>
        <n v="30240.0"/>
        <n v="137376.0"/>
        <n v="954.0"/>
        <n v="5121.0"/>
        <n v="168.0"/>
        <n v="4385.0"/>
        <n v="669.0"/>
        <n v="62.0"/>
        <n v="3816.0"/>
        <n v="1908.0"/>
        <n v="192672.0"/>
        <n v="246.0"/>
        <n v="1968.0"/>
        <n v="8856.0"/>
        <n v="27.0"/>
        <n v="432.0"/>
        <n v="15552.0"/>
        <n v="7.0"/>
        <n v="525.0"/>
        <n v="84.0"/>
        <n v="335.0"/>
        <n v="5360.0"/>
        <n v="192960.0"/>
        <n v="112.0"/>
        <n v="28000.0"/>
        <n v="223.0"/>
        <n v="54412.0"/>
        <n v="55750.0"/>
        <n v="111500.0"/>
        <n v="6908.0"/>
        <n v="15543.0"/>
        <n v="1548.0"/>
        <n v="222912.0"/>
        <n v="18576.0"/>
        <n v="774000.0"/>
        <n v="1548000.0"/>
        <n v="4644.0"/>
        <n v="60.0"/>
        <n v="240.0"/>
        <n v="16080.0"/>
        <n v="53.0"/>
        <n v="7685.0"/>
      </sharedItems>
    </cacheField>
    <cacheField name="Outputs" numFmtId="0">
      <sharedItems containsBlank="1">
        <m/>
        <s v="Quantumprocessor"/>
        <s v="Quantumprocessor Assembly"/>
        <s v="Master Quantumcomputer"/>
        <s v="Quantumprocessor Mainframe"/>
        <s v="PVC Sheet"/>
        <s v="Thin PVC Sheet"/>
        <s v="Aluminium Foil"/>
        <s v="Gallium Foil"/>
        <s v="Fine Platinum Wire"/>
        <s v="Fine Annealed Copper Wire"/>
        <s v="Aluminium Frame Box"/>
        <s v="Neodymium Ring"/>
        <s v="SMD Capacitor"/>
        <s v="SMD Transistor"/>
        <s v="SMD Inductor"/>
        <s v="SMD Diode"/>
        <s v="Phosphorous-doped Wafer"/>
        <s v="Silicon Poly SI"/>
        <s v="CPU Wafer"/>
        <s v="NanoCPU Wafer"/>
        <s v="Nanocomponent CPU"/>
        <s v="QBit Wafer"/>
        <s v="QBit Processing Unit"/>
        <s v="Quantum Eye"/>
        <s v="Raw Carbon Fibre"/>
        <s v="Fiber-Reinforced Epoxy Resin"/>
        <s v="Fiber-Reinforced Circuit Board"/>
        <s v="More Advanced Circuit Board"/>
        <s v="Energetic Alloy Foil"/>
        <s v="RAM Wafer"/>
        <s v="RAM Chip"/>
        <s v="NOR Wafer"/>
        <s v="NOR Chip"/>
        <s v="Annealed Copper Wire"/>
        <s v="PVC Fluid"/>
        <s v="Aluminium Ingot"/>
        <s v="Neodymium Ingot"/>
        <s v="Polyethylene"/>
        <s v="Phosphorous-doped Boule"/>
        <s v="Lubricant"/>
        <s v="Glowstone Fluid"/>
        <s v="Ender Eye"/>
        <s v="Radon"/>
        <s v="Gallium Arsenide Fluid"/>
        <s v="Iron III Chloride"/>
        <s v="Energetic Alloy Ingot"/>
        <s v="Copper Ingot"/>
        <s v="Soldering Alloy"/>
        <s v="Carbon Dust"/>
        <s v="Epoxid Fluid"/>
        <s v="Gallium Arsenide Dust"/>
        <s v="Sulfuric Acid"/>
        <s v="Gallium Ingot"/>
        <s v="Platinum Ingot"/>
      </sharedItems>
    </cacheField>
    <cacheField name="Output(L)" numFmtId="0">
      <sharedItems containsString="0" containsBlank="1" containsNumber="1" containsInteger="1">
        <m/>
        <n v="892.0"/>
        <n v="446.0"/>
        <n v="210.0"/>
        <n v="105.0"/>
        <n v="954.0"/>
        <n v="3816.0"/>
        <n v="20484.0"/>
        <n v="672.0"/>
        <n v="35080.0"/>
        <n v="5352.0"/>
        <n v="248.0"/>
        <n v="22896.0"/>
        <n v="10704.0"/>
        <n v="7872.0"/>
        <n v="1728.0"/>
        <n v="224.0"/>
        <n v="56.0"/>
        <n v="336.0"/>
        <n v="335.0"/>
        <n v="896.0"/>
        <n v="223.0"/>
        <n v="6908.0"/>
        <n v="1548.0"/>
        <n v="18576.0"/>
        <n v="240.0"/>
        <n v="7680.0"/>
        <n v="53.0"/>
        <n v="848.0"/>
        <n v="5040.0"/>
      </sharedItems>
    </cacheField>
  </cacheFields>
</pivotCacheDefinition>
</file>

<file path=xl/pivotCache/pivotCacheDefinition7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S5:BT59" sheet="Circuits for Assline"/>
  </cacheSource>
  <cacheFields>
    <cacheField name="Inputs" numFmtId="0">
      <sharedItems>
        <s v="Aluminium Foil"/>
        <s v="Aluminium Frame Box"/>
        <s v="Aluminium Ingot"/>
        <s v="Annealed Copper Wire"/>
        <s v="Carbon Dust"/>
        <s v="Copper Ingot"/>
        <s v="CPU Wafer"/>
        <s v="Ender Eye"/>
        <s v="Energetic Alloy Foil"/>
        <s v="Energetic Alloy Ingot"/>
        <s v="Epoxid Fluid"/>
        <s v="Fiber-Reinforced Circuit Board"/>
        <s v="Fiber-Reinforced Epoxy Resin"/>
        <s v="Fine Annealed Copper Wire"/>
        <s v="Fine Platinum Wire"/>
        <s v="Gallium Arsenide Dust"/>
        <s v="Gallium Arsenide Fluid"/>
        <s v="Gallium Foil"/>
        <s v="Gallium Ingot"/>
        <s v="Glowstone Fluid"/>
        <s v="Iron III Chloride"/>
        <s v="Lubricant"/>
        <s v="Master Quantumcomputer"/>
        <s v="More Advanced Circuit Board"/>
        <s v="Nanocomponent CPU"/>
        <s v="NanoCPU Wafer"/>
        <s v="Neodymium Ingot"/>
        <s v="Neodymium Ring"/>
        <s v="NOR Chip"/>
        <s v="NOR Wafer"/>
        <s v="Phosphorous-doped Boule"/>
        <s v="Phosphorous-doped Wafer"/>
        <s v="Platinum Ingot"/>
        <s v="Polyethylene"/>
        <s v="PVC Fluid"/>
        <s v="PVC Sheet"/>
        <s v="QBit Processing Unit"/>
        <s v="QBit Wafer"/>
        <s v="Quantum Eye"/>
        <s v="Quantumprocessor"/>
        <s v="Quantumprocessor Assembly"/>
        <s v="Quantumprocessor Mainframe"/>
        <s v="Radon"/>
        <s v="RAM Chip"/>
        <s v="RAM Wafer"/>
        <s v="Raw Carbon Fibre"/>
        <s v="Silicon Poly SI"/>
        <s v="SMD Capacitor"/>
        <s v="SMD Diode"/>
        <s v="SMD Inductor"/>
        <s v="SMD Transistor"/>
        <s v="Soldering Alloy"/>
        <s v="Sulfuric Acid"/>
        <s v="Thin PVC Sheet"/>
      </sharedItems>
    </cacheField>
    <cacheField name="Amount Produced" numFmtId="1">
      <sharedItems containsSemiMixedTypes="0" containsString="0" containsNumber="1" containsInteger="1">
        <n v="0.0"/>
        <n v="-5541.0"/>
        <n v="-6908.0"/>
        <n v="-3189.0"/>
        <n v="1.0"/>
        <n v="-446.0"/>
        <n v="-4644.0"/>
        <n v="-238455.0"/>
        <n v="-2376.0"/>
        <n v="-27.0"/>
        <n v="-54412.0"/>
        <n v="3.0"/>
        <n v="-168.0"/>
        <n v="-192960.0"/>
        <n v="-1548000.0"/>
        <n v="-108040.0"/>
        <n v="4.0"/>
        <n v="-62.0"/>
        <n v="2.0"/>
        <n v="8.0"/>
        <n v="-7.0"/>
        <n v="27.0"/>
        <n v="-4385.0"/>
        <n v="-354456.0"/>
        <n v="-137376.0"/>
        <n v="26.0"/>
        <n v="105.0"/>
        <n v="-111500.0"/>
        <n v="16.0"/>
        <n v="56.0"/>
        <n v="48.0"/>
        <n v="-173808.0"/>
        <n v="-774000.0"/>
      </sharedItems>
    </cacheField>
  </cacheFields>
</pivotCacheDefinition>
</file>

<file path=xl/pivotCache/pivotCacheDefinition7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Q62:BQ95" sheet="Circuits for Assline"/>
  </cacheSource>
  <cacheFields>
    <cacheField name="Time (t)" numFmtId="0">
      <sharedItems containsSemiMixedTypes="0" containsString="0" containsNumber="1" containsInteger="1">
        <n v="178400.0"/>
        <n v="84000.0"/>
        <n v="168000.0"/>
        <n v="30528.0"/>
        <n v="9540.0"/>
        <n v="133146.0"/>
        <n v="11760.0"/>
        <n v="438500.0"/>
        <n v="66900.0"/>
        <n v="13440.0"/>
        <n v="17856.0"/>
        <n v="305280.0"/>
        <n v="214080.0"/>
        <n v="78720.0"/>
        <n v="32400.0"/>
        <n v="5600.0"/>
        <n v="75600.0"/>
        <n v="402000.0"/>
        <n v="100800.0"/>
        <n v="267600.0"/>
        <n v="200700.0"/>
        <n v="31086.0"/>
        <n v="743040.0"/>
        <n v="774000.0"/>
        <n v="2786400.0"/>
        <n v="1012392.0"/>
        <n v="72000.0"/>
        <n v="216000.0"/>
        <n v="47700.0"/>
        <n v="252000.0"/>
      </sharedItems>
    </cacheField>
  </cacheFields>
</pivotCacheDefinition>
</file>

<file path=xl/pivotCache/pivotCacheDefinition7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R62:BR95" sheet="Circuits for Assline"/>
  </cacheSource>
  <cacheFields>
    <cacheField name="OC Time (t)" numFmtId="0">
      <sharedItems containsSemiMixedTypes="0" containsString="0" containsNumber="1" containsInteger="1">
        <n v="178400.0"/>
        <n v="84000.0"/>
        <n v="168000.0"/>
        <n v="1908.0"/>
        <n v="597.0"/>
        <n v="8322.0"/>
        <n v="735.0"/>
        <n v="27407.0"/>
        <n v="4182.0"/>
        <n v="840.0"/>
        <n v="2232.0"/>
        <n v="38160.0"/>
        <n v="26760.0"/>
        <n v="9840.0"/>
        <n v="4050.0"/>
        <n v="700.0"/>
        <n v="18900.0"/>
        <n v="100500.0"/>
        <n v="25200.0"/>
        <n v="66900.0"/>
        <n v="100350.0"/>
        <n v="53520.0"/>
        <n v="7772.0"/>
        <n v="185760.0"/>
        <n v="3024.0"/>
        <n v="10885.0"/>
        <n v="63275.0"/>
        <n v="9000.0"/>
        <n v="27000.0"/>
        <n v="11925.0"/>
        <n v="15750.0"/>
      </sharedItems>
    </cacheField>
  </cacheFields>
</pivotCacheDefinition>
</file>

<file path=xl/pivotCache/pivotCacheDefinition7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Z62:BZ95" sheet="Circuits for Assline"/>
  </cacheSource>
  <cacheFields>
    <cacheField name="Machine Start. Cost" numFmtId="0">
      <sharedItems containsSemiMixedTypes="0" containsString="0" containsNumber="1" containsInteger="1">
        <n v="100000.0"/>
        <n v="10.0"/>
        <n v="100.0"/>
        <n v="1000.0"/>
        <n v="10000.0"/>
      </sharedItems>
    </cacheField>
  </cacheFields>
</pivotCacheDefinition>
</file>

<file path=xl/pivotCache/pivotCacheDefinition8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D62:CD95" sheet="Circuits for Assline"/>
  </cacheSource>
  <cacheFields>
    <cacheField name="OC Machine Start. Cost" numFmtId="0">
      <sharedItems containsSemiMixedTypes="0" containsString="0" containsNumber="1" containsInteger="1">
        <n v="100000.0"/>
      </sharedItems>
    </cacheField>
  </cacheFields>
</pivotCacheDefinition>
</file>

<file path=xl/pivotCache/pivotCacheDefinition8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4:F224" sheet="Platline"/>
  </cacheSource>
  <cacheFields>
    <cacheField name="Inputs" numFmtId="0">
      <sharedItems containsBlank="1">
        <m/>
        <s v="PtMP Dust"/>
        <s v="Aqua Regia"/>
        <s v="Platinum Concentrate"/>
        <s v="Ammonium Chloride"/>
        <s v="Platinum Salt Dust"/>
        <s v="Refined Platinum Salt Dust"/>
        <s v="Reprecipitated Platinum Dust"/>
        <s v="Calcium Dust"/>
        <s v="Palladium Enriched Ammonia"/>
        <s v="PaMP Dust"/>
        <s v="Palladium Salt Dust"/>
        <s v="Reprecipitated Palladium Dust"/>
        <s v="Formic Acid"/>
        <s v="Diluted Sulfuric Acid"/>
        <s v="Nitric Acid"/>
        <s v="Nitrogen"/>
        <s v="Hydrogen"/>
        <s v="Ammonia"/>
        <s v="Oxygen"/>
        <s v="Sodium Formate"/>
        <s v="Sulfuric Acid"/>
        <s v="Sodium Hydroxide Dust"/>
        <s v="Carbon Monoxide"/>
        <s v="Platinum Residue Dust"/>
        <s v="Potassium Disulfate Fluid"/>
        <s v="Rhodium Sulfate"/>
        <s v="Water"/>
        <s v="Zinc Dust"/>
        <s v="Rhodium Sulfate Solution"/>
        <s v="Crude Rhodium Metal Dust"/>
        <s v="Salt"/>
        <s v="Chlorine"/>
        <s v="Rhodium Salt Dust"/>
        <s v="Sodium Nitrate Dust"/>
        <s v="Rhodium Salt Solution"/>
        <s v="Rhodium Nitrate Dust"/>
        <s v="Rhodium Filter Cake Dust"/>
        <s v="Rhodium Filter Cake Solution"/>
        <s v="Reprecipitated Rhodium Dust"/>
        <s v="Hydrochloric Acid"/>
        <s v="Potassium Disulfate Dust"/>
        <s v="Potassium Dust"/>
        <s v="Sulfur Dust"/>
        <s v="Sodium Dust"/>
        <s v="Leach Residue Dust"/>
        <s v="Saltpeter"/>
        <s v="Salt Water"/>
        <s v="Sodium Ruthenate Dust"/>
        <s v="Ruthenium Tetroxide Solution"/>
        <s v="Hot Ruthenium Tetroxide Solution"/>
        <s v="Ruthenium Tetroxide Fluid"/>
        <s v="Ruthenium Tetroxide Dust"/>
        <s v="Rarest Metal Residue"/>
        <s v="Iridium Metal Residue Dust"/>
        <s v="Iridium Dioxide Dust"/>
        <s v="Acidic Iridium Solution"/>
        <s v="Iridium Chloride Dust"/>
        <s v="Acidic Osmium Solution"/>
        <s v="Osmium Solution"/>
        <s v="Calcium Chloride Dust"/>
        <s v="Calcium Chloride Fluid"/>
        <s v="Ethylene"/>
        <s v="Platinum Dust"/>
        <s v="Palladium Dust"/>
        <s v="Ruthenium Dust"/>
        <s v="Rhodium Dust"/>
        <s v="Iridium Dust"/>
        <s v="Osmium Dust"/>
        <s v="Sludge Residue Dust"/>
        <s v="Metallic Sludge Residue Dust"/>
        <s v="Nitrogen Dioxide"/>
        <s v="Potassium Fluid"/>
        <s v="Zinc Sulfate Dust"/>
        <s v="Steam"/>
        <s v="Sodium Sulfate"/>
      </sharedItems>
    </cacheField>
    <cacheField name="Input(L)" numFmtId="0">
      <sharedItems containsString="0" containsBlank="1" containsNumber="1" containsInteger="1">
        <m/>
        <n v="9.0"/>
        <n v="9000.0"/>
        <n v="18000.0"/>
        <n v="3600.0"/>
        <n v="1.0"/>
        <n v="4.0"/>
        <n v="1000.0"/>
        <n v="4000.0"/>
        <n v="3000.0"/>
        <n v="2000.0"/>
        <n v="3.0"/>
        <n v="360.0"/>
        <n v="39000.0"/>
        <n v="36000.0"/>
        <n v="200.0"/>
        <n v="5.0"/>
        <n v="2.0"/>
        <n v="7000.0"/>
        <n v="10.0"/>
        <n v="6.0"/>
        <n v="6000.0"/>
        <n v="20.0"/>
        <n v="5000.0"/>
        <n v="10000.0"/>
        <n v="30000.0"/>
        <n v="500.0"/>
      </sharedItems>
    </cacheField>
    <cacheField name="Outputs" numFmtId="0">
      <sharedItems containsBlank="1">
        <m/>
        <s v="Platinum Residue Dust"/>
        <s v="Platinum Concentrate"/>
        <s v="Platinum Salt Dust"/>
        <s v="Reprecipitated Platinum Dust"/>
        <s v="Palladium Enriched Ammonia"/>
        <s v="Nitrogen Dioxide"/>
        <s v="Diluted Sulfuric Acid"/>
        <s v="Refined Platinum Salt Dust"/>
        <s v="PtMP Dust"/>
        <s v="Chlorine"/>
        <s v="Platinum Dust"/>
        <s v="Calcium Chloride Dust"/>
        <s v="Palladium Salt Dust"/>
        <s v="Reprecipitated Palladium Dust"/>
        <s v="PaMP Dust"/>
        <s v="Palladium Dust"/>
        <s v="Ammonia"/>
        <s v="Ethylene"/>
        <s v="Water"/>
        <s v="Aqua Regia"/>
        <s v="Nitric Acid"/>
        <s v="Sodium Sulfate"/>
        <s v="Formic Acid"/>
        <s v="Sodium Formate"/>
        <s v="Leach Residue Dust"/>
        <s v="Rhodium Sulfate"/>
        <s v="Rhodium Sulfate Solution"/>
        <s v="Potassium Fluid"/>
        <s v="Crude Rhodium Metal Dust"/>
        <s v="Zinc Sulfate Dust"/>
        <s v="Rhodium Salt Dust"/>
        <s v="Rhodium Salt Solution"/>
        <s v="Rhodium Nitrate Dust"/>
        <s v="Salt"/>
        <s v="Rhodium Filter Cake Dust"/>
        <s v="Rhodium Filter Cake Solution"/>
        <s v="Reprecipitated Rhodium Dust"/>
        <s v="Rhodium Dust"/>
        <s v="Potassium Disulfate Fluid"/>
        <s v="Potassium Disulfate Dust"/>
        <s v="Sodium Nitrate Dust"/>
        <s v="Hydrogen"/>
        <s v="Sodium Ruthenate Dust"/>
        <s v="Rarest Metal Residue"/>
        <s v="Steam"/>
        <s v="Ruthenium Tetroxide Solution"/>
        <s v="Hot Ruthenium Tetroxide Solution"/>
        <s v="Ruthenium Tetroxide Fluid"/>
        <s v="Ruthenium Tetroxide Dust"/>
        <s v="Ruthenium Dust"/>
        <s v="Iridium Metal Residue Dust"/>
        <s v="Acidic Osmium Solution"/>
        <s v="Iridium Dioxide Dust"/>
        <s v="Sludge Residue Dust"/>
        <s v="Acidic Iridium Solution"/>
        <s v="Iridium Chloride Dust"/>
        <s v="Iridium Dust"/>
        <s v="Metallic Sludge Residue Dust"/>
        <s v="Calcium Chloride Fluid"/>
        <s v="Osmium Solution"/>
        <s v="Osmium Dust"/>
        <s v="Ammonium Chloride"/>
        <s v="Salt Water"/>
        <s v="Calcium Dust"/>
        <s v="Carbon Monoxide"/>
        <s v="Hydrochloric Acid"/>
        <s v="Nitrogen"/>
        <s v="Oxygen"/>
        <s v="Potassium Dust"/>
        <s v="Saltpeter"/>
        <s v="Sodium Dust"/>
        <s v="Zinc Dust"/>
        <s v="Sulfur Dust"/>
        <s v="Sulfuric Acid"/>
        <s v="Sodium Hydroxide Dust"/>
      </sharedItems>
    </cacheField>
    <cacheField name="Output(L)" numFmtId="0">
      <sharedItems containsString="0" containsBlank="1" containsNumber="1">
        <m/>
        <n v="9.0"/>
        <n v="9000.0"/>
        <n v="16.0"/>
        <n v="4.0"/>
        <n v="3600.0"/>
        <n v="0.95"/>
        <n v="1.0"/>
        <n v="87.0"/>
        <n v="2.0"/>
        <n v="3.0"/>
        <n v="4000.0"/>
        <n v="1000.0"/>
        <n v="2000.0"/>
        <n v="7.0"/>
        <n v="360.0"/>
        <n v="39000.0"/>
        <n v="7200.0"/>
        <n v="6.0"/>
        <n v="200.0"/>
        <n v="144.0"/>
        <n v="11.0"/>
        <n v="5.0"/>
        <n v="1800.0"/>
        <n v="6000.0"/>
        <n v="10.0"/>
        <n v="10000.0"/>
        <n v="30000.0"/>
        <n v="7000.0"/>
        <n v="5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58.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59.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60.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61.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62.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63.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64.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65.xml"/></Relationships>
</file>

<file path=xl/pivotTables/_rels/pivotTable96.xml.rels><?xml version="1.0" encoding="UTF-8" standalone="yes"?><Relationships xmlns="http://schemas.openxmlformats.org/package/2006/relationships"><Relationship Id="rId1" Type="http://schemas.openxmlformats.org/officeDocument/2006/relationships/pivotCacheDefinition" Target="../pivotCache/pivotCacheDefinition66.xml"/></Relationships>
</file>

<file path=xl/pivotTables/_rels/pivotTable97.xml.rels><?xml version="1.0" encoding="UTF-8" standalone="yes"?><Relationships xmlns="http://schemas.openxmlformats.org/package/2006/relationships"><Relationship Id="rId1" Type="http://schemas.openxmlformats.org/officeDocument/2006/relationships/pivotCacheDefinition" Target="../pivotCache/pivotCacheDefinition67.xml"/></Relationships>
</file>

<file path=xl/pivotTables/_rels/pivotTable98.xml.rels><?xml version="1.0" encoding="UTF-8" standalone="yes"?><Relationships xmlns="http://schemas.openxmlformats.org/package/2006/relationships"><Relationship Id="rId1" Type="http://schemas.openxmlformats.org/officeDocument/2006/relationships/pivotCacheDefinition" Target="../pivotCache/pivotCacheDefinition68.xml"/></Relationships>
</file>

<file path=xl/pivotTables/_rels/pivotTable99.xml.rels><?xml version="1.0" encoding="UTF-8" standalone="yes"?><Relationships xmlns="http://schemas.openxmlformats.org/package/2006/relationships"><Relationship Id="rId1" Type="http://schemas.openxmlformats.org/officeDocument/2006/relationships/pivotCacheDefinition" Target="../pivotCache/pivotCacheDefinition69.xml"/></Relationships>
</file>

<file path=xl/pivotTables/_rels/pivotTable100.xml.rels><?xml version="1.0" encoding="UTF-8" standalone="yes"?><Relationships xmlns="http://schemas.openxmlformats.org/package/2006/relationships"><Relationship Id="rId1" Type="http://schemas.openxmlformats.org/officeDocument/2006/relationships/pivotCacheDefinition" Target="../pivotCache/pivotCacheDefinition69.xml"/></Relationships>
</file>

<file path=xl/pivotTables/_rels/pivotTable101.xml.rels><?xml version="1.0" encoding="UTF-8" standalone="yes"?><Relationships xmlns="http://schemas.openxmlformats.org/package/2006/relationships"><Relationship Id="rId1" Type="http://schemas.openxmlformats.org/officeDocument/2006/relationships/pivotCacheDefinition" Target="../pivotCache/pivotCacheDefinition70.xml"/></Relationships>
</file>

<file path=xl/pivotTables/_rels/pivotTable102.xml.rels><?xml version="1.0" encoding="UTF-8" standalone="yes"?><Relationships xmlns="http://schemas.openxmlformats.org/package/2006/relationships"><Relationship Id="rId1" Type="http://schemas.openxmlformats.org/officeDocument/2006/relationships/pivotCacheDefinition" Target="../pivotCache/pivotCacheDefinition70.xml"/></Relationships>
</file>

<file path=xl/pivotTables/_rels/pivotTable103.xml.rels><?xml version="1.0" encoding="UTF-8" standalone="yes"?><Relationships xmlns="http://schemas.openxmlformats.org/package/2006/relationships"><Relationship Id="rId1" Type="http://schemas.openxmlformats.org/officeDocument/2006/relationships/pivotCacheDefinition" Target="../pivotCache/pivotCacheDefinition71.xml"/></Relationships>
</file>

<file path=xl/pivotTables/_rels/pivotTable104.xml.rels><?xml version="1.0" encoding="UTF-8" standalone="yes"?><Relationships xmlns="http://schemas.openxmlformats.org/package/2006/relationships"><Relationship Id="rId1" Type="http://schemas.openxmlformats.org/officeDocument/2006/relationships/pivotCacheDefinition" Target="../pivotCache/pivotCacheDefinition72.xml"/></Relationships>
</file>

<file path=xl/pivotTables/_rels/pivotTable105.xml.rels><?xml version="1.0" encoding="UTF-8" standalone="yes"?><Relationships xmlns="http://schemas.openxmlformats.org/package/2006/relationships"><Relationship Id="rId1" Type="http://schemas.openxmlformats.org/officeDocument/2006/relationships/pivotCacheDefinition" Target="../pivotCache/pivotCacheDefinition73.xml"/></Relationships>
</file>

<file path=xl/pivotTables/_rels/pivotTable106.xml.rels><?xml version="1.0" encoding="UTF-8" standalone="yes"?><Relationships xmlns="http://schemas.openxmlformats.org/package/2006/relationships"><Relationship Id="rId1" Type="http://schemas.openxmlformats.org/officeDocument/2006/relationships/pivotCacheDefinition" Target="../pivotCache/pivotCacheDefinition74.xml"/></Relationships>
</file>

<file path=xl/pivotTables/_rels/pivotTable107.xml.rels><?xml version="1.0" encoding="UTF-8" standalone="yes"?><Relationships xmlns="http://schemas.openxmlformats.org/package/2006/relationships"><Relationship Id="rId1" Type="http://schemas.openxmlformats.org/officeDocument/2006/relationships/pivotCacheDefinition" Target="../pivotCache/pivotCacheDefinition75.xml"/></Relationships>
</file>

<file path=xl/pivotTables/_rels/pivotTable108.xml.rels><?xml version="1.0" encoding="UTF-8" standalone="yes"?><Relationships xmlns="http://schemas.openxmlformats.org/package/2006/relationships"><Relationship Id="rId1" Type="http://schemas.openxmlformats.org/officeDocument/2006/relationships/pivotCacheDefinition" Target="../pivotCache/pivotCacheDefinition75.xml"/></Relationships>
</file>

<file path=xl/pivotTables/_rels/pivotTable109.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110.xml.rels><?xml version="1.0" encoding="UTF-8" standalone="yes"?><Relationships xmlns="http://schemas.openxmlformats.org/package/2006/relationships"><Relationship Id="rId1" Type="http://schemas.openxmlformats.org/officeDocument/2006/relationships/pivotCacheDefinition" Target="../pivotCache/pivotCacheDefinition76.xml"/></Relationships>
</file>

<file path=xl/pivotTables/_rels/pivotTable111.xml.rels><?xml version="1.0" encoding="UTF-8" standalone="yes"?><Relationships xmlns="http://schemas.openxmlformats.org/package/2006/relationships"><Relationship Id="rId1" Type="http://schemas.openxmlformats.org/officeDocument/2006/relationships/pivotCacheDefinition" Target="../pivotCache/pivotCacheDefinition77.xml"/></Relationships>
</file>

<file path=xl/pivotTables/_rels/pivotTable112.xml.rels><?xml version="1.0" encoding="UTF-8" standalone="yes"?><Relationships xmlns="http://schemas.openxmlformats.org/package/2006/relationships"><Relationship Id="rId1" Type="http://schemas.openxmlformats.org/officeDocument/2006/relationships/pivotCacheDefinition" Target="../pivotCache/pivotCacheDefinition78.xml"/></Relationships>
</file>

<file path=xl/pivotTables/_rels/pivotTable113.xml.rels><?xml version="1.0" encoding="UTF-8" standalone="yes"?><Relationships xmlns="http://schemas.openxmlformats.org/package/2006/relationships"><Relationship Id="rId1" Type="http://schemas.openxmlformats.org/officeDocument/2006/relationships/pivotCacheDefinition" Target="../pivotCache/pivotCacheDefinition79.xml"/></Relationships>
</file>

<file path=xl/pivotTables/_rels/pivotTable114.xml.rels><?xml version="1.0" encoding="UTF-8" standalone="yes"?><Relationships xmlns="http://schemas.openxmlformats.org/package/2006/relationships"><Relationship Id="rId1" Type="http://schemas.openxmlformats.org/officeDocument/2006/relationships/pivotCacheDefinition" Target="../pivotCache/pivotCacheDefinition80.xml"/></Relationships>
</file>

<file path=xl/pivotTables/_rels/pivotTable115.xml.rels><?xml version="1.0" encoding="UTF-8" standalone="yes"?><Relationships xmlns="http://schemas.openxmlformats.org/package/2006/relationships"><Relationship Id="rId1" Type="http://schemas.openxmlformats.org/officeDocument/2006/relationships/pivotCacheDefinition" Target="../pivotCache/pivotCacheDefinition81.xml"/></Relationships>
</file>

<file path=xl/pivotTables/_rels/pivotTable116.xml.rels><?xml version="1.0" encoding="UTF-8" standalone="yes"?><Relationships xmlns="http://schemas.openxmlformats.org/package/2006/relationships"><Relationship Id="rId1" Type="http://schemas.openxmlformats.org/officeDocument/2006/relationships/pivotCacheDefinition" Target="../pivotCache/pivotCacheDefinition81.xml"/></Relationships>
</file>

<file path=xl/pivotTables/pivotTable1.xml><?xml version="1.0" encoding="utf-8"?>
<pivotTableDefinition xmlns="http://schemas.openxmlformats.org/spreadsheetml/2006/main" name="Template Recipe Line" cacheId="0" dataCaption="" rowGrandTotals="0" compact="0" compactData="0">
  <location ref="P7:Q12" firstHeaderRow="0" firstDataRow="1" firstDataCol="0"/>
  <pivotFields>
    <pivotField name="Inputs" axis="axisRow" compact="0" outline="0" multipleItemSelectionAllowed="1" showAll="0" sortType="ascending">
      <items>
        <item x="0"/>
        <item x="4"/>
        <item x="5"/>
        <item x="3"/>
        <item x="2"/>
        <item x="1"/>
        <item t="default"/>
      </items>
    </pivotField>
    <pivotField name="Input(L)" dataField="1" compact="0" outline="0" multipleItemSelectionAllowed="1" showAll="0">
      <items>
        <item x="0"/>
        <item x="1"/>
        <item x="2"/>
        <item x="3"/>
        <item x="4"/>
        <item t="default"/>
      </items>
    </pivotField>
    <pivotField name="Outputs" compact="0" outline="0" multipleItemSelectionAllowed="1" showAll="0">
      <items>
        <item x="0"/>
        <item x="1"/>
        <item x="2"/>
        <item x="3"/>
        <item x="4"/>
        <item x="5"/>
        <item t="default"/>
      </items>
    </pivotField>
    <pivotField name="Output(L)" compact="0" outline="0" multipleItemSelectionAllowed="1" showAll="0">
      <items>
        <item x="0"/>
        <item x="1"/>
        <item x="2"/>
        <item x="3"/>
        <item t="default"/>
      </items>
    </pivotField>
    <pivotField name="Machine Type" compact="0" outline="0" multipleItemSelectionAllowed="1" showAll="0">
      <items>
        <item x="0"/>
        <item x="1"/>
        <item x="2"/>
        <item t="default"/>
      </items>
    </pivotField>
    <pivotField name="Machine Count" compact="0" outline="0" multipleItemSelectionAllowed="1" showAll="0">
      <items>
        <item x="0"/>
        <item x="1"/>
        <item x="2"/>
        <item t="default"/>
      </items>
    </pivotField>
  </pivotFields>
  <rowFields>
    <field x="0"/>
  </rowFields>
  <dataFields>
    <dataField name="A" fld="1" baseField="0"/>
  </dataFields>
</pivotTableDefinition>
</file>

<file path=xl/pivotTables/pivotTable2.xml><?xml version="1.0" encoding="utf-8"?>
<pivotTableDefinition xmlns="http://schemas.openxmlformats.org/spreadsheetml/2006/main" name="Template Recipe Line 2" cacheId="1" dataCaption="" rowGrandTotals="0" compact="0" compactData="0">
  <location ref="R7:S12" firstHeaderRow="0" firstDataRow="1" firstDataCol="0"/>
  <pivotFields>
    <pivotField name="Inputs" compact="0" outline="0" multipleItemSelectionAllowed="1" showAll="0">
      <items>
        <item x="0"/>
        <item x="1"/>
        <item x="2"/>
        <item x="3"/>
        <item x="4"/>
        <item x="5"/>
        <item t="default"/>
      </items>
    </pivotField>
    <pivotField name="Input(L)" compact="0" outline="0" multipleItemSelectionAllowed="1" showAll="0">
      <items>
        <item x="0"/>
        <item x="1"/>
        <item x="2"/>
        <item x="3"/>
        <item x="4"/>
        <item t="default"/>
      </items>
    </pivotField>
    <pivotField name="Outputs" axis="axisRow" compact="0" outline="0" multipleItemSelectionAllowed="1" showAll="0" sortType="ascending">
      <items>
        <item x="0"/>
        <item x="2"/>
        <item x="1"/>
        <item x="4"/>
        <item x="5"/>
        <item x="3"/>
        <item t="default"/>
      </items>
    </pivotField>
    <pivotField name="Output(L)" dataField="1" compact="0" outline="0" multipleItemSelectionAllowed="1" showAll="0">
      <items>
        <item x="0"/>
        <item x="1"/>
        <item x="2"/>
        <item x="3"/>
        <item t="default"/>
      </items>
    </pivotField>
    <pivotField name="Machine Type" compact="0" outline="0" multipleItemSelectionAllowed="1" showAll="0">
      <items>
        <item x="0"/>
        <item x="1"/>
        <item x="2"/>
        <item t="default"/>
      </items>
    </pivotField>
    <pivotField name="Machine Count" compact="0" outline="0" multipleItemSelectionAllowed="1" showAll="0">
      <items>
        <item x="0"/>
        <item x="1"/>
        <item x="2"/>
        <item t="default"/>
      </items>
    </pivotField>
    <pivotField name="Min Tier" compact="0" outline="0" multipleItemSelectionAllowed="1" showAll="0">
      <items>
        <item x="0"/>
        <item x="1"/>
        <item x="2"/>
        <item t="default"/>
      </items>
    </pivotField>
  </pivotFields>
  <rowFields>
    <field x="2"/>
  </rowFields>
  <dataFields>
    <dataField name="B" fld="3" baseField="0"/>
  </dataFields>
</pivotTableDefinition>
</file>

<file path=xl/pivotTables/pivotTable3.xml><?xml version="1.0" encoding="utf-8"?>
<pivotTableDefinition xmlns="http://schemas.openxmlformats.org/spreadsheetml/2006/main" name="Template Recipe Line 3" cacheId="2" dataCaption="" rowGrandTotals="0" compact="0" compactData="0">
  <location ref="T7:U12" firstHeaderRow="0" firstDataRow="1" firstDataCol="0"/>
  <pivotFields>
    <pivotField name="Inputs" axis="axisRow" compact="0" outline="0" multipleItemSelectionAllowed="1" showAll="0" sortType="ascending">
      <items>
        <item x="0"/>
        <item x="1"/>
        <item x="2"/>
        <item x="3"/>
        <item x="4"/>
        <item t="default"/>
      </items>
    </pivotField>
    <pivotField name="A" compact="0" outline="0" multipleItemSelectionAllowed="1" showAll="0">
      <items>
        <item x="0"/>
        <item x="1"/>
        <item x="2"/>
        <item x="3"/>
        <item t="default"/>
      </items>
    </pivotField>
    <pivotField name="Outputs" compact="0" outline="0" multipleItemSelectionAllowed="1" showAll="0">
      <items>
        <item x="0"/>
        <item x="1"/>
        <item x="2"/>
        <item x="3"/>
        <item x="4"/>
        <item t="default"/>
      </items>
    </pivotField>
    <pivotField name="B" compact="0" outline="0" multipleItemSelectionAllowed="1" showAll="0">
      <items>
        <item x="0"/>
        <item x="1"/>
        <item x="2"/>
        <item x="3"/>
        <item t="default"/>
      </items>
    </pivotField>
    <pivotField dataField="1" compact="0" outline="0" subtotalTop="0" dragToRow="0" dragToCol="0" dragToPage="0" showAll="0" includeNewItemsInFilter="1" defaultSubtotal="0"/>
  </pivotFields>
  <rowFields>
    <field x="0"/>
  </rowFields>
  <dataFields>
    <dataField name="SUM of Amount Consumed" fld="4" baseField="0"/>
  </dataFields>
</pivotTableDefinition>
</file>

<file path=xl/pivotTables/pivotTable4.xml><?xml version="1.0" encoding="utf-8"?>
<pivotTableDefinition xmlns="http://schemas.openxmlformats.org/spreadsheetml/2006/main" name="Template Recipe Line 4" cacheId="3" dataCaption="" compact="0" compactData="0">
  <location ref="P21:T24" firstHeaderRow="0" firstDataRow="2" firstDataCol="0"/>
  <pivotFields>
    <pivotField name="Recipes" axis="axisRow" compact="0" outline="0" multipleItemSelectionAllowed="1" showAll="0" sortType="ascending">
      <items>
        <item x="1"/>
        <item x="0"/>
        <item x="2"/>
        <item t="default"/>
      </items>
    </pivotField>
    <pivotField name="Inputs" compact="0" outline="0" multipleItemSelectionAllowed="1" showAll="0">
      <items>
        <item x="0"/>
        <item x="1"/>
        <item x="2"/>
        <item x="3"/>
        <item x="4"/>
        <item t="default"/>
      </items>
    </pivotField>
    <pivotField name="Input(L)" compact="0" outline="0" multipleItemSelectionAllowed="1" showAll="0">
      <items>
        <item x="0"/>
        <item x="1"/>
        <item x="2"/>
        <item x="3"/>
        <item x="4"/>
        <item t="default"/>
      </items>
    </pivotField>
    <pivotField name="Outputs" compact="0" outline="0" multipleItemSelectionAllowed="1" showAll="0">
      <items>
        <item x="0"/>
        <item x="1"/>
        <item x="2"/>
        <item x="3"/>
        <item x="4"/>
        <item t="default"/>
      </items>
    </pivotField>
    <pivotField name="Output(L)" compact="0" outline="0" multipleItemSelectionAllowed="1" showAll="0">
      <items>
        <item x="0"/>
        <item x="1"/>
        <item x="2"/>
        <item x="3"/>
        <item t="default"/>
      </items>
    </pivotField>
    <pivotField name="Machine Type" compact="0" outline="0" multipleItemSelectionAllowed="1" showAll="0">
      <items>
        <item x="0"/>
        <item x="1"/>
        <item x="2"/>
        <item t="default"/>
      </items>
    </pivotField>
    <pivotField name="Machine Count" compact="0" outline="0" multipleItemSelectionAllowed="1" showAll="0">
      <items>
        <item x="0"/>
        <item x="1"/>
        <item x="2"/>
        <item t="default"/>
      </items>
    </pivotField>
    <pivotField name="Min Tier" compact="0" outline="0" multipleItemSelectionAllowed="1" showAll="0">
      <items>
        <item x="0"/>
        <item x="1"/>
        <item x="2"/>
        <item t="default"/>
      </items>
    </pivotField>
    <pivotField name="EU/t" compact="0" outline="0" multipleItemSelectionAllowed="1" showAll="0">
      <items>
        <item x="0"/>
        <item x="1"/>
        <item x="2"/>
        <item t="default"/>
      </items>
    </pivotField>
    <pivotField name="Time (t)" dataField="1" compact="0" outline="0" multipleItemSelectionAllowed="1" showAll="0">
      <items>
        <item x="0"/>
        <item x="1"/>
        <item x="2"/>
        <item t="default"/>
      </items>
    </pivotField>
    <pivotField name="EU Cost" dataField="1" compact="0" outline="0" multipleItemSelectionAllowed="1" showAll="0">
      <items>
        <item x="0"/>
        <item x="1"/>
        <item x="2"/>
        <item t="default"/>
      </items>
    </pivotField>
    <pivotField name="OC Tier" compact="0" outline="0" multipleItemSelectionAllowed="1" showAll="0">
      <items>
        <item x="0"/>
        <item x="1"/>
        <item x="2"/>
        <item t="default"/>
      </items>
    </pivotField>
    <pivotField name="OC EU/t" compact="0" outline="0" multipleItemSelectionAllowed="1" showAll="0">
      <items>
        <item x="0"/>
        <item x="1"/>
        <item x="2"/>
        <item t="default"/>
      </items>
    </pivotField>
    <pivotField name="OC Time (t)" dataField="1" compact="0" outline="0" multipleItemSelectionAllowed="1" showAll="0">
      <items>
        <item x="0"/>
        <item x="1"/>
        <item x="2"/>
        <item t="default"/>
      </items>
    </pivotField>
    <pivotField name="OC EU Cost" dataField="1" compact="0" outline="0" multipleItemSelectionAllowed="1" showAll="0">
      <items>
        <item x="0"/>
        <item x="1"/>
        <item x="2"/>
        <item t="default"/>
      </items>
    </pivotField>
    <pivotField compact="0" outline="0" subtotalTop="0" dragToRow="0" dragToCol="0" dragToPage="0" showAll="0" includeNewItemsInFilter="1" defaultSubtotal="0"/>
  </pivotFields>
  <rowFields>
    <field x="0"/>
  </rowFields>
  <colFields>
    <field x="-2"/>
  </colFields>
  <dataFields>
    <dataField name="Time (t)" fld="9" baseField="0"/>
    <dataField name="EU Cost" fld="10" baseField="0"/>
    <dataField name="OC Time (t)" fld="13" baseField="0"/>
    <dataField name="OC EU Cost" fld="14" baseField="0"/>
  </dataFields>
</pivotTableDefinition>
</file>

<file path=xl/pivotTables/pivotTable5.xml><?xml version="1.0" encoding="utf-8"?>
<pivotTableDefinition xmlns="http://schemas.openxmlformats.org/spreadsheetml/2006/main" name="Template Recipe Line 5" cacheId="3" dataCaption="" rowGrandTotals="0" compact="0" compactData="0">
  <location ref="U21:X23" firstHeaderRow="0" firstDataRow="2" firstDataCol="0"/>
  <pivotFields>
    <pivotField name="Recipes" axis="axisRow" compact="0" outline="0" multipleItemSelectionAllowed="1" showAll="0" sortType="ascending">
      <items>
        <item x="1"/>
        <item x="0"/>
        <item x="2"/>
        <item t="default"/>
      </items>
    </pivotField>
    <pivotField name="Inputs" compact="0" outline="0" multipleItemSelectionAllowed="1" showAll="0">
      <items>
        <item x="0"/>
        <item x="1"/>
        <item x="2"/>
        <item x="3"/>
        <item x="4"/>
        <item t="default"/>
      </items>
    </pivotField>
    <pivotField name="Input(L)" compact="0" outline="0" multipleItemSelectionAllowed="1" showAll="0">
      <items>
        <item x="0"/>
        <item x="1"/>
        <item x="2"/>
        <item x="3"/>
        <item x="4"/>
        <item t="default"/>
      </items>
    </pivotField>
    <pivotField name="Outputs" compact="0" outline="0" multipleItemSelectionAllowed="1" showAll="0">
      <items>
        <item x="0"/>
        <item x="1"/>
        <item x="2"/>
        <item x="3"/>
        <item x="4"/>
        <item t="default"/>
      </items>
    </pivotField>
    <pivotField name="Output(L)" compact="0" outline="0" multipleItemSelectionAllowed="1" showAll="0">
      <items>
        <item x="0"/>
        <item x="1"/>
        <item x="2"/>
        <item x="3"/>
        <item t="default"/>
      </items>
    </pivotField>
    <pivotField name="Machine Type" compact="0" outline="0" multipleItemSelectionAllowed="1" showAll="0">
      <items>
        <item x="0"/>
        <item x="1"/>
        <item x="2"/>
        <item t="default"/>
      </items>
    </pivotField>
    <pivotField name="Machine Count" compact="0" outline="0" multipleItemSelectionAllowed="1" showAll="0">
      <items>
        <item x="0"/>
        <item x="1"/>
        <item x="2"/>
        <item t="default"/>
      </items>
    </pivotField>
    <pivotField name="Min Tier" dataField="1" compact="0" outline="0" multipleItemSelectionAllowed="1" showAll="0">
      <items>
        <item x="0"/>
        <item x="1"/>
        <item x="2"/>
        <item t="default"/>
      </items>
    </pivotField>
    <pivotField name="EU/t" compact="0" outline="0" multipleItemSelectionAllowed="1" showAll="0">
      <items>
        <item x="0"/>
        <item x="1"/>
        <item x="2"/>
        <item t="default"/>
      </items>
    </pivotField>
    <pivotField name="Time (t)" compact="0" outline="0" multipleItemSelectionAllowed="1" showAll="0">
      <items>
        <item x="0"/>
        <item x="1"/>
        <item x="2"/>
        <item t="default"/>
      </items>
    </pivotField>
    <pivotField name="EU Cost" compact="0" outline="0" multipleItemSelectionAllowed="1" showAll="0">
      <items>
        <item x="0"/>
        <item x="1"/>
        <item x="2"/>
        <item t="default"/>
      </items>
    </pivotField>
    <pivotField name="OC Tier" dataField="1" compact="0" outline="0" multipleItemSelectionAllowed="1" showAll="0">
      <items>
        <item x="0"/>
        <item x="1"/>
        <item x="2"/>
        <item t="default"/>
      </items>
    </pivotField>
    <pivotField name="OC EU/t" compact="0" outline="0" multipleItemSelectionAllowed="1" showAll="0">
      <items>
        <item x="0"/>
        <item x="1"/>
        <item x="2"/>
        <item t="default"/>
      </items>
    </pivotField>
    <pivotField name="OC Time (t)" compact="0" outline="0" multipleItemSelectionAllowed="1" showAll="0">
      <items>
        <item x="0"/>
        <item x="1"/>
        <item x="2"/>
        <item t="default"/>
      </items>
    </pivotField>
    <pivotField name="OC EU Cost" compact="0" outline="0" multipleItemSelectionAllowed="1" showAll="0">
      <items>
        <item x="0"/>
        <item x="1"/>
        <item x="2"/>
        <item t="default"/>
      </items>
    </pivotField>
    <pivotField dataField="1" compact="0" outline="0" subtotalTop="0" dragToRow="0" dragToCol="0" dragToPage="0" showAll="0" includeNewItemsInFilter="1" defaultSubtotal="0"/>
  </pivotFields>
  <rowFields>
    <field x="0"/>
  </rowFields>
  <colFields>
    <field x="-2"/>
  </colFields>
  <dataFields>
    <dataField name="TierMin" fld="7" baseField="0"/>
    <dataField name="TierOC" fld="11" baseField="0"/>
    <dataField name="SUM of Nº Overclocks" fld="15" baseField="0"/>
  </dataFields>
</pivotTableDefinition>
</file>

<file path=xl/pivotTables/pivotTable6.xml><?xml version="1.0" encoding="utf-8"?>
<pivotTableDefinition xmlns="http://schemas.openxmlformats.org/spreadsheetml/2006/main" name="Template Recipe Line 6" cacheId="3" dataCaption="" colGrandTotals="0" compact="0" compactData="0">
  <location ref="P35:R39" firstHeaderRow="0" firstDataRow="1" firstDataCol="1"/>
  <pivotFields>
    <pivotField name="Recipes" axis="axisRow" compact="0" outline="0" multipleItemSelectionAllowed="1" showAll="0" sortType="ascending">
      <items>
        <item x="1"/>
        <item x="0"/>
        <item x="2"/>
        <item t="default"/>
      </items>
    </pivotField>
    <pivotField name="Inputs" compact="0" outline="0" multipleItemSelectionAllowed="1" showAll="0">
      <items>
        <item x="0"/>
        <item x="1"/>
        <item x="2"/>
        <item x="3"/>
        <item x="4"/>
        <item t="default"/>
      </items>
    </pivotField>
    <pivotField name="Input(L)" compact="0" outline="0" multipleItemSelectionAllowed="1" showAll="0">
      <items>
        <item x="0"/>
        <item x="1"/>
        <item x="2"/>
        <item x="3"/>
        <item x="4"/>
        <item t="default"/>
      </items>
    </pivotField>
    <pivotField name="Outputs" compact="0" outline="0" multipleItemSelectionAllowed="1" showAll="0">
      <items>
        <item x="0"/>
        <item x="1"/>
        <item x="2"/>
        <item x="3"/>
        <item x="4"/>
        <item t="default"/>
      </items>
    </pivotField>
    <pivotField name="Output(L)" compact="0" outline="0" multipleItemSelectionAllowed="1" showAll="0">
      <items>
        <item x="0"/>
        <item x="1"/>
        <item x="2"/>
        <item x="3"/>
        <item t="default"/>
      </items>
    </pivotField>
    <pivotField name="Machine Type" axis="axisCol" compact="0" outline="0" multipleItemSelectionAllowed="1" showAll="0" sortType="ascending">
      <items>
        <item x="1"/>
        <item x="0"/>
        <item x="2"/>
        <item t="default"/>
      </items>
    </pivotField>
    <pivotField name="Machine Count" dataField="1" compact="0" outline="0" multipleItemSelectionAllowed="1" showAll="0">
      <items>
        <item x="0"/>
        <item x="1"/>
        <item x="2"/>
        <item t="default"/>
      </items>
    </pivotField>
    <pivotField name="Min Tier" compact="0" outline="0" multipleItemSelectionAllowed="1" showAll="0">
      <items>
        <item x="0"/>
        <item x="1"/>
        <item x="2"/>
        <item t="default"/>
      </items>
    </pivotField>
    <pivotField name="EU/t" compact="0" outline="0" multipleItemSelectionAllowed="1" showAll="0">
      <items>
        <item x="0"/>
        <item x="1"/>
        <item x="2"/>
        <item t="default"/>
      </items>
    </pivotField>
    <pivotField name="Time (t)" compact="0" outline="0" multipleItemSelectionAllowed="1" showAll="0">
      <items>
        <item x="0"/>
        <item x="1"/>
        <item x="2"/>
        <item t="default"/>
      </items>
    </pivotField>
    <pivotField name="EU Cost" compact="0" outline="0" multipleItemSelectionAllowed="1" showAll="0">
      <items>
        <item x="0"/>
        <item x="1"/>
        <item x="2"/>
        <item t="default"/>
      </items>
    </pivotField>
    <pivotField name="OC Tier" compact="0" outline="0" multipleItemSelectionAllowed="1" showAll="0">
      <items>
        <item x="0"/>
        <item x="1"/>
        <item x="2"/>
        <item t="default"/>
      </items>
    </pivotField>
    <pivotField name="OC EU/t" compact="0" outline="0" multipleItemSelectionAllowed="1" showAll="0">
      <items>
        <item x="0"/>
        <item x="1"/>
        <item x="2"/>
        <item t="default"/>
      </items>
    </pivotField>
    <pivotField name="OC Time (t)" compact="0" outline="0" multipleItemSelectionAllowed="1" showAll="0">
      <items>
        <item x="0"/>
        <item x="1"/>
        <item x="2"/>
        <item t="default"/>
      </items>
    </pivotField>
    <pivotField name="OC EU Cost" compact="0" outline="0" multipleItemSelectionAllowed="1" showAll="0">
      <items>
        <item x="0"/>
        <item x="1"/>
        <item x="2"/>
        <item t="default"/>
      </items>
    </pivotField>
    <pivotField compact="0" outline="0" subtotalTop="0" dragToRow="0" dragToCol="0" dragToPage="0" showAll="0" includeNewItemsInFilter="1" defaultSubtotal="0"/>
  </pivotFields>
  <rowFields>
    <field x="0"/>
  </rowFields>
  <colFields>
    <field x="5"/>
  </colFields>
  <dataFields>
    <dataField name="SUM of Machine Count" fld="6" baseField="0"/>
  </dataFields>
</pivotTableDefinition>
</file>

<file path=xl/pivotTables/pivotTable7.xml><?xml version="1.0" encoding="utf-8"?>
<pivotTableDefinition xmlns="http://schemas.openxmlformats.org/spreadsheetml/2006/main" name="Poly SI Silicon" cacheId="4" dataCaption="" rowGrandTotals="0" compact="0" compactData="0">
  <location ref="X4:Y10" firstHeaderRow="0" firstDataRow="1" firstDataCol="0"/>
  <pivotFields>
    <pivotField name="Recipes" compact="0" outline="0" multipleItemSelectionAllowed="1" showAll="0">
      <items>
        <item x="0"/>
        <item x="1"/>
        <item x="2"/>
        <item x="3"/>
        <item t="default"/>
      </items>
    </pivotField>
    <pivotField name="Inputs" axis="axisRow" compact="0" outline="0" multipleItemSelectionAllowed="1" showAll="0" sortType="ascending">
      <items>
        <item x="0"/>
        <item x="2"/>
        <item x="1"/>
        <item x="5"/>
        <item x="6"/>
        <item x="4"/>
        <item x="3"/>
        <item t="default"/>
      </items>
    </pivotField>
    <pivotField name="Input(L)" dataField="1" compact="0" outline="0" multipleItemSelectionAllowed="1" showAll="0">
      <items>
        <item x="0"/>
        <item x="1"/>
        <item x="2"/>
        <item x="3"/>
        <item x="4"/>
        <item x="5"/>
        <item t="default"/>
      </items>
    </pivotField>
    <pivotField name="Outputs" compact="0" outline="0" multipleItemSelectionAllowed="1" showAll="0">
      <items>
        <item x="0"/>
        <item x="1"/>
        <item x="2"/>
        <item x="3"/>
        <item x="4"/>
        <item x="5"/>
        <item x="6"/>
        <item t="default"/>
      </items>
    </pivotField>
    <pivotField name="Output(L)" compact="0" outline="0" multipleItemSelectionAllowed="1" showAll="0">
      <items>
        <item x="0"/>
        <item x="1"/>
        <item x="2"/>
        <item x="3"/>
        <item x="4"/>
        <item x="5"/>
        <item t="default"/>
      </items>
    </pivotField>
  </pivotFields>
  <rowFields>
    <field x="1"/>
  </rowFields>
  <dataFields>
    <dataField name="Input(L)" fld="2" baseField="0"/>
  </dataFields>
</pivotTableDefinition>
</file>

<file path=xl/pivotTables/pivotTable8.xml><?xml version="1.0" encoding="utf-8"?>
<pivotTableDefinition xmlns="http://schemas.openxmlformats.org/spreadsheetml/2006/main" name="Poly SI Silicon 2" cacheId="4" dataCaption="" rowGrandTotals="0" compact="0" compactData="0">
  <location ref="AB4:AC10" firstHeaderRow="0" firstDataRow="1" firstDataCol="0"/>
  <pivotFields>
    <pivotField name="Recipes" compact="0" outline="0" multipleItemSelectionAllowed="1" showAll="0">
      <items>
        <item x="0"/>
        <item x="1"/>
        <item x="2"/>
        <item x="3"/>
        <item t="default"/>
      </items>
    </pivotField>
    <pivotField name="Inputs" compact="0" outline="0" multipleItemSelectionAllowed="1" showAll="0">
      <items>
        <item x="0"/>
        <item x="1"/>
        <item x="2"/>
        <item x="3"/>
        <item x="4"/>
        <item x="5"/>
        <item x="6"/>
        <item t="default"/>
      </items>
    </pivotField>
    <pivotField name="Input(L)" compact="0" outline="0" multipleItemSelectionAllowed="1" showAll="0">
      <items>
        <item x="0"/>
        <item x="1"/>
        <item x="2"/>
        <item x="3"/>
        <item x="4"/>
        <item x="5"/>
        <item t="default"/>
      </items>
    </pivotField>
    <pivotField name="Outputs" axis="axisRow" compact="0" outline="0" multipleItemSelectionAllowed="1" showAll="0" sortType="ascending">
      <items>
        <item x="0"/>
        <item x="5"/>
        <item x="6"/>
        <item x="3"/>
        <item x="2"/>
        <item x="1"/>
        <item x="4"/>
        <item t="default"/>
      </items>
    </pivotField>
    <pivotField name="Output(L)" dataField="1" compact="0" outline="0" multipleItemSelectionAllowed="1" showAll="0">
      <items>
        <item x="0"/>
        <item x="1"/>
        <item x="2"/>
        <item x="3"/>
        <item x="4"/>
        <item x="5"/>
        <item t="default"/>
      </items>
    </pivotField>
  </pivotFields>
  <rowFields>
    <field x="3"/>
  </rowFields>
  <dataFields>
    <dataField name="Output(L)" fld="4" baseField="0"/>
  </dataFields>
</pivotTableDefinition>
</file>

<file path=xl/pivotTables/pivotTable9.xml><?xml version="1.0" encoding="utf-8"?>
<pivotTableDefinition xmlns="http://schemas.openxmlformats.org/spreadsheetml/2006/main" name="Poly SI Silicon 3" cacheId="5" dataCaption="" rowGrandTotals="0" createdVersion="6" compact="0" compactData="0">
  <location ref="AL15:AM16" firstHeaderRow="0" firstDataRow="1" firstDataCol="0" rowPageCount="1" colPageCount="1"/>
  <pivotFields>
    <pivotField name="Inputs" axis="axisRow" compact="0" outline="0" multipleItemSelectionAllowed="1" showAll="0" sortType="ascending">
      <items>
        <item x="0"/>
        <item x="1"/>
        <item x="2"/>
        <item x="3"/>
        <item x="4"/>
        <item x="5"/>
        <item t="default"/>
      </items>
    </pivotField>
    <pivotField name="Amount Produced" axis="axisPage" dataField="1" compact="0" outline="0" multipleItemSelectionAllowed="1" showAll="0">
      <items>
        <item x="0"/>
        <item x="1"/>
        <item x="2"/>
        <item t="default"/>
      </items>
    </pivotField>
  </pivotFields>
  <rowFields>
    <field x="0"/>
  </rowFields>
  <pageFields>
    <pageField fld="1"/>
  </pageFields>
  <dataFields>
    <dataField name="Amount Produced" fld="1" baseField="0"/>
  </dataFields>
  <filters>
    <filter fld="1" type="captionLessThan" evalOrder="-1" id="1" stringValue1="0">
      <autoFilter ref="A1">
        <filterColumn colId="0">
          <customFilters>
            <customFilter operator="lessThan" val="0"/>
          </customFilters>
        </filterColumn>
      </autoFilter>
    </filter>
  </filters>
</pivotTableDefinition>
</file>

<file path=xl/pivotTables/pivotTable10.xml><?xml version="1.0" encoding="utf-8"?>
<pivotTableDefinition xmlns="http://schemas.openxmlformats.org/spreadsheetml/2006/main" name="Poly SI Silicon 4" cacheId="6" dataCaption="" compact="0" compactData="0">
  <location ref="AC16:AC17" firstHeaderRow="0" firstDataRow="0" firstDataCol="0"/>
  <pivotFields>
    <pivotField name="Recipes" compact="0" outline="0" multipleItemSelectionAllowed="1" showAll="0">
      <items>
        <item x="0"/>
        <item x="1"/>
        <item x="2"/>
        <item t="default"/>
      </items>
    </pivotField>
    <pivotField name="Time (t)" dataField="1" compact="0" outline="0" multipleItemSelectionAllowed="1" showAll="0">
      <items>
        <item x="0"/>
        <item x="1"/>
        <item x="2"/>
        <item t="default"/>
      </items>
    </pivotField>
    <pivotField name="OC Time (t)" compact="0" outline="0" multipleItemSelectionAllowed="1" showAll="0">
      <items>
        <item x="0"/>
        <item x="1"/>
        <item x="2"/>
        <item t="default"/>
      </items>
    </pivotField>
  </pivotFields>
  <dataFields>
    <dataField name="MAXTime" fld="1" subtotal="max" baseField="0"/>
  </dataFields>
</pivotTableDefinition>
</file>

<file path=xl/pivotTables/pivotTable11.xml><?xml version="1.0" encoding="utf-8"?>
<pivotTableDefinition xmlns="http://schemas.openxmlformats.org/spreadsheetml/2006/main" name="Poly SI Silicon 5" cacheId="6" dataCaption="" compact="0" compactData="0">
  <location ref="AD16:AD17" firstHeaderRow="0" firstDataRow="0" firstDataCol="0"/>
  <pivotFields>
    <pivotField name="Recipes" compact="0" outline="0" multipleItemSelectionAllowed="1" showAll="0">
      <items>
        <item x="0"/>
        <item x="1"/>
        <item x="2"/>
        <item t="default"/>
      </items>
    </pivotField>
    <pivotField name="Time (t)" compact="0" outline="0" multipleItemSelectionAllowed="1" showAll="0">
      <items>
        <item x="0"/>
        <item x="1"/>
        <item x="2"/>
        <item t="default"/>
      </items>
    </pivotField>
    <pivotField name="OC Time (t)" dataField="1" compact="0" outline="0" multipleItemSelectionAllowed="1" showAll="0">
      <items>
        <item x="0"/>
        <item x="1"/>
        <item x="2"/>
        <item t="default"/>
      </items>
    </pivotField>
  </pivotFields>
  <dataFields>
    <dataField name="MAXTimeOC" fld="2" subtotal="max" baseField="0"/>
  </dataFields>
</pivotTableDefinition>
</file>

<file path=xl/pivotTables/pivotTable12.xml><?xml version="1.0" encoding="utf-8"?>
<pivotTableDefinition xmlns="http://schemas.openxmlformats.org/spreadsheetml/2006/main" name="Poly SI Silicon 6" cacheId="7" dataCaption="" rowGrandTotals="0" compact="0" compactData="0">
  <location ref="X28:Y34" firstHeaderRow="0" firstDataRow="1" firstDataCol="0"/>
  <pivotFields>
    <pivotField name="Recipes" compact="0" outline="0" multipleItemSelectionAllowed="1" showAll="0">
      <items>
        <item x="0"/>
        <item x="1"/>
        <item x="2"/>
        <item x="3"/>
        <item t="default"/>
      </items>
    </pivotField>
    <pivotField name="Inputs" axis="axisRow" compact="0" outline="0" multipleItemSelectionAllowed="1" showAll="0" sortType="ascending">
      <items>
        <item x="0"/>
        <item x="2"/>
        <item x="1"/>
        <item x="6"/>
        <item x="4"/>
        <item x="3"/>
        <item x="5"/>
        <item t="default"/>
      </items>
    </pivotField>
    <pivotField name="Input(L)" dataField="1" compact="0" outline="0" multipleItemSelectionAllowed="1" showAll="0">
      <items>
        <item x="0"/>
        <item x="1"/>
        <item x="2"/>
        <item x="3"/>
        <item x="4"/>
        <item x="5"/>
        <item t="default"/>
      </items>
    </pivotField>
    <pivotField name="Outputs" compact="0" outline="0" multipleItemSelectionAllowed="1" showAll="0">
      <items>
        <item x="0"/>
        <item x="1"/>
        <item x="2"/>
        <item x="3"/>
        <item x="4"/>
        <item x="5"/>
        <item x="6"/>
        <item t="default"/>
      </items>
    </pivotField>
    <pivotField name="Output(L)" compact="0" outline="0" multipleItemSelectionAllowed="1" showAll="0">
      <items>
        <item x="0"/>
        <item x="1"/>
        <item x="2"/>
        <item x="3"/>
        <item x="4"/>
        <item x="5"/>
        <item t="default"/>
      </items>
    </pivotField>
  </pivotFields>
  <rowFields>
    <field x="1"/>
  </rowFields>
  <dataFields>
    <dataField name="Input(L)" fld="2" baseField="0"/>
  </dataFields>
</pivotTableDefinition>
</file>

<file path=xl/pivotTables/pivotTable13.xml><?xml version="1.0" encoding="utf-8"?>
<pivotTableDefinition xmlns="http://schemas.openxmlformats.org/spreadsheetml/2006/main" name="Poly SI Silicon 7" cacheId="7" dataCaption="" rowGrandTotals="0" compact="0" compactData="0">
  <location ref="AB28:AC34" firstHeaderRow="0" firstDataRow="1" firstDataCol="0"/>
  <pivotFields>
    <pivotField name="Recipes" compact="0" outline="0" multipleItemSelectionAllowed="1" showAll="0">
      <items>
        <item x="0"/>
        <item x="1"/>
        <item x="2"/>
        <item x="3"/>
        <item t="default"/>
      </items>
    </pivotField>
    <pivotField name="Inputs" compact="0" outline="0" multipleItemSelectionAllowed="1" showAll="0">
      <items>
        <item x="0"/>
        <item x="1"/>
        <item x="2"/>
        <item x="3"/>
        <item x="4"/>
        <item x="5"/>
        <item x="6"/>
        <item t="default"/>
      </items>
    </pivotField>
    <pivotField name="Input(L)" compact="0" outline="0" multipleItemSelectionAllowed="1" showAll="0">
      <items>
        <item x="0"/>
        <item x="1"/>
        <item x="2"/>
        <item x="3"/>
        <item x="4"/>
        <item x="5"/>
        <item t="default"/>
      </items>
    </pivotField>
    <pivotField name="Outputs" axis="axisRow" compact="0" outline="0" multipleItemSelectionAllowed="1" showAll="0" sortType="ascending">
      <items>
        <item x="0"/>
        <item x="5"/>
        <item x="6"/>
        <item x="2"/>
        <item x="1"/>
        <item x="4"/>
        <item x="3"/>
        <item t="default"/>
      </items>
    </pivotField>
    <pivotField name="Output(L)" dataField="1" compact="0" outline="0" multipleItemSelectionAllowed="1" showAll="0">
      <items>
        <item x="0"/>
        <item x="1"/>
        <item x="2"/>
        <item x="3"/>
        <item x="4"/>
        <item x="5"/>
        <item t="default"/>
      </items>
    </pivotField>
  </pivotFields>
  <rowFields>
    <field x="3"/>
  </rowFields>
  <dataFields>
    <dataField name="Output(L)" fld="4" baseField="0"/>
  </dataFields>
</pivotTableDefinition>
</file>

<file path=xl/pivotTables/pivotTable14.xml><?xml version="1.0" encoding="utf-8"?>
<pivotTableDefinition xmlns="http://schemas.openxmlformats.org/spreadsheetml/2006/main" name="Poly SI Silicon 8" cacheId="8" dataCaption="" rowGrandTotals="0" createdVersion="6" compact="0" compactData="0">
  <location ref="AL39:AM40" firstHeaderRow="0" firstDataRow="1" firstDataCol="0" rowPageCount="1" colPageCount="1"/>
  <pivotFields>
    <pivotField name="Inputs" axis="axisRow" compact="0" outline="0" multipleItemSelectionAllowed="1" showAll="0" sortType="ascending">
      <items>
        <item x="0"/>
        <item x="1"/>
        <item x="2"/>
        <item x="3"/>
        <item x="4"/>
        <item x="5"/>
        <item t="default"/>
      </items>
    </pivotField>
    <pivotField name="Amount Produced" axis="axisPage" dataField="1" compact="0" outline="0" multipleItemSelectionAllowed="1" showAll="0">
      <items>
        <item x="0"/>
        <item x="1"/>
        <item x="2"/>
        <item t="default"/>
      </items>
    </pivotField>
  </pivotFields>
  <rowFields>
    <field x="0"/>
  </rowFields>
  <pageFields>
    <pageField fld="1"/>
  </pageFields>
  <dataFields>
    <dataField name="Amount Produced" fld="1" baseField="0"/>
  </dataFields>
  <filters>
    <filter fld="1" type="captionLessThan" evalOrder="-1" id="1" stringValue1="0">
      <autoFilter ref="A1">
        <filterColumn colId="0">
          <customFilters>
            <customFilter operator="lessThan" val="0"/>
          </customFilters>
        </filterColumn>
      </autoFilter>
    </filter>
  </filters>
</pivotTableDefinition>
</file>

<file path=xl/pivotTables/pivotTable15.xml><?xml version="1.0" encoding="utf-8"?>
<pivotTableDefinition xmlns="http://schemas.openxmlformats.org/spreadsheetml/2006/main" name="Poly SI Silicon 9" cacheId="9" dataCaption="" compact="0" compactData="0">
  <location ref="AC40:AC41" firstHeaderRow="0" firstDataRow="0" firstDataCol="0"/>
  <pivotFields>
    <pivotField name="Recipes" compact="0" outline="0" multipleItemSelectionAllowed="1" showAll="0">
      <items>
        <item x="0"/>
        <item x="1"/>
        <item x="2"/>
        <item t="default"/>
      </items>
    </pivotField>
    <pivotField name="Time (t)" dataField="1" compact="0" outline="0" multipleItemSelectionAllowed="1" showAll="0">
      <items>
        <item x="0"/>
        <item x="1"/>
        <item t="default"/>
      </items>
    </pivotField>
    <pivotField name="OC Time (t)" compact="0" outline="0" multipleItemSelectionAllowed="1" showAll="0">
      <items>
        <item x="0"/>
        <item x="1"/>
        <item t="default"/>
      </items>
    </pivotField>
  </pivotFields>
  <dataFields>
    <dataField name="MAXTime" fld="1" subtotal="max" baseField="0"/>
  </dataFields>
</pivotTableDefinition>
</file>

<file path=xl/pivotTables/pivotTable16.xml><?xml version="1.0" encoding="utf-8"?>
<pivotTableDefinition xmlns="http://schemas.openxmlformats.org/spreadsheetml/2006/main" name="Poly SI Silicon 10" cacheId="9" dataCaption="" compact="0" compactData="0">
  <location ref="AD40:AD41" firstHeaderRow="0" firstDataRow="0" firstDataCol="0"/>
  <pivotFields>
    <pivotField name="Recipes" compact="0" outline="0" multipleItemSelectionAllowed="1" showAll="0">
      <items>
        <item x="0"/>
        <item x="1"/>
        <item x="2"/>
        <item t="default"/>
      </items>
    </pivotField>
    <pivotField name="Time (t)" compact="0" outline="0" multipleItemSelectionAllowed="1" showAll="0">
      <items>
        <item x="0"/>
        <item x="1"/>
        <item t="default"/>
      </items>
    </pivotField>
    <pivotField name="OC Time (t)" dataField="1" compact="0" outline="0" multipleItemSelectionAllowed="1" showAll="0">
      <items>
        <item x="0"/>
        <item x="1"/>
        <item t="default"/>
      </items>
    </pivotField>
  </pivotFields>
  <dataFields>
    <dataField name="MAXTimeOC" fld="2" subtotal="max" baseField="0"/>
  </dataFields>
</pivotTableDefinition>
</file>

<file path=xl/pivotTables/pivotTable17.xml><?xml version="1.0" encoding="utf-8"?>
<pivotTableDefinition xmlns="http://schemas.openxmlformats.org/spreadsheetml/2006/main" name="Poly SI Silicon 11" cacheId="10" dataCaption="" rowGrandTotals="0" compact="0" compactData="0">
  <location ref="X52:Y57" firstHeaderRow="0" firstDataRow="1" firstDataCol="0"/>
  <pivotFields>
    <pivotField name="Recipes" compact="0" outline="0" multipleItemSelectionAllowed="1" showAll="0">
      <items>
        <item x="0"/>
        <item x="1"/>
        <item x="2"/>
        <item t="default"/>
      </items>
    </pivotField>
    <pivotField name="Inputs" axis="axisRow" compact="0" outline="0" multipleItemSelectionAllowed="1" showAll="0" sortType="ascending">
      <items>
        <item x="0"/>
        <item x="2"/>
        <item x="4"/>
        <item x="1"/>
        <item x="5"/>
        <item x="3"/>
        <item t="default"/>
      </items>
    </pivotField>
    <pivotField name="Input(L)" dataField="1" compact="0" outline="0" multipleItemSelectionAllowed="1" showAll="0">
      <items>
        <item x="0"/>
        <item x="1"/>
        <item x="2"/>
        <item x="3"/>
        <item x="4"/>
        <item t="default"/>
      </items>
    </pivotField>
    <pivotField name="Outputs" compact="0" outline="0" multipleItemSelectionAllowed="1" showAll="0">
      <items>
        <item x="0"/>
        <item x="1"/>
        <item x="2"/>
        <item x="3"/>
        <item x="4"/>
        <item x="5"/>
        <item t="default"/>
      </items>
    </pivotField>
    <pivotField name="Output(L)" compact="0" outline="0" multipleItemSelectionAllowed="1" showAll="0">
      <items>
        <item x="0"/>
        <item x="1"/>
        <item x="2"/>
        <item x="3"/>
        <item x="4"/>
        <item t="default"/>
      </items>
    </pivotField>
  </pivotFields>
  <rowFields>
    <field x="1"/>
  </rowFields>
  <dataFields>
    <dataField name="Input(L)" fld="2" baseField="0"/>
  </dataFields>
</pivotTableDefinition>
</file>

<file path=xl/pivotTables/pivotTable18.xml><?xml version="1.0" encoding="utf-8"?>
<pivotTableDefinition xmlns="http://schemas.openxmlformats.org/spreadsheetml/2006/main" name="Poly SI Silicon 12" cacheId="10" dataCaption="" rowGrandTotals="0" compact="0" compactData="0">
  <location ref="AB52:AC57" firstHeaderRow="0" firstDataRow="1" firstDataCol="0"/>
  <pivotFields>
    <pivotField name="Recipes" compact="0" outline="0" multipleItemSelectionAllowed="1" showAll="0">
      <items>
        <item x="0"/>
        <item x="1"/>
        <item x="2"/>
        <item t="default"/>
      </items>
    </pivotField>
    <pivotField name="Inputs" compact="0" outline="0" multipleItemSelectionAllowed="1" showAll="0">
      <items>
        <item x="0"/>
        <item x="1"/>
        <item x="2"/>
        <item x="3"/>
        <item x="4"/>
        <item x="5"/>
        <item t="default"/>
      </items>
    </pivotField>
    <pivotField name="Input(L)" compact="0" outline="0" multipleItemSelectionAllowed="1" showAll="0">
      <items>
        <item x="0"/>
        <item x="1"/>
        <item x="2"/>
        <item x="3"/>
        <item x="4"/>
        <item t="default"/>
      </items>
    </pivotField>
    <pivotField name="Outputs" axis="axisRow" compact="0" outline="0" multipleItemSelectionAllowed="1" showAll="0" sortType="ascending">
      <items>
        <item x="0"/>
        <item x="4"/>
        <item x="2"/>
        <item x="5"/>
        <item x="3"/>
        <item x="1"/>
        <item t="default"/>
      </items>
    </pivotField>
    <pivotField name="Output(L)" dataField="1" compact="0" outline="0" multipleItemSelectionAllowed="1" showAll="0">
      <items>
        <item x="0"/>
        <item x="1"/>
        <item x="2"/>
        <item x="3"/>
        <item x="4"/>
        <item t="default"/>
      </items>
    </pivotField>
  </pivotFields>
  <rowFields>
    <field x="3"/>
  </rowFields>
  <dataFields>
    <dataField name="Output(L)" fld="4" baseField="0"/>
  </dataFields>
</pivotTableDefinition>
</file>

<file path=xl/pivotTables/pivotTable19.xml><?xml version="1.0" encoding="utf-8"?>
<pivotTableDefinition xmlns="http://schemas.openxmlformats.org/spreadsheetml/2006/main" name="Poly SI Silicon 13" cacheId="11" dataCaption="" rowGrandTotals="0" createdVersion="6" compact="0" compactData="0">
  <location ref="AL63:AM64" firstHeaderRow="0" firstDataRow="1" firstDataCol="0" rowPageCount="1" colPageCount="1"/>
  <pivotFields>
    <pivotField name="Inputs" axis="axisRow" compact="0" outline="0" multipleItemSelectionAllowed="1" showAll="0" sortType="ascending">
      <items>
        <item x="0"/>
        <item x="1"/>
        <item x="2"/>
        <item x="3"/>
        <item x="4"/>
        <item t="default"/>
      </items>
    </pivotField>
    <pivotField name="Amount Produced" axis="axisPage" dataField="1" compact="0" outline="0" multipleItemSelectionAllowed="1" showAll="0">
      <items>
        <item x="0"/>
        <item x="1"/>
        <item x="2"/>
        <item t="default"/>
      </items>
    </pivotField>
  </pivotFields>
  <rowFields>
    <field x="0"/>
  </rowFields>
  <pageFields>
    <pageField fld="1"/>
  </pageFields>
  <dataFields>
    <dataField name="Amount Produced" fld="1" baseField="0"/>
  </dataFields>
  <filters>
    <filter fld="1" type="captionLessThan" evalOrder="-1" id="1" stringValue1="0">
      <autoFilter ref="A1">
        <filterColumn colId="0">
          <customFilters>
            <customFilter operator="lessThan" val="0"/>
          </customFilters>
        </filterColumn>
      </autoFilter>
    </filter>
  </filters>
</pivotTableDefinition>
</file>

<file path=xl/pivotTables/pivotTable20.xml><?xml version="1.0" encoding="utf-8"?>
<pivotTableDefinition xmlns="http://schemas.openxmlformats.org/spreadsheetml/2006/main" name="Poly SI Silicon 14" cacheId="12" dataCaption="" compact="0" compactData="0">
  <location ref="AC62:AC63" firstHeaderRow="0" firstDataRow="0" firstDataCol="0"/>
  <pivotFields>
    <pivotField name="Recipes" compact="0" outline="0" multipleItemSelectionAllowed="1" showAll="0">
      <items>
        <item x="0"/>
        <item x="1"/>
        <item t="default"/>
      </items>
    </pivotField>
    <pivotField name="Time (t)" dataField="1" compact="0" outline="0" multipleItemSelectionAllowed="1" showAll="0">
      <items>
        <item x="0"/>
        <item t="default"/>
      </items>
    </pivotField>
    <pivotField name="OC Time (t)" compact="0" outline="0" multipleItemSelectionAllowed="1" showAll="0">
      <items>
        <item x="0"/>
        <item t="default"/>
      </items>
    </pivotField>
  </pivotFields>
  <dataFields>
    <dataField name="MAXTime" fld="1" subtotal="max" baseField="0"/>
  </dataFields>
</pivotTableDefinition>
</file>

<file path=xl/pivotTables/pivotTable21.xml><?xml version="1.0" encoding="utf-8"?>
<pivotTableDefinition xmlns="http://schemas.openxmlformats.org/spreadsheetml/2006/main" name="Poly SI Silicon 15" cacheId="12" dataCaption="" compact="0" compactData="0">
  <location ref="AD62:AD63" firstHeaderRow="0" firstDataRow="0" firstDataCol="0"/>
  <pivotFields>
    <pivotField name="Recipes" compact="0" outline="0" multipleItemSelectionAllowed="1" showAll="0">
      <items>
        <item x="0"/>
        <item x="1"/>
        <item t="default"/>
      </items>
    </pivotField>
    <pivotField name="Time (t)" compact="0" outline="0" multipleItemSelectionAllowed="1" showAll="0">
      <items>
        <item x="0"/>
        <item t="default"/>
      </items>
    </pivotField>
    <pivotField name="OC Time (t)" dataField="1" compact="0" outline="0" multipleItemSelectionAllowed="1" showAll="0">
      <items>
        <item x="0"/>
        <item t="default"/>
      </items>
    </pivotField>
  </pivotFields>
  <dataFields>
    <dataField name="MAXTimeOC" fld="2" subtotal="max" baseField="0"/>
  </dataFields>
</pivotTableDefinition>
</file>

<file path=xl/pivotTables/pivotTable22.xml><?xml version="1.0" encoding="utf-8"?>
<pivotTableDefinition xmlns="http://schemas.openxmlformats.org/spreadsheetml/2006/main" name="Poly SI Silicon 16" cacheId="13" dataCaption="" rowGrandTotals="0" compact="0" compactData="0">
  <location ref="X73:Y83" firstHeaderRow="0" firstDataRow="1" firstDataCol="0"/>
  <pivotFields>
    <pivotField name="Recipes" compact="0" outline="0" multipleItemSelectionAllowed="1" showAll="0">
      <items>
        <item x="0"/>
        <item x="1"/>
        <item x="2"/>
        <item x="3"/>
        <item x="4"/>
        <item x="5"/>
        <item x="6"/>
        <item t="default"/>
      </items>
    </pivotField>
    <pivotField name="Inputs" axis="axisRow" compact="0" outline="0" multipleItemSelectionAllowed="1" showAll="0" sortType="ascending">
      <items>
        <item x="0"/>
        <item x="9"/>
        <item x="2"/>
        <item x="8"/>
        <item x="1"/>
        <item x="4"/>
        <item x="10"/>
        <item x="6"/>
        <item x="3"/>
        <item x="5"/>
        <item x="7"/>
        <item t="default"/>
      </items>
    </pivotField>
    <pivotField name="Input(L)" dataField="1" compact="0" outline="0" multipleItemSelectionAllowed="1" showAll="0">
      <items>
        <item x="0"/>
        <item x="1"/>
        <item x="2"/>
        <item x="3"/>
        <item x="4"/>
        <item x="5"/>
        <item x="6"/>
        <item x="7"/>
        <item t="default"/>
      </items>
    </pivotField>
    <pivotField name="Outputs" compact="0" outline="0" multipleItemSelectionAllowed="1" showAll="0">
      <items>
        <item x="0"/>
        <item x="1"/>
        <item x="2"/>
        <item x="3"/>
        <item x="4"/>
        <item x="5"/>
        <item x="6"/>
        <item x="7"/>
        <item x="8"/>
        <item x="9"/>
        <item x="10"/>
        <item t="default"/>
      </items>
    </pivotField>
    <pivotField name="Output(L)" compact="0" outline="0" multipleItemSelectionAllowed="1" showAll="0">
      <items>
        <item x="0"/>
        <item x="1"/>
        <item x="2"/>
        <item x="3"/>
        <item x="4"/>
        <item x="5"/>
        <item x="6"/>
        <item x="7"/>
        <item x="8"/>
        <item x="9"/>
        <item t="default"/>
      </items>
    </pivotField>
  </pivotFields>
  <rowFields>
    <field x="1"/>
  </rowFields>
  <dataFields>
    <dataField name="Input(L)" fld="2" baseField="0"/>
  </dataFields>
</pivotTableDefinition>
</file>

<file path=xl/pivotTables/pivotTable23.xml><?xml version="1.0" encoding="utf-8"?>
<pivotTableDefinition xmlns="http://schemas.openxmlformats.org/spreadsheetml/2006/main" name="Poly SI Silicon 17" cacheId="13" dataCaption="" rowGrandTotals="0" compact="0" compactData="0">
  <location ref="AB73:AC83" firstHeaderRow="0" firstDataRow="1" firstDataCol="0"/>
  <pivotFields>
    <pivotField name="Recipes" compact="0" outline="0" multipleItemSelectionAllowed="1" showAll="0">
      <items>
        <item x="0"/>
        <item x="1"/>
        <item x="2"/>
        <item x="3"/>
        <item x="4"/>
        <item x="5"/>
        <item x="6"/>
        <item t="default"/>
      </items>
    </pivotField>
    <pivotField name="Inputs" compact="0" outline="0" multipleItemSelectionAllowed="1" showAll="0">
      <items>
        <item x="0"/>
        <item x="1"/>
        <item x="2"/>
        <item x="3"/>
        <item x="4"/>
        <item x="5"/>
        <item x="6"/>
        <item x="7"/>
        <item x="8"/>
        <item x="9"/>
        <item x="10"/>
        <item t="default"/>
      </items>
    </pivotField>
    <pivotField name="Input(L)" compact="0" outline="0" multipleItemSelectionAllowed="1" showAll="0">
      <items>
        <item x="0"/>
        <item x="1"/>
        <item x="2"/>
        <item x="3"/>
        <item x="4"/>
        <item x="5"/>
        <item x="6"/>
        <item x="7"/>
        <item t="default"/>
      </items>
    </pivotField>
    <pivotField name="Outputs" axis="axisRow" compact="0" outline="0" multipleItemSelectionAllowed="1" showAll="0" sortType="ascending">
      <items>
        <item x="0"/>
        <item x="8"/>
        <item x="9"/>
        <item x="2"/>
        <item x="10"/>
        <item x="3"/>
        <item x="5"/>
        <item x="4"/>
        <item x="1"/>
        <item x="7"/>
        <item x="6"/>
        <item t="default"/>
      </items>
    </pivotField>
    <pivotField name="Output(L)" dataField="1" compact="0" outline="0" multipleItemSelectionAllowed="1" showAll="0">
      <items>
        <item x="0"/>
        <item x="1"/>
        <item x="2"/>
        <item x="3"/>
        <item x="4"/>
        <item x="5"/>
        <item x="6"/>
        <item x="7"/>
        <item x="8"/>
        <item x="9"/>
        <item t="default"/>
      </items>
    </pivotField>
  </pivotFields>
  <rowFields>
    <field x="3"/>
  </rowFields>
  <dataFields>
    <dataField name="Output(L)" fld="4" baseField="0"/>
  </dataFields>
</pivotTableDefinition>
</file>

<file path=xl/pivotTables/pivotTable24.xml><?xml version="1.0" encoding="utf-8"?>
<pivotTableDefinition xmlns="http://schemas.openxmlformats.org/spreadsheetml/2006/main" name="Poly SI Silicon 18" cacheId="5" dataCaption="" rowGrandTotals="0" createdVersion="6" compact="0" compactData="0">
  <location ref="AL84:AM85" firstHeaderRow="0" firstDataRow="1" firstDataCol="0" rowPageCount="1" colPageCount="1"/>
  <pivotFields>
    <pivotField name="Inputs" axis="axisRow" compact="0" outline="0" multipleItemSelectionAllowed="1" showAll="0" sortType="ascending">
      <items>
        <item x="0"/>
        <item x="1"/>
        <item x="2"/>
        <item x="3"/>
        <item x="4"/>
        <item x="5"/>
        <item t="default"/>
      </items>
    </pivotField>
    <pivotField name="Amount Produced" axis="axisPage" dataField="1" compact="0" outline="0" multipleItemSelectionAllowed="1" showAll="0">
      <items>
        <item x="0"/>
        <item x="1"/>
        <item x="2"/>
        <item t="default"/>
      </items>
    </pivotField>
  </pivotFields>
  <rowFields>
    <field x="0"/>
  </rowFields>
  <pageFields>
    <pageField fld="1"/>
  </pageFields>
  <dataFields>
    <dataField name="Amount Produced" fld="1" baseField="0"/>
  </dataFields>
  <filters>
    <filter fld="1" type="captionLessThan" evalOrder="-1" id="1" stringValue1="0">
      <autoFilter ref="A1">
        <filterColumn colId="0">
          <customFilters>
            <customFilter operator="lessThan" val="0"/>
          </customFilters>
        </filterColumn>
      </autoFilter>
    </filter>
  </filters>
</pivotTableDefinition>
</file>

<file path=xl/pivotTables/pivotTable25.xml><?xml version="1.0" encoding="utf-8"?>
<pivotTableDefinition xmlns="http://schemas.openxmlformats.org/spreadsheetml/2006/main" name="Poly SI Silicon 19" cacheId="6" dataCaption="" compact="0" compactData="0">
  <location ref="AC92:AC93" firstHeaderRow="0" firstDataRow="0" firstDataCol="0"/>
  <pivotFields>
    <pivotField name="Recipes" compact="0" outline="0" multipleItemSelectionAllowed="1" showAll="0">
      <items>
        <item x="0"/>
        <item x="1"/>
        <item x="2"/>
        <item t="default"/>
      </items>
    </pivotField>
    <pivotField name="Time (t)" dataField="1" compact="0" outline="0" multipleItemSelectionAllowed="1" showAll="0">
      <items>
        <item x="0"/>
        <item x="1"/>
        <item x="2"/>
        <item t="default"/>
      </items>
    </pivotField>
    <pivotField name="OC Time (t)" compact="0" outline="0" multipleItemSelectionAllowed="1" showAll="0">
      <items>
        <item x="0"/>
        <item x="1"/>
        <item x="2"/>
        <item t="default"/>
      </items>
    </pivotField>
  </pivotFields>
  <dataFields>
    <dataField name="MAXTime" fld="1" subtotal="max" baseField="0"/>
  </dataFields>
</pivotTableDefinition>
</file>

<file path=xl/pivotTables/pivotTable26.xml><?xml version="1.0" encoding="utf-8"?>
<pivotTableDefinition xmlns="http://schemas.openxmlformats.org/spreadsheetml/2006/main" name="Poly SI Silicon 20" cacheId="6" dataCaption="" compact="0" compactData="0">
  <location ref="AD92:AD93" firstHeaderRow="0" firstDataRow="0" firstDataCol="0"/>
  <pivotFields>
    <pivotField name="Recipes" compact="0" outline="0" multipleItemSelectionAllowed="1" showAll="0">
      <items>
        <item x="0"/>
        <item x="1"/>
        <item x="2"/>
        <item t="default"/>
      </items>
    </pivotField>
    <pivotField name="Time (t)" compact="0" outline="0" multipleItemSelectionAllowed="1" showAll="0">
      <items>
        <item x="0"/>
        <item x="1"/>
        <item x="2"/>
        <item t="default"/>
      </items>
    </pivotField>
    <pivotField name="OC Time (t)" dataField="1" compact="0" outline="0" multipleItemSelectionAllowed="1" showAll="0">
      <items>
        <item x="0"/>
        <item x="1"/>
        <item x="2"/>
        <item t="default"/>
      </items>
    </pivotField>
  </pivotFields>
  <dataFields>
    <dataField name="MAXTimeOC" fld="2" subtotal="max" baseField="0"/>
  </dataFields>
</pivotTableDefinition>
</file>

<file path=xl/pivotTables/pivotTable27.xml><?xml version="1.0" encoding="utf-8"?>
<pivotTableDefinition xmlns="http://schemas.openxmlformats.org/spreadsheetml/2006/main" name="Diesel -&gt; CBD" cacheId="14" dataCaption="" rowGrandTotals="0" compact="0" compactData="0">
  <location ref="BK5:BL20" firstHeaderRow="0" firstDataRow="1" firstDataCol="0"/>
  <pivotFields>
    <pivotField name="Inputs" axis="axisRow" compact="0" outline="0" multipleItemSelectionAllowed="1" showAll="0" sortType="ascending">
      <items>
        <item x="0"/>
        <item x="11"/>
        <item x="10"/>
        <item x="3"/>
        <item x="7"/>
        <item x="9"/>
        <item x="13"/>
        <item x="14"/>
        <item x="1"/>
        <item x="8"/>
        <item x="15"/>
        <item x="12"/>
        <item x="2"/>
        <item x="6"/>
        <item x="5"/>
        <item x="4"/>
        <item t="default"/>
      </items>
    </pivotField>
    <pivotField name="Input(L)" dataField="1" compact="0" outline="0" multipleItemSelectionAllowed="1" showAll="0">
      <items>
        <item x="0"/>
        <item x="1"/>
        <item x="2"/>
        <item x="3"/>
        <item x="4"/>
        <item x="5"/>
        <item x="6"/>
        <item x="7"/>
        <item x="8"/>
        <item x="9"/>
        <item x="10"/>
        <item t="default"/>
      </items>
    </pivotField>
    <pivotField name="Outputs" compact="0" outline="0" multipleItemSelectionAllowed="1" showAll="0">
      <items>
        <item x="0"/>
        <item x="1"/>
        <item x="2"/>
        <item x="3"/>
        <item x="4"/>
        <item x="5"/>
        <item x="6"/>
        <item x="7"/>
        <item x="8"/>
        <item x="9"/>
        <item x="10"/>
        <item x="11"/>
        <item x="12"/>
        <item x="13"/>
        <item x="14"/>
        <item x="15"/>
        <item t="default"/>
      </items>
    </pivotField>
    <pivotField name="Output(L)" compact="0" outline="0" multipleItemSelectionAllowed="1" showAll="0">
      <items>
        <item x="0"/>
        <item x="1"/>
        <item x="2"/>
        <item x="3"/>
        <item x="4"/>
        <item x="5"/>
        <item x="6"/>
        <item x="7"/>
        <item x="8"/>
        <item x="9"/>
        <item x="10"/>
        <item x="11"/>
        <item t="default"/>
      </items>
    </pivotField>
  </pivotFields>
  <rowFields>
    <field x="0"/>
  </rowFields>
  <dataFields>
    <dataField name="Input(L)" fld="1" baseField="0"/>
  </dataFields>
</pivotTableDefinition>
</file>

<file path=xl/pivotTables/pivotTable28.xml><?xml version="1.0" encoding="utf-8"?>
<pivotTableDefinition xmlns="http://schemas.openxmlformats.org/spreadsheetml/2006/main" name="Diesel -&gt; CBD 2" cacheId="14" dataCaption="" rowGrandTotals="0" compact="0" compactData="0">
  <location ref="BN5:BO20"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t="default"/>
      </items>
    </pivotField>
    <pivotField name="Input(L)" compact="0" outline="0" multipleItemSelectionAllowed="1" showAll="0">
      <items>
        <item x="0"/>
        <item x="1"/>
        <item x="2"/>
        <item x="3"/>
        <item x="4"/>
        <item x="5"/>
        <item x="6"/>
        <item x="7"/>
        <item x="8"/>
        <item x="9"/>
        <item x="10"/>
        <item t="default"/>
      </items>
    </pivotField>
    <pivotField name="Outputs" axis="axisRow" compact="0" outline="0" multipleItemSelectionAllowed="1" showAll="0" sortType="ascending">
      <items>
        <item x="0"/>
        <item x="12"/>
        <item x="10"/>
        <item x="13"/>
        <item x="7"/>
        <item x="9"/>
        <item x="8"/>
        <item x="5"/>
        <item x="15"/>
        <item x="14"/>
        <item x="6"/>
        <item x="11"/>
        <item x="1"/>
        <item x="4"/>
        <item x="3"/>
        <item x="2"/>
        <item t="default"/>
      </items>
    </pivotField>
    <pivotField name="Output(L)" dataField="1" compact="0" outline="0" multipleItemSelectionAllowed="1" showAll="0">
      <items>
        <item x="0"/>
        <item x="1"/>
        <item x="2"/>
        <item x="3"/>
        <item x="4"/>
        <item x="5"/>
        <item x="6"/>
        <item x="7"/>
        <item x="8"/>
        <item x="9"/>
        <item x="10"/>
        <item x="11"/>
        <item t="default"/>
      </items>
    </pivotField>
  </pivotFields>
  <rowFields>
    <field x="2"/>
  </rowFields>
  <dataFields>
    <dataField name="Output(L)" fld="3" baseField="0"/>
  </dataFields>
</pivotTableDefinition>
</file>

<file path=xl/pivotTables/pivotTable29.xml><?xml version="1.0" encoding="utf-8"?>
<pivotTableDefinition xmlns="http://schemas.openxmlformats.org/spreadsheetml/2006/main" name="Diesel -&gt; CBD 3" cacheId="15" dataCaption="" rowGrandTotals="0" createdVersion="6" compact="0" compactData="0">
  <location ref="BW5:BX8"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t="default"/>
      </items>
    </pivotField>
    <pivotField name="Amount Produced" axis="axisPage" dataField="1" compact="0" outline="0" multipleItemSelectionAllowed="1" showAll="0">
      <items>
        <item x="0"/>
        <item x="1"/>
        <item x="2"/>
        <item x="3"/>
        <item x="4"/>
        <item x="5"/>
        <item x="6"/>
        <item x="7"/>
        <item x="8"/>
        <item x="9"/>
        <item x="10"/>
        <item x="11"/>
        <item t="default"/>
      </items>
    </pivotField>
  </pivotFields>
  <rowFields>
    <field x="0"/>
  </rowFields>
  <pageFields>
    <pageField fld="1"/>
  </pageFields>
  <dataFields>
    <dataField name="Amount Produced" fld="1" baseField="0"/>
  </dataFields>
  <filters>
    <filter fld="1" type="captionLessThan" evalOrder="-1" id="1" stringValue1="-500">
      <autoFilter ref="A1">
        <filterColumn colId="0">
          <customFilters>
            <customFilter operator="lessThan" val="-500"/>
          </customFilters>
        </filterColumn>
      </autoFilter>
    </filter>
  </filters>
</pivotTableDefinition>
</file>

<file path=xl/pivotTables/pivotTable30.xml><?xml version="1.0" encoding="utf-8"?>
<pivotTableDefinition xmlns="http://schemas.openxmlformats.org/spreadsheetml/2006/main" name="Diesel -&gt; CBD 4" cacheId="15" dataCaption="" rowGrandTotals="0" createdVersion="6" compact="0" compactData="0">
  <location ref="BW12:BX16"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t="default"/>
      </items>
    </pivotField>
    <pivotField name="Amount Produced" axis="axisPage" dataField="1" compact="0" outline="0" multipleItemSelectionAllowed="1" showAll="0">
      <items>
        <item x="0"/>
        <item x="1"/>
        <item x="2"/>
        <item x="3"/>
        <item x="4"/>
        <item x="5"/>
        <item x="6"/>
        <item x="7"/>
        <item x="8"/>
        <item x="9"/>
        <item x="10"/>
        <item x="11"/>
        <item t="default"/>
      </items>
    </pivotField>
  </pivotFields>
  <rowFields>
    <field x="0"/>
  </rowFields>
  <pageFields>
    <pageField fld="1"/>
  </pageFields>
  <dataFields>
    <dataField name="Amount Produced" fld="1" baseField="0"/>
  </dataFields>
  <filters>
    <filter fld="1" type="captionGreaterThan" evalOrder="-1" id="1" stringValue1="20000">
      <autoFilter ref="A1">
        <filterColumn colId="0">
          <customFilters>
            <customFilter operator="greaterThan" val="20000"/>
          </customFilters>
        </filterColumn>
      </autoFilter>
    </filter>
  </filters>
</pivotTableDefinition>
</file>

<file path=xl/pivotTables/pivotTable31.xml><?xml version="1.0" encoding="utf-8"?>
<pivotTableDefinition xmlns="http://schemas.openxmlformats.org/spreadsheetml/2006/main" name="Diesel -&gt; CBD 5" cacheId="16" dataCaption="" compact="0" compactData="0">
  <location ref="BO30:BO31" firstHeaderRow="0" firstDataRow="0" firstDataCol="0"/>
  <pivotFields>
    <pivotField name="19200" dataField="1" compact="0" outline="0" multipleItemSelectionAllowed="1" showAll="0">
      <items>
        <item x="0"/>
        <item x="1"/>
        <item x="2"/>
        <item x="3"/>
        <item x="4"/>
        <item t="default"/>
      </items>
    </pivotField>
  </pivotFields>
  <dataFields>
    <dataField name="MAXTime" fld="0" subtotal="max" baseField="0"/>
  </dataFields>
</pivotTableDefinition>
</file>

<file path=xl/pivotTables/pivotTable32.xml><?xml version="1.0" encoding="utf-8"?>
<pivotTableDefinition xmlns="http://schemas.openxmlformats.org/spreadsheetml/2006/main" name="Diesel -&gt; CBD 6" cacheId="17" dataCaption="" compact="0" compactData="0">
  <location ref="BP30:BP31" firstHeaderRow="0" firstDataRow="0" firstDataCol="0"/>
  <pivotFields>
    <pivotField name="OC Time (t)" dataField="1" compact="0" outline="0" multipleItemSelectionAllowed="1" showAll="0">
      <items>
        <item x="0"/>
        <item x="1"/>
        <item x="2"/>
        <item x="3"/>
        <item x="4"/>
        <item x="5"/>
        <item x="6"/>
        <item t="default"/>
      </items>
    </pivotField>
  </pivotFields>
  <dataFields>
    <dataField name="MAXTimeOC" fld="0" subtotal="max" baseField="0"/>
  </dataFields>
</pivotTableDefinition>
</file>

<file path=xl/pivotTables/pivotTable33.xml><?xml version="1.0" encoding="utf-8"?>
<pivotTableDefinition xmlns="http://schemas.openxmlformats.org/spreadsheetml/2006/main" name="Diesel -&gt; CBD 7" cacheId="18" dataCaption="" compact="0" compactData="0">
  <location ref="CA30:CA31" firstHeaderRow="0" firstDataRow="0" firstDataCol="0"/>
  <pivotFields>
    <pivotField name="1000" dataField="1" compact="0" outline="0" multipleItemSelectionAllowed="1" showAll="0">
      <items>
        <item x="0"/>
        <item x="1"/>
        <item t="default"/>
      </items>
    </pivotField>
  </pivotFields>
  <dataFields>
    <dataField name="MAX Start Cost" fld="0" subtotal="max" baseField="0"/>
  </dataFields>
</pivotTableDefinition>
</file>

<file path=xl/pivotTables/pivotTable34.xml><?xml version="1.0" encoding="utf-8"?>
<pivotTableDefinition xmlns="http://schemas.openxmlformats.org/spreadsheetml/2006/main" name="Diesel -&gt; CBD 8" cacheId="19" dataCaption="" compact="0" compactData="0">
  <location ref="CA41:CA42" firstHeaderRow="0" firstDataRow="0" firstDataCol="0"/>
  <pivotFields>
    <pivotField name="100000" dataField="1" compact="0" outline="0" multipleItemSelectionAllowed="1" showAll="0">
      <items>
        <item x="0"/>
        <item x="1"/>
        <item x="2"/>
        <item t="default"/>
      </items>
    </pivotField>
  </pivotFields>
  <dataFields>
    <dataField name="MAX OC Start Cost" fld="0" subtotal="max" baseField="0"/>
  </dataFields>
</pivotTableDefinition>
</file>

<file path=xl/pivotTables/pivotTable35.xml><?xml version="1.0" encoding="utf-8"?>
<pivotTableDefinition xmlns="http://schemas.openxmlformats.org/spreadsheetml/2006/main" name="Diesel -&gt; CBD 9" cacheId="20" dataCaption="" rowGrandTotals="0" compact="0" compactData="0">
  <location ref="BK61:BL93" firstHeaderRow="0" firstDataRow="1" firstDataCol="0"/>
  <pivotFields>
    <pivotField name="Inputs" axis="axisRow" compact="0" outline="0" multipleItemSelectionAllowed="1" showAll="0" sortType="ascending">
      <items>
        <item x="0"/>
        <item x="15"/>
        <item x="18"/>
        <item x="25"/>
        <item x="26"/>
        <item x="22"/>
        <item x="19"/>
        <item x="27"/>
        <item x="21"/>
        <item x="14"/>
        <item x="10"/>
        <item x="30"/>
        <item x="3"/>
        <item x="7"/>
        <item x="9"/>
        <item x="29"/>
        <item x="31"/>
        <item x="32"/>
        <item x="20"/>
        <item x="17"/>
        <item x="1"/>
        <item x="8"/>
        <item x="28"/>
        <item x="11"/>
        <item x="13"/>
        <item x="12"/>
        <item x="16"/>
        <item x="2"/>
        <item x="6"/>
        <item x="5"/>
        <item x="4"/>
        <item x="23"/>
        <item x="24"/>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s>
  <rowFields>
    <field x="0"/>
  </rowFields>
  <dataFields>
    <dataField name="Input(L)" fld="1" baseField="0"/>
  </dataFields>
</pivotTableDefinition>
</file>

<file path=xl/pivotTables/pivotTable36.xml><?xml version="1.0" encoding="utf-8"?>
<pivotTableDefinition xmlns="http://schemas.openxmlformats.org/spreadsheetml/2006/main" name="Diesel -&gt; CBD 10" cacheId="20" dataCaption="" rowGrandTotals="0" compact="0" compactData="0">
  <location ref="BN61:BO93"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Outputs" axis="axisRow" compact="0" outline="0" multipleItemSelectionAllowed="1" showAll="0" sortType="ascending">
      <items>
        <item x="0"/>
        <item x="20"/>
        <item x="23"/>
        <item x="19"/>
        <item x="27"/>
        <item x="12"/>
        <item x="22"/>
        <item x="17"/>
        <item x="21"/>
        <item x="16"/>
        <item x="10"/>
        <item x="14"/>
        <item x="31"/>
        <item x="7"/>
        <item x="9"/>
        <item x="15"/>
        <item x="8"/>
        <item x="5"/>
        <item x="24"/>
        <item x="32"/>
        <item x="29"/>
        <item x="30"/>
        <item x="18"/>
        <item x="6"/>
        <item x="13"/>
        <item x="28"/>
        <item x="11"/>
        <item x="1"/>
        <item x="4"/>
        <item x="3"/>
        <item x="2"/>
        <item x="26"/>
        <item x="25"/>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s>
  <rowFields>
    <field x="2"/>
  </rowFields>
  <dataFields>
    <dataField name="Output(L)" fld="3" baseField="0"/>
  </dataFields>
</pivotTableDefinition>
</file>

<file path=xl/pivotTables/pivotTable37.xml><?xml version="1.0" encoding="utf-8"?>
<pivotTableDefinition xmlns="http://schemas.openxmlformats.org/spreadsheetml/2006/main" name="Diesel -&gt; CBD 11" cacheId="21" dataCaption="" rowGrandTotals="0" createdVersion="6" compact="0" compactData="0">
  <location ref="BW61:BX66"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rowFields>
    <field x="0"/>
  </rowFields>
  <pageFields>
    <pageField fld="1"/>
  </pageFields>
  <dataFields>
    <dataField name="Amount Produced" fld="1" baseField="0"/>
  </dataFields>
  <filters>
    <filter fld="1" type="captionLessThan" evalOrder="-1" id="1" stringValue1="-500">
      <autoFilter ref="A1">
        <filterColumn colId="0">
          <customFilters>
            <customFilter operator="lessThan" val="-500"/>
          </customFilters>
        </filterColumn>
      </autoFilter>
    </filter>
  </filters>
</pivotTableDefinition>
</file>

<file path=xl/pivotTables/pivotTable38.xml><?xml version="1.0" encoding="utf-8"?>
<pivotTableDefinition xmlns="http://schemas.openxmlformats.org/spreadsheetml/2006/main" name="Diesel -&gt; CBD 12" cacheId="21" dataCaption="" rowGrandTotals="0" createdVersion="6" compact="0" compactData="0">
  <location ref="BW70:BX75"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rowFields>
    <field x="0"/>
  </rowFields>
  <pageFields>
    <pageField fld="1"/>
  </pageFields>
  <dataFields>
    <dataField name="Amount Produced" fld="1" baseField="0"/>
  </dataFields>
  <filters>
    <filter fld="1" type="captionGreaterThan" evalOrder="-1" id="1" stringValue1="20000">
      <autoFilter ref="A1">
        <filterColumn colId="0">
          <customFilters>
            <customFilter operator="greaterThan" val="20000"/>
          </customFilters>
        </filterColumn>
      </autoFilter>
    </filter>
  </filters>
</pivotTableDefinition>
</file>

<file path=xl/pivotTables/pivotTable39.xml><?xml version="1.0" encoding="utf-8"?>
<pivotTableDefinition xmlns="http://schemas.openxmlformats.org/spreadsheetml/2006/main" name="Diesel -&gt; CBD 13" cacheId="22" dataCaption="" compact="0" compactData="0">
  <location ref="BY93:BY94" firstHeaderRow="0" firstDataRow="0" firstDataCol="0"/>
  <pivotFields>
    <pivotField name="1000" dataField="1" compact="0" outline="0" multipleItemSelectionAllowed="1" showAll="0">
      <items>
        <item x="0"/>
        <item x="1"/>
        <item x="2"/>
        <item t="default"/>
      </items>
    </pivotField>
  </pivotFields>
  <dataFields>
    <dataField name="MAX Start Cost" fld="0" subtotal="max" baseField="0"/>
  </dataFields>
</pivotTableDefinition>
</file>

<file path=xl/pivotTables/pivotTable40.xml><?xml version="1.0" encoding="utf-8"?>
<pivotTableDefinition xmlns="http://schemas.openxmlformats.org/spreadsheetml/2006/main" name="Diesel -&gt; CBD 14" cacheId="23" dataCaption="" compact="0" compactData="0">
  <location ref="CC93:CC94" firstHeaderRow="0" firstDataRow="0" firstDataCol="0"/>
  <pivotFields>
    <pivotField name="10000" dataField="1" compact="0" outline="0" multipleItemSelectionAllowed="1" showAll="0">
      <items>
        <item x="0"/>
        <item t="default"/>
      </items>
    </pivotField>
  </pivotFields>
  <dataFields>
    <dataField name="MAX OC Start Cost" fld="0" subtotal="max" baseField="0"/>
  </dataFields>
</pivotTableDefinition>
</file>

<file path=xl/pivotTables/pivotTable41.xml><?xml version="1.0" encoding="utf-8"?>
<pivotTableDefinition xmlns="http://schemas.openxmlformats.org/spreadsheetml/2006/main" name="Diesel -&gt; CBD 15" cacheId="24" dataCaption="" compact="0" compactData="0">
  <location ref="BO113:BO114" firstHeaderRow="0" firstDataRow="0" firstDataCol="0"/>
  <pivotFields>
    <pivotField name="19200" dataField="1" compact="0" outline="0" multipleItemSelectionAllowed="1" showAll="0">
      <items>
        <item x="0"/>
        <item x="1"/>
        <item x="2"/>
        <item x="3"/>
        <item x="4"/>
        <item x="5"/>
        <item x="6"/>
        <item x="7"/>
        <item x="8"/>
        <item x="9"/>
        <item x="10"/>
        <item x="11"/>
        <item x="12"/>
        <item t="default"/>
      </items>
    </pivotField>
  </pivotFields>
  <dataFields>
    <dataField name="MAXTime" fld="0" subtotal="max" baseField="0"/>
  </dataFields>
</pivotTableDefinition>
</file>

<file path=xl/pivotTables/pivotTable42.xml><?xml version="1.0" encoding="utf-8"?>
<pivotTableDefinition xmlns="http://schemas.openxmlformats.org/spreadsheetml/2006/main" name="Diesel -&gt; CBD 16" cacheId="25" dataCaption="" compact="0" compactData="0">
  <location ref="BP113:BP114"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t="default"/>
      </items>
    </pivotField>
  </pivotFields>
  <dataFields>
    <dataField name="MAXTimeOC" fld="0" subtotal="max" baseField="0"/>
  </dataFields>
</pivotTableDefinition>
</file>

<file path=xl/pivotTables/pivotTable43.xml><?xml version="1.0" encoding="utf-8"?>
<pivotTableDefinition xmlns="http://schemas.openxmlformats.org/spreadsheetml/2006/main" name="Bio Diesel -&gt; CBD" cacheId="26" dataCaption="" rowGrandTotals="0" compact="0" compactData="0">
  <location ref="BK5:BL15" firstHeaderRow="0" firstDataRow="1" firstDataCol="0"/>
  <pivotFields>
    <pivotField name="Inputs" axis="axisRow" compact="0" outline="0" multipleItemSelectionAllowed="1" showAll="0" sortType="ascending">
      <items>
        <item x="0"/>
        <item x="9"/>
        <item x="5"/>
        <item x="3"/>
        <item x="1"/>
        <item x="6"/>
        <item x="10"/>
        <item x="4"/>
        <item x="2"/>
        <item x="7"/>
        <item x="8"/>
        <item t="default"/>
      </items>
    </pivotField>
    <pivotField name="Input(L)" dataField="1" compact="0" outline="0" multipleItemSelectionAllowed="1" showAll="0">
      <items>
        <item x="0"/>
        <item x="1"/>
        <item x="2"/>
        <item x="3"/>
        <item x="4"/>
        <item x="5"/>
        <item x="6"/>
        <item t="default"/>
      </items>
    </pivotField>
    <pivotField name="Outputs" compact="0" outline="0" multipleItemSelectionAllowed="1" showAll="0">
      <items>
        <item x="0"/>
        <item x="1"/>
        <item x="2"/>
        <item x="3"/>
        <item x="4"/>
        <item x="5"/>
        <item x="6"/>
        <item x="7"/>
        <item x="8"/>
        <item x="9"/>
        <item x="10"/>
        <item t="default"/>
      </items>
    </pivotField>
    <pivotField name="Output(L)" compact="0" outline="0" multipleItemSelectionAllowed="1" showAll="0">
      <items>
        <item x="0"/>
        <item x="1"/>
        <item x="2"/>
        <item x="3"/>
        <item x="4"/>
        <item t="default"/>
      </items>
    </pivotField>
  </pivotFields>
  <rowFields>
    <field x="0"/>
  </rowFields>
  <dataFields>
    <dataField name="Input(L)" fld="1" baseField="0"/>
  </dataFields>
</pivotTableDefinition>
</file>

<file path=xl/pivotTables/pivotTable44.xml><?xml version="1.0" encoding="utf-8"?>
<pivotTableDefinition xmlns="http://schemas.openxmlformats.org/spreadsheetml/2006/main" name="Bio Diesel -&gt; CBD 2" cacheId="26" dataCaption="" rowGrandTotals="0" compact="0" compactData="0">
  <location ref="BN5:BO15" firstHeaderRow="0" firstDataRow="1" firstDataCol="0"/>
  <pivotFields>
    <pivotField name="Inputs" compact="0" outline="0" multipleItemSelectionAllowed="1" showAll="0">
      <items>
        <item x="0"/>
        <item x="1"/>
        <item x="2"/>
        <item x="3"/>
        <item x="4"/>
        <item x="5"/>
        <item x="6"/>
        <item x="7"/>
        <item x="8"/>
        <item x="9"/>
        <item x="10"/>
        <item t="default"/>
      </items>
    </pivotField>
    <pivotField name="Input(L)" compact="0" outline="0" multipleItemSelectionAllowed="1" showAll="0">
      <items>
        <item x="0"/>
        <item x="1"/>
        <item x="2"/>
        <item x="3"/>
        <item x="4"/>
        <item x="5"/>
        <item x="6"/>
        <item t="default"/>
      </items>
    </pivotField>
    <pivotField name="Outputs" axis="axisRow" compact="0" outline="0" multipleItemSelectionAllowed="1" showAll="0" sortType="ascending">
      <items>
        <item x="0"/>
        <item x="7"/>
        <item x="5"/>
        <item x="10"/>
        <item x="1"/>
        <item x="2"/>
        <item x="8"/>
        <item x="4"/>
        <item x="3"/>
        <item x="6"/>
        <item x="9"/>
        <item t="default"/>
      </items>
    </pivotField>
    <pivotField name="Output(L)" dataField="1" compact="0" outline="0" multipleItemSelectionAllowed="1" showAll="0">
      <items>
        <item x="0"/>
        <item x="1"/>
        <item x="2"/>
        <item x="3"/>
        <item x="4"/>
        <item t="default"/>
      </items>
    </pivotField>
  </pivotFields>
  <rowFields>
    <field x="2"/>
  </rowFields>
  <dataFields>
    <dataField name="Output(L)" fld="3" baseField="0"/>
  </dataFields>
</pivotTableDefinition>
</file>

<file path=xl/pivotTables/pivotTable45.xml><?xml version="1.0" encoding="utf-8"?>
<pivotTableDefinition xmlns="http://schemas.openxmlformats.org/spreadsheetml/2006/main" name="Bio Diesel -&gt; CBD 3" cacheId="27" dataCaption="" rowGrandTotals="0" createdVersion="6" compact="0" compactData="0">
  <location ref="BW5:BX6"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t="default"/>
      </items>
    </pivotField>
    <pivotField name="Amount Produced" axis="axisPage" dataField="1" compact="0" outline="0" multipleItemSelectionAllowed="1" showAll="0">
      <items>
        <item x="0"/>
        <item x="1"/>
        <item x="2"/>
        <item x="3"/>
        <item x="4"/>
        <item x="5"/>
        <item x="6"/>
        <item x="7"/>
        <item t="default"/>
      </items>
    </pivotField>
  </pivotFields>
  <rowFields>
    <field x="0"/>
  </rowFields>
  <pageFields>
    <pageField fld="1"/>
  </pageFields>
  <dataFields>
    <dataField name="Amount Produced" fld="1" baseField="0"/>
  </dataFields>
  <filters>
    <filter fld="1" type="captionLessThan" evalOrder="-1" id="1" stringValue1="-500">
      <autoFilter ref="A1">
        <filterColumn colId="0">
          <customFilters>
            <customFilter operator="lessThan" val="-500"/>
          </customFilters>
        </filterColumn>
      </autoFilter>
    </filter>
  </filters>
</pivotTableDefinition>
</file>

<file path=xl/pivotTables/pivotTable46.xml><?xml version="1.0" encoding="utf-8"?>
<pivotTableDefinition xmlns="http://schemas.openxmlformats.org/spreadsheetml/2006/main" name="Bio Diesel -&gt; CBD 4" cacheId="27" dataCaption="" rowGrandTotals="0" createdVersion="6" compact="0" compactData="0">
  <location ref="BW11:BX14"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t="default"/>
      </items>
    </pivotField>
    <pivotField name="Amount Produced" axis="axisPage" dataField="1" compact="0" outline="0" multipleItemSelectionAllowed="1" showAll="0">
      <items>
        <item x="0"/>
        <item x="1"/>
        <item x="2"/>
        <item x="3"/>
        <item x="4"/>
        <item x="5"/>
        <item x="6"/>
        <item x="7"/>
        <item t="default"/>
      </items>
    </pivotField>
  </pivotFields>
  <rowFields>
    <field x="0"/>
  </rowFields>
  <pageFields>
    <pageField fld="1"/>
  </pageFields>
  <dataFields>
    <dataField name="Amount Produced" fld="1" baseField="0"/>
  </dataFields>
  <filters>
    <filter fld="1" type="captionGreaterThan" evalOrder="-1" id="1" stringValue1="500">
      <autoFilter ref="A1">
        <filterColumn colId="0">
          <customFilters>
            <customFilter operator="greaterThan" val="500"/>
          </customFilters>
        </filterColumn>
      </autoFilter>
    </filter>
  </filters>
</pivotTableDefinition>
</file>

<file path=xl/pivotTables/pivotTable47.xml><?xml version="1.0" encoding="utf-8"?>
<pivotTableDefinition xmlns="http://schemas.openxmlformats.org/spreadsheetml/2006/main" name="Bio Diesel -&gt; CBD 5" cacheId="28" dataCaption="" compact="0" compactData="0">
  <location ref="BO24:BO25" firstHeaderRow="0" firstDataRow="0" firstDataCol="0"/>
  <pivotFields>
    <pivotField name="Time (t)" dataField="1" compact="0" outline="0" multipleItemSelectionAllowed="1" showAll="0">
      <items>
        <item x="0"/>
        <item x="1"/>
        <item x="2"/>
        <item x="3"/>
        <item x="4"/>
        <item t="default"/>
      </items>
    </pivotField>
  </pivotFields>
  <dataFields>
    <dataField name="MAXTime" fld="0" subtotal="max" baseField="0"/>
  </dataFields>
</pivotTableDefinition>
</file>

<file path=xl/pivotTables/pivotTable48.xml><?xml version="1.0" encoding="utf-8"?>
<pivotTableDefinition xmlns="http://schemas.openxmlformats.org/spreadsheetml/2006/main" name="Bio Diesel -&gt; CBD 6" cacheId="29" dataCaption="" compact="0" compactData="0">
  <location ref="BP24:BP25" firstHeaderRow="0" firstDataRow="0" firstDataCol="0"/>
  <pivotFields>
    <pivotField name="OC Time (t)" dataField="1" compact="0" outline="0" multipleItemSelectionAllowed="1" showAll="0">
      <items>
        <item x="0"/>
        <item x="1"/>
        <item x="2"/>
        <item x="3"/>
        <item x="4"/>
        <item t="default"/>
      </items>
    </pivotField>
  </pivotFields>
  <dataFields>
    <dataField name="MAXTimeOC" fld="0" subtotal="max" baseField="0"/>
  </dataFields>
</pivotTableDefinition>
</file>

<file path=xl/pivotTables/pivotTable49.xml><?xml version="1.0" encoding="utf-8"?>
<pivotTableDefinition xmlns="http://schemas.openxmlformats.org/spreadsheetml/2006/main" name="Bio Diesel -&gt; CBD 7" cacheId="30" dataCaption="" compact="0" compactData="0">
  <location ref="CE34:CE35" firstHeaderRow="0" firstDataRow="0" firstDataCol="0"/>
  <pivotFields>
    <pivotField name="Machine Start. Cost" dataField="1" compact="0" outline="0" multipleItemSelectionAllowed="1" showAll="0">
      <items>
        <item x="0"/>
        <item x="1"/>
        <item x="2"/>
        <item x="3"/>
        <item x="4"/>
        <item t="default"/>
      </items>
    </pivotField>
  </pivotFields>
  <dataFields>
    <dataField name="MAX Start Cost" fld="0" subtotal="max" baseField="0"/>
  </dataFields>
</pivotTableDefinition>
</file>

<file path=xl/pivotTables/pivotTable50.xml><?xml version="1.0" encoding="utf-8"?>
<pivotTableDefinition xmlns="http://schemas.openxmlformats.org/spreadsheetml/2006/main" name="Bio Diesel -&gt; CBD 8" cacheId="31" dataCaption="" compact="0" compactData="0">
  <location ref="CE44:CE45" firstHeaderRow="0" firstDataRow="0" firstDataCol="0"/>
  <pivotFields>
    <pivotField name="OC Machine Start. Cost" dataField="1" compact="0" outline="0" multipleItemSelectionAllowed="1" showAll="0">
      <items>
        <item x="0"/>
        <item x="1"/>
        <item x="2"/>
        <item x="3"/>
        <item t="default"/>
      </items>
    </pivotField>
  </pivotFields>
  <dataFields>
    <dataField name="MAX OC Start Cost" fld="0" subtotal="max" baseField="0"/>
  </dataFields>
</pivotTableDefinition>
</file>

<file path=xl/pivotTables/pivotTable51.xml><?xml version="1.0" encoding="utf-8"?>
<pivotTableDefinition xmlns="http://schemas.openxmlformats.org/spreadsheetml/2006/main" name="Bio Diesel -&gt; CBD 9" cacheId="32" dataCaption="" rowGrandTotals="0" compact="0" compactData="0">
  <location ref="BK52:BL73" firstHeaderRow="0" firstDataRow="1" firstDataCol="0"/>
  <pivotFields>
    <pivotField name="Inputs" axis="axisRow" compact="0" outline="0" multipleItemSelectionAllowed="1" showAll="0" sortType="ascending">
      <items>
        <item x="0"/>
        <item x="9"/>
        <item x="12"/>
        <item x="17"/>
        <item x="5"/>
        <item x="21"/>
        <item x="14"/>
        <item x="3"/>
        <item x="16"/>
        <item x="1"/>
        <item x="6"/>
        <item x="19"/>
        <item x="4"/>
        <item x="2"/>
        <item x="7"/>
        <item x="15"/>
        <item x="11"/>
        <item x="13"/>
        <item x="8"/>
        <item x="10"/>
        <item x="18"/>
        <item x="20"/>
        <item t="default"/>
      </items>
    </pivotField>
    <pivotField name="Input(L)" dataField="1" compact="0" outline="0" multipleItemSelectionAllowed="1" showAll="0">
      <items>
        <item x="0"/>
        <item x="1"/>
        <item x="2"/>
        <item x="3"/>
        <item x="4"/>
        <item x="5"/>
        <item x="6"/>
        <item x="7"/>
        <item x="8"/>
        <item x="9"/>
        <item x="10"/>
        <item x="11"/>
        <item x="12"/>
        <item x="13"/>
        <item x="14"/>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utput(L)" compact="0" outline="0" multipleItemSelectionAllowed="1" showAll="0">
      <items>
        <item x="0"/>
        <item x="1"/>
        <item x="2"/>
        <item x="3"/>
        <item x="4"/>
        <item x="5"/>
        <item x="6"/>
        <item x="7"/>
        <item x="8"/>
        <item x="9"/>
        <item x="10"/>
        <item x="11"/>
        <item x="12"/>
        <item x="13"/>
        <item t="default"/>
      </items>
    </pivotField>
  </pivotFields>
  <rowFields>
    <field x="0"/>
  </rowFields>
  <dataFields>
    <dataField name="Input(L)" fld="1" baseField="0"/>
  </dataFields>
</pivotTableDefinition>
</file>

<file path=xl/pivotTables/pivotTable52.xml><?xml version="1.0" encoding="utf-8"?>
<pivotTableDefinition xmlns="http://schemas.openxmlformats.org/spreadsheetml/2006/main" name="Bio Diesel -&gt; CBD 10" cacheId="32" dataCaption="" rowGrandTotals="0" compact="0" compactData="0">
  <location ref="BN52:BO73"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Input(L)" compact="0" outline="0" multipleItemSelectionAllowed="1" showAll="0">
      <items>
        <item x="0"/>
        <item x="1"/>
        <item x="2"/>
        <item x="3"/>
        <item x="4"/>
        <item x="5"/>
        <item x="6"/>
        <item x="7"/>
        <item x="8"/>
        <item x="9"/>
        <item x="10"/>
        <item x="11"/>
        <item x="12"/>
        <item x="13"/>
        <item x="14"/>
        <item t="default"/>
      </items>
    </pivotField>
    <pivotField name="Outputs" axis="axisRow" compact="0" outline="0" multipleItemSelectionAllowed="1" showAll="0" sortType="ascending">
      <items>
        <item x="0"/>
        <item x="9"/>
        <item x="12"/>
        <item x="7"/>
        <item x="5"/>
        <item x="17"/>
        <item x="11"/>
        <item x="19"/>
        <item x="10"/>
        <item x="1"/>
        <item x="2"/>
        <item x="8"/>
        <item x="4"/>
        <item x="3"/>
        <item x="6"/>
        <item x="13"/>
        <item x="20"/>
        <item x="21"/>
        <item x="18"/>
        <item x="15"/>
        <item x="16"/>
        <item x="14"/>
        <item t="default"/>
      </items>
    </pivotField>
    <pivotField name="Output(L)" dataField="1" compact="0" outline="0" multipleItemSelectionAllowed="1" showAll="0">
      <items>
        <item x="0"/>
        <item x="1"/>
        <item x="2"/>
        <item x="3"/>
        <item x="4"/>
        <item x="5"/>
        <item x="6"/>
        <item x="7"/>
        <item x="8"/>
        <item x="9"/>
        <item x="10"/>
        <item x="11"/>
        <item x="12"/>
        <item x="13"/>
        <item t="default"/>
      </items>
    </pivotField>
  </pivotFields>
  <rowFields>
    <field x="2"/>
  </rowFields>
  <dataFields>
    <dataField name="Output(L)" fld="3" baseField="0"/>
  </dataFields>
</pivotTableDefinition>
</file>

<file path=xl/pivotTables/pivotTable53.xml><?xml version="1.0" encoding="utf-8"?>
<pivotTableDefinition xmlns="http://schemas.openxmlformats.org/spreadsheetml/2006/main" name="Bio Diesel -&gt; CBD 11" cacheId="33" dataCaption="" rowGrandTotals="0" createdVersion="6" compact="0" compactData="0">
  <location ref="BW65:BX68"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t="default"/>
      </items>
    </pivotField>
  </pivotFields>
  <rowFields>
    <field x="0"/>
  </rowFields>
  <pageFields>
    <pageField fld="1"/>
  </pageFields>
  <dataFields>
    <dataField name="Amount Produced" fld="1" baseField="0"/>
  </dataFields>
  <filters>
    <filter fld="1" type="captionLessThan" evalOrder="-1" id="1" stringValue1="-5000">
      <autoFilter ref="A1">
        <filterColumn colId="0">
          <customFilters>
            <customFilter operator="lessThan" val="-5000"/>
          </customFilters>
        </filterColumn>
      </autoFilter>
    </filter>
  </filters>
</pivotTableDefinition>
</file>

<file path=xl/pivotTables/pivotTable54.xml><?xml version="1.0" encoding="utf-8"?>
<pivotTableDefinition xmlns="http://schemas.openxmlformats.org/spreadsheetml/2006/main" name="Bio Diesel -&gt; CBD 12" cacheId="33" dataCaption="" rowGrandTotals="0" createdVersion="6" compact="0" compactData="0">
  <location ref="BW73:BX76"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t="default"/>
      </items>
    </pivotField>
  </pivotFields>
  <rowFields>
    <field x="0"/>
  </rowFields>
  <pageFields>
    <pageField fld="1"/>
  </pageFields>
  <dataFields>
    <dataField name="Amount Produced" fld="1" baseField="0"/>
  </dataFields>
  <filters>
    <filter fld="1" type="captionGreaterThan" evalOrder="-1" id="1" stringValue1="5000">
      <autoFilter ref="A1">
        <filterColumn colId="0">
          <customFilters>
            <customFilter operator="greaterThan" val="5000"/>
          </customFilters>
        </filterColumn>
      </autoFilter>
    </filter>
  </filters>
</pivotTableDefinition>
</file>

<file path=xl/pivotTables/pivotTable55.xml><?xml version="1.0" encoding="utf-8"?>
<pivotTableDefinition xmlns="http://schemas.openxmlformats.org/spreadsheetml/2006/main" name="Bio Diesel -&gt; CBD 13" cacheId="34" dataCaption="" compact="0" compactData="0">
  <location ref="BO89:BO90" firstHeaderRow="0" firstDataRow="0" firstDataCol="0"/>
  <pivotFields>
    <pivotField name="7872" dataField="1" compact="0" outline="0" multipleItemSelectionAllowed="1" showAll="0">
      <items>
        <item x="0"/>
        <item x="1"/>
        <item x="2"/>
        <item x="3"/>
        <item x="4"/>
        <item x="5"/>
        <item x="6"/>
        <item x="7"/>
        <item x="8"/>
        <item x="9"/>
        <item t="default"/>
      </items>
    </pivotField>
  </pivotFields>
  <dataFields>
    <dataField name="MAXTime" fld="0" subtotal="max" baseField="0"/>
  </dataFields>
</pivotTableDefinition>
</file>

<file path=xl/pivotTables/pivotTable56.xml><?xml version="1.0" encoding="utf-8"?>
<pivotTableDefinition xmlns="http://schemas.openxmlformats.org/spreadsheetml/2006/main" name="Bio Diesel -&gt; CBD 14" cacheId="35" dataCaption="" compact="0" compactData="0">
  <location ref="BP89:BP90" firstHeaderRow="0" firstDataRow="0" firstDataCol="0"/>
  <pivotFields>
    <pivotField name="492" dataField="1" compact="0" outline="0" multipleItemSelectionAllowed="1" showAll="0">
      <items>
        <item x="0"/>
        <item x="1"/>
        <item x="2"/>
        <item x="3"/>
        <item x="4"/>
        <item x="5"/>
        <item x="6"/>
        <item x="7"/>
        <item x="8"/>
        <item t="default"/>
      </items>
    </pivotField>
  </pivotFields>
  <dataFields>
    <dataField name="MAXTimeOC" fld="0" subtotal="max" baseField="0"/>
  </dataFields>
</pivotTableDefinition>
</file>

<file path=xl/pivotTables/pivotTable57.xml><?xml version="1.0" encoding="utf-8"?>
<pivotTableDefinition xmlns="http://schemas.openxmlformats.org/spreadsheetml/2006/main" name="Bio Diesel -&gt; CBD 15" cacheId="36" dataCaption="" compact="0" compactData="0">
  <location ref="CE106:CE107" firstHeaderRow="0" firstDataRow="0" firstDataCol="0"/>
  <pivotFields>
    <pivotField name="1405511" dataField="1" compact="0" outline="0" multipleItemSelectionAllowed="1" showAll="0">
      <items>
        <item x="0"/>
        <item x="1"/>
        <item x="2"/>
        <item x="3"/>
        <item t="default"/>
      </items>
    </pivotField>
  </pivotFields>
  <dataFields>
    <dataField name="MAX Start Cost" fld="0" subtotal="max" baseField="0"/>
  </dataFields>
</pivotTableDefinition>
</file>

<file path=xl/pivotTables/pivotTable58.xml><?xml version="1.0" encoding="utf-8"?>
<pivotTableDefinition xmlns="http://schemas.openxmlformats.org/spreadsheetml/2006/main" name="Bio Diesel -&gt; CBD 16" cacheId="37" dataCaption="" compact="0" compactData="0">
  <location ref="CE123:CE124" firstHeaderRow="0" firstDataRow="0" firstDataCol="0"/>
  <pivotFields>
    <pivotField name="OC Machine Start. Cost" dataField="1" compact="0" outline="0" multipleItemSelectionAllowed="1" showAll="0">
      <items>
        <item x="0"/>
        <item x="1"/>
        <item x="2"/>
        <item x="3"/>
        <item x="4"/>
        <item t="default"/>
      </items>
    </pivotField>
  </pivotFields>
  <dataFields>
    <dataField name="MAX OC Start Cost" fld="0" subtotal="max" baseField="0"/>
  </dataFields>
</pivotTableDefinition>
</file>

<file path=xl/pivotTables/pivotTable59.xml><?xml version="1.0" encoding="utf-8"?>
<pivotTableDefinition xmlns="http://schemas.openxmlformats.org/spreadsheetml/2006/main" name="HOG" cacheId="38" dataCaption="" rowGrandTotals="0" compact="0" compactData="0">
  <location ref="BK5:BL47" firstHeaderRow="0" firstDataRow="1" firstDataCol="0"/>
  <pivotFields>
    <pivotField name="Inputs" axis="axisRow" compact="0" outline="0" multipleItemSelectionAllowed="1" showAll="0" sortType="ascending">
      <items>
        <item x="0"/>
        <item x="19"/>
        <item x="22"/>
        <item x="28"/>
        <item x="38"/>
        <item x="37"/>
        <item x="40"/>
        <item x="15"/>
        <item x="20"/>
        <item x="31"/>
        <item x="33"/>
        <item x="13"/>
        <item x="34"/>
        <item x="18"/>
        <item x="25"/>
        <item x="12"/>
        <item x="30"/>
        <item x="3"/>
        <item x="42"/>
        <item x="8"/>
        <item x="7"/>
        <item x="32"/>
        <item x="14"/>
        <item x="16"/>
        <item x="9"/>
        <item x="41"/>
        <item x="27"/>
        <item x="26"/>
        <item x="17"/>
        <item x="39"/>
        <item x="36"/>
        <item x="35"/>
        <item x="23"/>
        <item x="1"/>
        <item x="21"/>
        <item x="11"/>
        <item x="10"/>
        <item x="2"/>
        <item x="6"/>
        <item x="5"/>
        <item x="4"/>
        <item x="24"/>
        <item x="29"/>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0"/>
  </rowFields>
  <dataFields>
    <dataField name="Input(L)" fld="1" baseField="0"/>
  </dataFields>
</pivotTableDefinition>
</file>

<file path=xl/pivotTables/pivotTable60.xml><?xml version="1.0" encoding="utf-8"?>
<pivotTableDefinition xmlns="http://schemas.openxmlformats.org/spreadsheetml/2006/main" name="HOG 2" cacheId="38" dataCaption="" rowGrandTotals="0" compact="0" compactData="0">
  <location ref="BN5:BO47"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utputs" axis="axisRow" compact="0" outline="0" multipleItemSelectionAllowed="1" showAll="0" sortType="ascending">
      <items>
        <item x="0"/>
        <item x="30"/>
        <item x="31"/>
        <item x="28"/>
        <item x="22"/>
        <item x="20"/>
        <item x="15"/>
        <item x="21"/>
        <item x="37"/>
        <item x="32"/>
        <item x="24"/>
        <item x="38"/>
        <item x="13"/>
        <item x="18"/>
        <item x="35"/>
        <item x="10"/>
        <item x="36"/>
        <item x="42"/>
        <item x="7"/>
        <item x="11"/>
        <item x="9"/>
        <item x="12"/>
        <item x="26"/>
        <item x="27"/>
        <item x="8"/>
        <item x="5"/>
        <item x="29"/>
        <item x="16"/>
        <item x="39"/>
        <item x="25"/>
        <item x="14"/>
        <item x="19"/>
        <item x="34"/>
        <item x="40"/>
        <item x="6"/>
        <item x="17"/>
        <item x="41"/>
        <item x="1"/>
        <item x="4"/>
        <item x="3"/>
        <item x="2"/>
        <item x="23"/>
        <item x="33"/>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2"/>
  </rowFields>
  <dataFields>
    <dataField name="Output(L)" fld="3" baseField="0"/>
  </dataFields>
</pivotTableDefinition>
</file>

<file path=xl/pivotTables/pivotTable61.xml><?xml version="1.0" encoding="utf-8"?>
<pivotTableDefinition xmlns="http://schemas.openxmlformats.org/spreadsheetml/2006/main" name="HOG 3" cacheId="39" dataCaption="" rowGrandTotals="0" createdVersion="6" compact="0" compactData="0">
  <location ref="BW5:BX11"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0"/>
  </rowFields>
  <pageFields>
    <pageField fld="1"/>
  </pageFields>
  <dataFields>
    <dataField name="Amount Produced" fld="1" baseField="0"/>
  </dataFields>
  <filters>
    <filter fld="1" type="captionLessThan" evalOrder="-1" id="1" stringValue1="-10000">
      <autoFilter ref="A1">
        <filterColumn colId="0">
          <customFilters>
            <customFilter operator="lessThan" val="-10000"/>
          </customFilters>
        </filterColumn>
      </autoFilter>
    </filter>
  </filters>
</pivotTableDefinition>
</file>

<file path=xl/pivotTables/pivotTable62.xml><?xml version="1.0" encoding="utf-8"?>
<pivotTableDefinition xmlns="http://schemas.openxmlformats.org/spreadsheetml/2006/main" name="HOG 4" cacheId="39" dataCaption="" rowGrandTotals="0" createdVersion="6" compact="0" compactData="0">
  <location ref="BW15:BX26" firstHeaderRow="0" firstDataRow="1" firstDataCol="0" rowPageCount="1" colPageCount="1"/>
  <pivotFields>
    <pivotField name="Out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0"/>
  </rowFields>
  <pageFields>
    <pageField fld="1"/>
  </pageFields>
  <dataFields>
    <dataField name="Amount Produced" fld="1" baseField="0"/>
  </dataFields>
  <filters>
    <filter fld="1" type="captionGreaterThan" evalOrder="-1" id="1" stringValue1="20000">
      <autoFilter ref="A1">
        <filterColumn colId="0">
          <customFilters>
            <customFilter operator="greaterThan" val="20000"/>
          </customFilters>
        </filterColumn>
      </autoFilter>
    </filter>
  </filters>
</pivotTableDefinition>
</file>

<file path=xl/pivotTables/pivotTable63.xml><?xml version="1.0" encoding="utf-8"?>
<pivotTableDefinition xmlns="http://schemas.openxmlformats.org/spreadsheetml/2006/main" name="HOG 5" cacheId="40" dataCaption="" compact="0" compactData="0">
  <location ref="BY47:BY48" firstHeaderRow="0" firstDataRow="0" firstDataCol="0"/>
  <pivotFields>
    <pivotField name="Machine Start. Cost" dataField="1" compact="0" outline="0" multipleItemSelectionAllowed="1" showAll="0">
      <items>
        <item x="0"/>
        <item x="1"/>
        <item t="default"/>
      </items>
    </pivotField>
  </pivotFields>
  <dataFields>
    <dataField name="MAX Start Cost" fld="0" subtotal="max" baseField="0"/>
  </dataFields>
</pivotTableDefinition>
</file>

<file path=xl/pivotTables/pivotTable64.xml><?xml version="1.0" encoding="utf-8"?>
<pivotTableDefinition xmlns="http://schemas.openxmlformats.org/spreadsheetml/2006/main" name="HOG 6" cacheId="41" dataCaption="" compact="0" compactData="0">
  <location ref="CC47:CC48" firstHeaderRow="0" firstDataRow="0" firstDataCol="0"/>
  <pivotFields>
    <pivotField name="OC Machine Start. Cost" dataField="1" compact="0" outline="0" multipleItemSelectionAllowed="1" showAll="0">
      <items>
        <item x="0"/>
        <item x="1"/>
        <item t="default"/>
      </items>
    </pivotField>
  </pivotFields>
  <dataFields>
    <dataField name="MAX OC Start Cost" fld="0" subtotal="max" baseField="0"/>
  </dataFields>
</pivotTableDefinition>
</file>

<file path=xl/pivotTables/pivotTable65.xml><?xml version="1.0" encoding="utf-8"?>
<pivotTableDefinition xmlns="http://schemas.openxmlformats.org/spreadsheetml/2006/main" name="HOG 7" cacheId="42" dataCaption="" compact="0" compactData="0">
  <location ref="BO70:BO71" firstHeaderRow="0" firstDataRow="0" firstDataCol="0"/>
  <pivotFields>
    <pivotField name="Time (t)" dataField="1"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MAXTime" fld="0" subtotal="max" baseField="0"/>
  </dataFields>
</pivotTableDefinition>
</file>

<file path=xl/pivotTables/pivotTable66.xml><?xml version="1.0" encoding="utf-8"?>
<pivotTableDefinition xmlns="http://schemas.openxmlformats.org/spreadsheetml/2006/main" name="HOG 8" cacheId="43" dataCaption="" compact="0" compactData="0">
  <location ref="BP70:BP71"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x="15"/>
        <item x="16"/>
        <item x="17"/>
        <item t="default"/>
      </items>
    </pivotField>
  </pivotFields>
  <dataFields>
    <dataField name="MAXTimeOC" fld="0" subtotal="max" baseField="0"/>
  </dataFields>
</pivotTableDefinition>
</file>

<file path=xl/pivotTables/pivotTable67.xml><?xml version="1.0" encoding="utf-8"?>
<pivotTableDefinition xmlns="http://schemas.openxmlformats.org/spreadsheetml/2006/main" name="HOG wChanges" cacheId="44" dataCaption="" rowGrandTotals="0" compact="0" compactData="0">
  <location ref="BK5:BL42" firstHeaderRow="0" firstDataRow="1" firstDataCol="0"/>
  <pivotFields>
    <pivotField name="Inputs" axis="axisRow" compact="0" outline="0" multipleItemSelectionAllowed="1" showAll="0" sortType="ascending">
      <items>
        <item x="0"/>
        <item x="18"/>
        <item x="21"/>
        <item x="27"/>
        <item x="34"/>
        <item x="14"/>
        <item x="19"/>
        <item x="30"/>
        <item x="12"/>
        <item x="33"/>
        <item x="17"/>
        <item x="24"/>
        <item x="11"/>
        <item x="29"/>
        <item x="3"/>
        <item x="37"/>
        <item x="8"/>
        <item x="10"/>
        <item x="7"/>
        <item x="31"/>
        <item x="13"/>
        <item x="15"/>
        <item x="9"/>
        <item x="36"/>
        <item x="26"/>
        <item x="25"/>
        <item x="1"/>
        <item x="16"/>
        <item x="35"/>
        <item x="32"/>
        <item x="22"/>
        <item x="20"/>
        <item x="2"/>
        <item x="6"/>
        <item x="5"/>
        <item x="4"/>
        <item x="23"/>
        <item x="28"/>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0"/>
  </rowFields>
  <dataFields>
    <dataField name="Input(L)" fld="1" baseField="0"/>
  </dataFields>
</pivotTableDefinition>
</file>

<file path=xl/pivotTables/pivotTable68.xml><?xml version="1.0" encoding="utf-8"?>
<pivotTableDefinition xmlns="http://schemas.openxmlformats.org/spreadsheetml/2006/main" name="HOG wChanges 2" cacheId="44" dataCaption="" rowGrandTotals="0" compact="0" compactData="0">
  <location ref="BN5:BO42"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utputs" axis="axisRow" compact="0" outline="0" multipleItemSelectionAllowed="1" showAll="0" sortType="ascending">
      <items>
        <item x="0"/>
        <item x="25"/>
        <item x="26"/>
        <item x="23"/>
        <item x="19"/>
        <item x="15"/>
        <item x="32"/>
        <item x="27"/>
        <item x="33"/>
        <item x="13"/>
        <item x="37"/>
        <item x="30"/>
        <item x="10"/>
        <item x="31"/>
        <item x="36"/>
        <item x="7"/>
        <item x="11"/>
        <item x="17"/>
        <item x="9"/>
        <item x="12"/>
        <item x="21"/>
        <item x="22"/>
        <item x="8"/>
        <item x="5"/>
        <item x="24"/>
        <item x="16"/>
        <item x="35"/>
        <item x="34"/>
        <item x="18"/>
        <item x="14"/>
        <item x="29"/>
        <item x="6"/>
        <item x="1"/>
        <item x="4"/>
        <item x="3"/>
        <item x="2"/>
        <item x="20"/>
        <item x="28"/>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2"/>
  </rowFields>
  <dataFields>
    <dataField name="Output(L)" fld="3" baseField="0"/>
  </dataFields>
</pivotTableDefinition>
</file>

<file path=xl/pivotTables/pivotTable69.xml><?xml version="1.0" encoding="utf-8"?>
<pivotTableDefinition xmlns="http://schemas.openxmlformats.org/spreadsheetml/2006/main" name="HOG wChanges 3" cacheId="45" dataCaption="" rowGrandTotals="0" createdVersion="6" compact="0" compactData="0">
  <location ref="BW5:BX10"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0"/>
  </rowFields>
  <pageFields>
    <pageField fld="1"/>
  </pageFields>
  <dataFields>
    <dataField name="Amount Produced" fld="1" baseField="0"/>
  </dataFields>
  <filters>
    <filter fld="1" type="captionLessThan" evalOrder="-1" id="1" stringValue1="-10000">
      <autoFilter ref="A1">
        <filterColumn colId="0">
          <customFilters>
            <customFilter operator="lessThan" val="-10000"/>
          </customFilters>
        </filterColumn>
      </autoFilter>
    </filter>
  </filters>
</pivotTableDefinition>
</file>

<file path=xl/pivotTables/pivotTable70.xml><?xml version="1.0" encoding="utf-8"?>
<pivotTableDefinition xmlns="http://schemas.openxmlformats.org/spreadsheetml/2006/main" name="HOG wChanges 4" cacheId="45" dataCaption="" rowGrandTotals="0" createdVersion="6" compact="0" compactData="0">
  <location ref="BW13:BX22" firstHeaderRow="0" firstDataRow="1" firstDataCol="0" rowPageCount="1" colPageCount="1"/>
  <pivotFields>
    <pivotField name="Out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0"/>
  </rowFields>
  <pageFields>
    <pageField fld="1"/>
  </pageFields>
  <dataFields>
    <dataField name="Amount Produced" fld="1" baseField="0"/>
  </dataFields>
  <filters>
    <filter fld="1" type="captionGreaterThan" evalOrder="-1" id="1" stringValue1="20000">
      <autoFilter ref="A1">
        <filterColumn colId="0">
          <customFilters>
            <customFilter operator="greaterThan" val="20000"/>
          </customFilters>
        </filterColumn>
      </autoFilter>
    </filter>
  </filters>
</pivotTableDefinition>
</file>

<file path=xl/pivotTables/pivotTable71.xml><?xml version="1.0" encoding="utf-8"?>
<pivotTableDefinition xmlns="http://schemas.openxmlformats.org/spreadsheetml/2006/main" name="HOG wChanges 5" cacheId="46" dataCaption="" compact="0" compactData="0">
  <location ref="BY47:BY48" firstHeaderRow="0" firstDataRow="0" firstDataCol="0"/>
  <pivotFields>
    <pivotField name="Machine Start. Cost" dataField="1" compact="0" outline="0" multipleItemSelectionAllowed="1" showAll="0">
      <items>
        <item x="0"/>
        <item x="1"/>
        <item t="default"/>
      </items>
    </pivotField>
  </pivotFields>
  <dataFields>
    <dataField name="MAX Start Cost" fld="0" subtotal="max" baseField="0"/>
  </dataFields>
</pivotTableDefinition>
</file>

<file path=xl/pivotTables/pivotTable72.xml><?xml version="1.0" encoding="utf-8"?>
<pivotTableDefinition xmlns="http://schemas.openxmlformats.org/spreadsheetml/2006/main" name="HOG wChanges 6" cacheId="47" dataCaption="" compact="0" compactData="0">
  <location ref="CC47:CC48" firstHeaderRow="0" firstDataRow="0" firstDataCol="0"/>
  <pivotFields>
    <pivotField name="OC Machine Start. Cost" dataField="1" compact="0" outline="0" multipleItemSelectionAllowed="1" showAll="0">
      <items>
        <item x="0"/>
        <item x="1"/>
        <item t="default"/>
      </items>
    </pivotField>
  </pivotFields>
  <dataFields>
    <dataField name="MAX OC Start Cost" fld="0" subtotal="max" baseField="0"/>
  </dataFields>
</pivotTableDefinition>
</file>

<file path=xl/pivotTables/pivotTable73.xml><?xml version="1.0" encoding="utf-8"?>
<pivotTableDefinition xmlns="http://schemas.openxmlformats.org/spreadsheetml/2006/main" name="HOG wChanges 7" cacheId="48" dataCaption="" compact="0" compactData="0">
  <location ref="BO70:BO71" firstHeaderRow="0" firstDataRow="0" firstDataCol="0"/>
  <pivotFields>
    <pivotField name="Time (t)" dataField="1" compact="0" outline="0" multipleItemSelectionAllowed="1" showAll="0">
      <items>
        <item x="0"/>
        <item x="1"/>
        <item x="2"/>
        <item x="3"/>
        <item x="4"/>
        <item x="5"/>
        <item x="6"/>
        <item x="7"/>
        <item x="8"/>
        <item x="9"/>
        <item x="10"/>
        <item x="11"/>
        <item x="12"/>
        <item x="13"/>
        <item x="14"/>
        <item x="15"/>
        <item x="16"/>
        <item x="17"/>
        <item x="18"/>
        <item t="default"/>
      </items>
    </pivotField>
  </pivotFields>
  <dataFields>
    <dataField name="MAXTime" fld="0" subtotal="max" baseField="0"/>
  </dataFields>
</pivotTableDefinition>
</file>

<file path=xl/pivotTables/pivotTable74.xml><?xml version="1.0" encoding="utf-8"?>
<pivotTableDefinition xmlns="http://schemas.openxmlformats.org/spreadsheetml/2006/main" name="HOG wChanges 8" cacheId="49" dataCaption="" compact="0" compactData="0">
  <location ref="BP70:BP71"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x="15"/>
        <item x="16"/>
        <item x="17"/>
        <item t="default"/>
      </items>
    </pivotField>
  </pivotFields>
  <dataFields>
    <dataField name="MAXTimeOC" fld="0" subtotal="max" baseField="0"/>
  </dataFields>
</pivotTableDefinition>
</file>

<file path=xl/pivotTables/pivotTable75.xml><?xml version="1.0" encoding="utf-8"?>
<pivotTableDefinition xmlns="http://schemas.openxmlformats.org/spreadsheetml/2006/main" name="Nitrobenzene" cacheId="50" dataCaption="" rowGrandTotals="0" compact="0" compactData="0">
  <location ref="BM5:BN23" firstHeaderRow="0" firstDataRow="1" firstDataCol="0"/>
  <pivotFields>
    <pivotField name="Inputs" axis="axisRow" compact="0" outline="0" multipleItemSelectionAllowed="1" showAll="0" sortType="ascending">
      <items>
        <item x="0"/>
        <item x="13"/>
        <item x="6"/>
        <item x="17"/>
        <item x="8"/>
        <item x="3"/>
        <item x="14"/>
        <item x="11"/>
        <item x="5"/>
        <item x="10"/>
        <item x="18"/>
        <item x="2"/>
        <item x="7"/>
        <item x="15"/>
        <item x="9"/>
        <item x="16"/>
        <item x="12"/>
        <item x="1"/>
        <item x="4"/>
        <item t="default"/>
      </items>
    </pivotField>
    <pivotField name="Input(L)" dataField="1" compact="0" outline="0" multipleItemSelectionAllowed="1" showAll="0">
      <items>
        <item x="0"/>
        <item x="1"/>
        <item x="2"/>
        <item x="3"/>
        <item x="4"/>
        <item x="5"/>
        <item x="6"/>
        <item x="7"/>
        <item x="8"/>
        <item x="9"/>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t="default"/>
      </items>
    </pivotField>
    <pivotField name="Output(L)" compact="0" outline="0" multipleItemSelectionAllowed="1" showAll="0">
      <items>
        <item x="0"/>
        <item x="1"/>
        <item x="2"/>
        <item x="3"/>
        <item x="4"/>
        <item x="5"/>
        <item x="6"/>
        <item x="7"/>
        <item x="8"/>
        <item x="9"/>
        <item x="10"/>
        <item t="default"/>
      </items>
    </pivotField>
  </pivotFields>
  <rowFields>
    <field x="0"/>
  </rowFields>
  <dataFields>
    <dataField name="Input(L)" fld="1" baseField="0"/>
  </dataFields>
</pivotTableDefinition>
</file>

<file path=xl/pivotTables/pivotTable76.xml><?xml version="1.0" encoding="utf-8"?>
<pivotTableDefinition xmlns="http://schemas.openxmlformats.org/spreadsheetml/2006/main" name="Nitrobenzene 2" cacheId="50" dataCaption="" rowGrandTotals="0" compact="0" compactData="0">
  <location ref="BP5:BQ23"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t="default"/>
      </items>
    </pivotField>
    <pivotField name="Input(L)" compact="0" outline="0" multipleItemSelectionAllowed="1" showAll="0">
      <items>
        <item x="0"/>
        <item x="1"/>
        <item x="2"/>
        <item x="3"/>
        <item x="4"/>
        <item x="5"/>
        <item x="6"/>
        <item x="7"/>
        <item x="8"/>
        <item x="9"/>
        <item t="default"/>
      </items>
    </pivotField>
    <pivotField name="Outputs" axis="axisRow" compact="0" outline="0" multipleItemSelectionAllowed="1" showAll="0" sortType="ascending">
      <items>
        <item x="0"/>
        <item x="9"/>
        <item x="10"/>
        <item x="4"/>
        <item x="7"/>
        <item x="2"/>
        <item x="5"/>
        <item x="15"/>
        <item x="17"/>
        <item x="11"/>
        <item x="13"/>
        <item x="16"/>
        <item x="18"/>
        <item x="6"/>
        <item x="14"/>
        <item x="8"/>
        <item x="12"/>
        <item x="1"/>
        <item x="3"/>
        <item t="default"/>
      </items>
    </pivotField>
    <pivotField name="Output(L)" dataField="1" compact="0" outline="0" multipleItemSelectionAllowed="1" showAll="0">
      <items>
        <item x="0"/>
        <item x="1"/>
        <item x="2"/>
        <item x="3"/>
        <item x="4"/>
        <item x="5"/>
        <item x="6"/>
        <item x="7"/>
        <item x="8"/>
        <item x="9"/>
        <item x="10"/>
        <item t="default"/>
      </items>
    </pivotField>
  </pivotFields>
  <rowFields>
    <field x="2"/>
  </rowFields>
  <dataFields>
    <dataField name="Output(L)" fld="3" baseField="0"/>
  </dataFields>
</pivotTableDefinition>
</file>

<file path=xl/pivotTables/pivotTable77.xml><?xml version="1.0" encoding="utf-8"?>
<pivotTableDefinition xmlns="http://schemas.openxmlformats.org/spreadsheetml/2006/main" name="Nitrobenzene 3" cacheId="51" dataCaption="" rowGrandTotals="0" createdVersion="6" compact="0" compactData="0">
  <location ref="BY5:BZ9"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Amount Produced" axis="axisPage" dataField="1" compact="0" outline="0" multipleItemSelectionAllowed="1" showAll="0">
      <items>
        <item x="0"/>
        <item x="1"/>
        <item x="2"/>
        <item x="3"/>
        <item x="4"/>
        <item x="5"/>
        <item x="6"/>
        <item x="7"/>
        <item x="8"/>
        <item x="9"/>
        <item x="10"/>
        <item x="11"/>
        <item x="12"/>
        <item t="default"/>
      </items>
    </pivotField>
  </pivotFields>
  <rowFields>
    <field x="0"/>
  </rowFields>
  <pageFields>
    <pageField fld="1"/>
  </pageFields>
  <dataFields>
    <dataField name="Amount Produced" fld="1" baseField="0"/>
  </dataFields>
  <filters>
    <filter fld="1" type="captionLessThan" evalOrder="-1" id="1" stringValue1="-10000">
      <autoFilter ref="A1">
        <filterColumn colId="0">
          <customFilters>
            <customFilter operator="lessThan" val="-10000"/>
          </customFilters>
        </filterColumn>
      </autoFilter>
    </filter>
  </filters>
</pivotTableDefinition>
</file>

<file path=xl/pivotTables/pivotTable78.xml><?xml version="1.0" encoding="utf-8"?>
<pivotTableDefinition xmlns="http://schemas.openxmlformats.org/spreadsheetml/2006/main" name="Nitrobenzene 4" cacheId="51" dataCaption="" rowGrandTotals="0" createdVersion="6" compact="0" compactData="0">
  <location ref="BY13:BZ19" firstHeaderRow="0" firstDataRow="1" firstDataCol="0" rowPageCount="1" colPageCount="1"/>
  <pivotFields>
    <pivotField name="Outputs"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Amount Produced" axis="axisPage" dataField="1" compact="0" outline="0" multipleItemSelectionAllowed="1" showAll="0">
      <items>
        <item x="0"/>
        <item x="1"/>
        <item x="2"/>
        <item x="3"/>
        <item x="4"/>
        <item x="5"/>
        <item x="6"/>
        <item x="7"/>
        <item x="8"/>
        <item x="9"/>
        <item x="10"/>
        <item x="11"/>
        <item x="12"/>
        <item t="default"/>
      </items>
    </pivotField>
  </pivotFields>
  <rowFields>
    <field x="0"/>
  </rowFields>
  <pageFields>
    <pageField fld="1"/>
  </pageFields>
  <dataFields>
    <dataField name="Amount Produced" fld="1" baseField="0"/>
  </dataFields>
  <filters>
    <filter fld="1" type="captionGreaterThan" evalOrder="-1" id="1" stringValue1="10000">
      <autoFilter ref="A1">
        <filterColumn colId="0">
          <customFilters>
            <customFilter operator="greaterThan" val="10000"/>
          </customFilters>
        </filterColumn>
      </autoFilter>
    </filter>
  </filters>
</pivotTableDefinition>
</file>

<file path=xl/pivotTables/pivotTable79.xml><?xml version="1.0" encoding="utf-8"?>
<pivotTableDefinition xmlns="http://schemas.openxmlformats.org/spreadsheetml/2006/main" name="Nitrobenzene 5" cacheId="52" dataCaption="" compact="0" compactData="0">
  <location ref="CA29:CA30" firstHeaderRow="0" firstDataRow="0" firstDataCol="0"/>
  <pivotFields>
    <pivotField name="Machine Start. Cost" dataField="1" compact="0" outline="0" multipleItemSelectionAllowed="1" showAll="0">
      <items>
        <item x="0"/>
        <item x="1"/>
        <item x="2"/>
        <item t="default"/>
      </items>
    </pivotField>
  </pivotFields>
  <dataFields>
    <dataField name="MAX Start Cost" fld="0" subtotal="max" baseField="0"/>
  </dataFields>
</pivotTableDefinition>
</file>

<file path=xl/pivotTables/pivotTable80.xml><?xml version="1.0" encoding="utf-8"?>
<pivotTableDefinition xmlns="http://schemas.openxmlformats.org/spreadsheetml/2006/main" name="Nitrobenzene 6" cacheId="53" dataCaption="" compact="0" compactData="0">
  <location ref="CE29:CE30" firstHeaderRow="0" firstDataRow="0" firstDataCol="0"/>
  <pivotFields>
    <pivotField name="OC Machine Start. Cost" dataField="1" compact="0" outline="0" multipleItemSelectionAllowed="1" showAll="0">
      <items>
        <item x="0"/>
        <item x="1"/>
        <item t="default"/>
      </items>
    </pivotField>
  </pivotFields>
  <dataFields>
    <dataField name="MAX OC Start Cost" fld="0" subtotal="max" baseField="0"/>
  </dataFields>
</pivotTableDefinition>
</file>

<file path=xl/pivotTables/pivotTable81.xml><?xml version="1.0" encoding="utf-8"?>
<pivotTableDefinition xmlns="http://schemas.openxmlformats.org/spreadsheetml/2006/main" name="Nitrobenzene 7" cacheId="54" dataCaption="" compact="0" compactData="0">
  <location ref="BQ34:BQ35" firstHeaderRow="0" firstDataRow="0" firstDataCol="0"/>
  <pivotFields>
    <pivotField name="Time (t)" dataField="1" compact="0" outline="0" multipleItemSelectionAllowed="1" showAll="0">
      <items>
        <item x="0"/>
        <item x="1"/>
        <item x="2"/>
        <item x="3"/>
        <item x="4"/>
        <item x="5"/>
        <item t="default"/>
      </items>
    </pivotField>
  </pivotFields>
  <dataFields>
    <dataField name="MAXTime" fld="0" subtotal="max" baseField="0"/>
  </dataFields>
</pivotTableDefinition>
</file>

<file path=xl/pivotTables/pivotTable82.xml><?xml version="1.0" encoding="utf-8"?>
<pivotTableDefinition xmlns="http://schemas.openxmlformats.org/spreadsheetml/2006/main" name="Nitrobenzene 8" cacheId="55" dataCaption="" compact="0" compactData="0">
  <location ref="BR34:BR35" firstHeaderRow="0" firstDataRow="0" firstDataCol="0"/>
  <pivotFields>
    <pivotField name="OC Time (t)" dataField="1" compact="0" outline="0" multipleItemSelectionAllowed="1" showAll="0">
      <items>
        <item x="0"/>
        <item x="1"/>
        <item x="2"/>
        <item x="3"/>
        <item x="4"/>
        <item x="5"/>
        <item x="6"/>
        <item t="default"/>
      </items>
    </pivotField>
  </pivotFields>
  <dataFields>
    <dataField name="MAXTimeOC" fld="0" subtotal="max" baseField="0"/>
  </dataFields>
</pivotTableDefinition>
</file>

<file path=xl/pivotTables/pivotTable83.xml><?xml version="1.0" encoding="utf-8"?>
<pivotTableDefinition xmlns="http://schemas.openxmlformats.org/spreadsheetml/2006/main" name="LFTR" cacheId="56" dataCaption="" rowGrandTotals="0" compact="0" compactData="0">
  <location ref="BM5:BN40" firstHeaderRow="0" firstDataRow="1" firstDataCol="0"/>
  <pivotFields>
    <pivotField name="Inputs" axis="axisRow" compact="0" outline="0" multipleItemSelectionAllowed="1" showAll="0" sortType="ascending">
      <items>
        <item x="0"/>
        <item x="8"/>
        <item x="10"/>
        <item x="11"/>
        <item x="1"/>
        <item x="17"/>
        <item x="26"/>
        <item x="9"/>
        <item x="4"/>
        <item x="20"/>
        <item x="23"/>
        <item x="5"/>
        <item x="31"/>
        <item x="7"/>
        <item x="2"/>
        <item x="6"/>
        <item x="29"/>
        <item x="12"/>
        <item x="25"/>
        <item x="16"/>
        <item x="15"/>
        <item x="18"/>
        <item x="30"/>
        <item x="13"/>
        <item x="3"/>
        <item x="32"/>
        <item x="33"/>
        <item x="34"/>
        <item x="35"/>
        <item x="28"/>
        <item x="14"/>
        <item x="19"/>
        <item x="21"/>
        <item x="22"/>
        <item x="24"/>
        <item x="27"/>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0"/>
  </rowFields>
  <dataFields>
    <dataField name="Input(L)" fld="1" baseField="0"/>
  </dataFields>
</pivotTableDefinition>
</file>

<file path=xl/pivotTables/pivotTable84.xml><?xml version="1.0" encoding="utf-8"?>
<pivotTableDefinition xmlns="http://schemas.openxmlformats.org/spreadsheetml/2006/main" name="LFTR 2" cacheId="56" dataCaption="" rowGrandTotals="0" compact="0" compactData="0">
  <location ref="BP5:BQ41"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utputs" axis="axisRow" compact="0" outline="0" multipleItemSelectionAllowed="1" showAll="0" sortType="ascending">
      <items>
        <item x="0"/>
        <item x="9"/>
        <item x="5"/>
        <item x="6"/>
        <item x="29"/>
        <item x="8"/>
        <item x="23"/>
        <item x="2"/>
        <item x="1"/>
        <item x="31"/>
        <item x="18"/>
        <item x="30"/>
        <item x="20"/>
        <item x="3"/>
        <item x="32"/>
        <item x="4"/>
        <item x="24"/>
        <item x="33"/>
        <item x="13"/>
        <item x="22"/>
        <item x="12"/>
        <item x="11"/>
        <item x="14"/>
        <item x="15"/>
        <item x="10"/>
        <item x="34"/>
        <item x="26"/>
        <item x="25"/>
        <item x="27"/>
        <item x="28"/>
        <item x="36"/>
        <item x="7"/>
        <item x="35"/>
        <item x="16"/>
        <item x="17"/>
        <item x="19"/>
        <item x="21"/>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2"/>
  </rowFields>
  <dataFields>
    <dataField name="Output(L)" fld="3" baseField="0"/>
  </dataFields>
</pivotTableDefinition>
</file>

<file path=xl/pivotTables/pivotTable85.xml><?xml version="1.0" encoding="utf-8"?>
<pivotTableDefinition xmlns="http://schemas.openxmlformats.org/spreadsheetml/2006/main" name="LFTR 3" cacheId="57" dataCaption="" rowGrandTotals="0" createdVersion="6" compact="0" compactData="0">
  <location ref="BZ5:BZ10"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mount Produced" axis="axisPag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0"/>
  </rowFields>
  <pageFields>
    <pageField fld="1"/>
  </pageFields>
  <dataFields>
    <dataField name="Amount Produced" fld="1" baseField="0"/>
  </dataFields>
  <filters>
    <filter fld="1" type="captionLessThan" evalOrder="-1" id="1" stringValue1="-10000">
      <autoFilter ref="A1">
        <filterColumn colId="0">
          <customFilters>
            <customFilter operator="lessThan" val="-10000"/>
          </customFilters>
        </filterColumn>
      </autoFilter>
    </filter>
  </filters>
</pivotTableDefinition>
</file>

<file path=xl/pivotTables/pivotTable86.xml><?xml version="1.0" encoding="utf-8"?>
<pivotTableDefinition xmlns="http://schemas.openxmlformats.org/spreadsheetml/2006/main" name="LFTR 4" cacheId="57" dataCaption="" rowGrandTotals="0" createdVersion="6" compact="0" compactData="0">
  <location ref="BY11:BZ15" firstHeaderRow="0" firstDataRow="1" firstDataCol="0" rowPageCount="1" colPageCount="1"/>
  <pivotFields>
    <pivotField name="Out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Amount Produced" axis="axisPag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0"/>
  </rowFields>
  <pageFields>
    <pageField fld="1"/>
  </pageFields>
  <dataFields>
    <dataField name="Amount Produced" fld="1" baseField="0"/>
  </dataFields>
  <filters>
    <filter fld="1" type="captionGreaterThan" evalOrder="-1" id="1" stringValue1="10000">
      <autoFilter ref="A1">
        <filterColumn colId="0">
          <customFilters>
            <customFilter operator="greaterThan" val="10000"/>
          </customFilters>
        </filterColumn>
      </autoFilter>
    </filter>
  </filters>
</pivotTableDefinition>
</file>

<file path=xl/pivotTables/pivotTable87.xml><?xml version="1.0" encoding="utf-8"?>
<pivotTableDefinition xmlns="http://schemas.openxmlformats.org/spreadsheetml/2006/main" name="LFTR 5" cacheId="58" dataCaption="" compact="0" compactData="0">
  <location ref="BQ67:BQ68" firstHeaderRow="0" firstDataRow="0" firstDataCol="0"/>
  <pivotFields>
    <pivotField name="Time (t)"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dataFields>
    <dataField name="MAXTime" fld="0" subtotal="max" baseField="0"/>
  </dataFields>
</pivotTableDefinition>
</file>

<file path=xl/pivotTables/pivotTable88.xml><?xml version="1.0" encoding="utf-8"?>
<pivotTableDefinition xmlns="http://schemas.openxmlformats.org/spreadsheetml/2006/main" name="LFTR 6" cacheId="59" dataCaption="" compact="0" compactData="0">
  <location ref="BR67:BR68"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MAXTimeOC" fld="0" subtotal="max" baseField="0"/>
  </dataFields>
</pivotTableDefinition>
</file>

<file path=xl/pivotTables/pivotTable89.xml><?xml version="1.0" encoding="utf-8"?>
<pivotTableDefinition xmlns="http://schemas.openxmlformats.org/spreadsheetml/2006/main" name="LFTR 7" cacheId="60" dataCaption="" compact="0" compactData="0">
  <location ref="CA67:CA68" firstHeaderRow="0" firstDataRow="0" firstDataCol="0"/>
  <pivotFields>
    <pivotField name="Machine Start. Cost" dataField="1" compact="0" outline="0" multipleItemSelectionAllowed="1" showAll="0">
      <items>
        <item x="0"/>
        <item x="1"/>
        <item x="2"/>
        <item x="3"/>
        <item t="default"/>
      </items>
    </pivotField>
  </pivotFields>
  <dataFields>
    <dataField name="MAX Start Cost" fld="0" subtotal="max" baseField="0"/>
  </dataFields>
</pivotTableDefinition>
</file>

<file path=xl/pivotTables/pivotTable90.xml><?xml version="1.0" encoding="utf-8"?>
<pivotTableDefinition xmlns="http://schemas.openxmlformats.org/spreadsheetml/2006/main" name="LFTR 8" cacheId="61" dataCaption="" compact="0" compactData="0">
  <location ref="CE67:CE68" firstHeaderRow="0" firstDataRow="0" firstDataCol="0"/>
  <pivotFields>
    <pivotField name="OC Machine Start. Cost" dataField="1" compact="0" outline="0" multipleItemSelectionAllowed="1" showAll="0">
      <items>
        <item x="0"/>
        <item t="default"/>
      </items>
    </pivotField>
  </pivotFields>
  <dataFields>
    <dataField name="MAX OC Start Cost" fld="0" subtotal="max" baseField="0"/>
  </dataFields>
</pivotTableDefinition>
</file>

<file path=xl/pivotTables/pivotTable91.xml><?xml version="1.0" encoding="utf-8"?>
<pivotTableDefinition xmlns="http://schemas.openxmlformats.org/spreadsheetml/2006/main" name="LFTR 9" cacheId="62" dataCaption="" rowGrandTotals="0" compact="0" compactData="0">
  <location ref="BM135:BN184" firstHeaderRow="0" firstDataRow="1" firstDataCol="0"/>
  <pivotFields>
    <pivotField name="Inputs" axis="axisRow" compact="0" outline="0" multipleItemSelectionAllowed="1" showAll="0" sortType="ascending">
      <items>
        <item x="0"/>
        <item x="30"/>
        <item x="32"/>
        <item x="33"/>
        <item x="27"/>
        <item x="39"/>
        <item x="41"/>
        <item x="31"/>
        <item x="29"/>
        <item x="22"/>
        <item x="25"/>
        <item x="15"/>
        <item x="6"/>
        <item x="49"/>
        <item x="17"/>
        <item x="16"/>
        <item x="18"/>
        <item x="12"/>
        <item x="3"/>
        <item x="1"/>
        <item x="34"/>
        <item x="38"/>
        <item x="42"/>
        <item x="37"/>
        <item x="36"/>
        <item x="40"/>
        <item x="4"/>
        <item x="35"/>
        <item x="28"/>
        <item x="48"/>
        <item x="7"/>
        <item x="47"/>
        <item x="9"/>
        <item x="13"/>
        <item x="8"/>
        <item x="11"/>
        <item x="20"/>
        <item x="14"/>
        <item x="5"/>
        <item x="19"/>
        <item x="43"/>
        <item x="45"/>
        <item x="46"/>
        <item x="44"/>
        <item x="10"/>
        <item x="21"/>
        <item x="23"/>
        <item x="24"/>
        <item x="26"/>
        <item x="2"/>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0"/>
  </rowFields>
  <dataFields>
    <dataField name="Input(L)" fld="1" baseField="0"/>
  </dataFields>
</pivotTableDefinition>
</file>

<file path=xl/pivotTables/pivotTable92.xml><?xml version="1.0" encoding="utf-8"?>
<pivotTableDefinition xmlns="http://schemas.openxmlformats.org/spreadsheetml/2006/main" name="LFTR 10" cacheId="62" dataCaption="" rowGrandTotals="0" compact="0" compactData="0">
  <location ref="BP135:BQ184"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utputs" axis="axisRow" compact="0" outline="0" multipleItemSelectionAllowed="1" showAll="0" sortType="ascending">
      <items>
        <item x="0"/>
        <item x="35"/>
        <item x="32"/>
        <item x="33"/>
        <item x="43"/>
        <item x="34"/>
        <item x="17"/>
        <item x="31"/>
        <item x="30"/>
        <item x="44"/>
        <item x="26"/>
        <item x="15"/>
        <item x="9"/>
        <item x="28"/>
        <item x="20"/>
        <item x="12"/>
        <item x="7"/>
        <item x="21"/>
        <item x="1"/>
        <item x="23"/>
        <item x="45"/>
        <item x="39"/>
        <item x="16"/>
        <item x="38"/>
        <item x="37"/>
        <item x="40"/>
        <item x="41"/>
        <item x="36"/>
        <item x="46"/>
        <item x="10"/>
        <item x="6"/>
        <item x="18"/>
        <item x="48"/>
        <item x="13"/>
        <item x="8"/>
        <item x="11"/>
        <item x="22"/>
        <item x="3"/>
        <item x="2"/>
        <item x="4"/>
        <item x="42"/>
        <item x="19"/>
        <item x="5"/>
        <item x="49"/>
        <item x="14"/>
        <item x="47"/>
        <item x="24"/>
        <item x="25"/>
        <item x="27"/>
        <item x="29"/>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2"/>
  </rowFields>
  <dataFields>
    <dataField name="Output(L)" fld="3" baseField="0"/>
  </dataFields>
</pivotTableDefinition>
</file>

<file path=xl/pivotTables/pivotTable93.xml><?xml version="1.0" encoding="utf-8"?>
<pivotTableDefinition xmlns="http://schemas.openxmlformats.org/spreadsheetml/2006/main" name="LFTR 11" cacheId="63" dataCaption="" rowGrandTotals="0" createdVersion="6" compact="0" compactData="0">
  <location ref="BY135:BZ138" firstHeaderRow="0" firstDataRow="1" firstDataCol="0" rowPageCount="1" colPageCount="1"/>
  <pivotFields>
    <pivotField name="Inputs" axis="axisRow" compact="0" numFmtId="1"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Amount Produced" axis="axisPag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0"/>
  </rowFields>
  <pageFields>
    <pageField fld="1"/>
  </pageFields>
  <dataFields>
    <dataField name="Amount Produced" fld="1" baseField="0"/>
  </dataFields>
  <filters>
    <filter fld="1" type="captionLessThan" evalOrder="-1" id="1" stringValue1="-10000">
      <autoFilter ref="A1">
        <filterColumn colId="0">
          <customFilters>
            <customFilter operator="lessThan" val="-10000"/>
          </customFilters>
        </filterColumn>
      </autoFilter>
    </filter>
  </filters>
</pivotTableDefinition>
</file>

<file path=xl/pivotTables/pivotTable94.xml><?xml version="1.0" encoding="utf-8"?>
<pivotTableDefinition xmlns="http://schemas.openxmlformats.org/spreadsheetml/2006/main" name="LFTR 12" cacheId="63" dataCaption="" rowGrandTotals="0" createdVersion="6" compact="0" compactData="0">
  <location ref="BY142:BZ146" firstHeaderRow="0" firstDataRow="1" firstDataCol="0" rowPageCount="1" colPageCount="1"/>
  <pivotFields>
    <pivotField name="Outputs" axis="axisRow" compact="0" numFmtId="1"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Amount Produced" axis="axisPag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field x="0"/>
  </rowFields>
  <pageFields>
    <pageField fld="1"/>
  </pageFields>
  <dataFields>
    <dataField name="Amount Produced" fld="1" baseField="0"/>
  </dataFields>
  <filters>
    <filter fld="1" type="captionGreaterThan" evalOrder="-1" id="1" stringValue1="10000">
      <autoFilter ref="A1">
        <filterColumn colId="0">
          <customFilters>
            <customFilter operator="greaterThan" val="10000"/>
          </customFilters>
        </filterColumn>
      </autoFilter>
    </filter>
  </filters>
</pivotTableDefinition>
</file>

<file path=xl/pivotTables/pivotTable95.xml><?xml version="1.0" encoding="utf-8"?>
<pivotTableDefinition xmlns="http://schemas.openxmlformats.org/spreadsheetml/2006/main" name="LFTR 13" cacheId="64" dataCaption="" compact="0" compactData="0">
  <location ref="CA187:CA188" firstHeaderRow="0" firstDataRow="0" firstDataCol="0"/>
  <pivotFields>
    <pivotField name="Machine Start. Cost" dataField="1" compact="0" outline="0" multipleItemSelectionAllowed="1" showAll="0">
      <items>
        <item x="0"/>
        <item x="1"/>
        <item x="2"/>
        <item x="3"/>
        <item x="4"/>
        <item t="default"/>
      </items>
    </pivotField>
  </pivotFields>
  <dataFields>
    <dataField name="MAX Start Cost" fld="0" subtotal="max" baseField="0"/>
  </dataFields>
</pivotTableDefinition>
</file>

<file path=xl/pivotTables/pivotTable96.xml><?xml version="1.0" encoding="utf-8"?>
<pivotTableDefinition xmlns="http://schemas.openxmlformats.org/spreadsheetml/2006/main" name="LFTR 14" cacheId="65" dataCaption="" compact="0" compactData="0">
  <location ref="CE187:CE188" firstHeaderRow="0" firstDataRow="0" firstDataCol="0"/>
  <pivotFields>
    <pivotField name="OC Machine Start. Cost" dataField="1" compact="0" outline="0" multipleItemSelectionAllowed="1" showAll="0">
      <items>
        <item x="0"/>
        <item t="default"/>
      </items>
    </pivotField>
  </pivotFields>
  <dataFields>
    <dataField name="MAX OC Start Cost" fld="0" subtotal="max" baseField="0"/>
  </dataFields>
</pivotTableDefinition>
</file>

<file path=xl/pivotTables/pivotTable97.xml><?xml version="1.0" encoding="utf-8"?>
<pivotTableDefinition xmlns="http://schemas.openxmlformats.org/spreadsheetml/2006/main" name="LFTR 15" cacheId="66" dataCaption="" compact="0" compactData="0">
  <location ref="BQ223:BQ224" firstHeaderRow="0" firstDataRow="0" firstDataCol="0"/>
  <pivotFields>
    <pivotField name="Time (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dataFields>
    <dataField name="MAXTime" fld="0" subtotal="max" baseField="0"/>
  </dataFields>
</pivotTableDefinition>
</file>

<file path=xl/pivotTables/pivotTable98.xml><?xml version="1.0" encoding="utf-8"?>
<pivotTableDefinition xmlns="http://schemas.openxmlformats.org/spreadsheetml/2006/main" name="LFTR 16" cacheId="67" dataCaption="" compact="0" compactData="0">
  <location ref="BR223:BR224"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dataFields>
    <dataField name="MAXTimeOC" fld="0" subtotal="max" baseField="0"/>
  </dataFields>
</pivotTableDefinition>
</file>

<file path=xl/pivotTables/pivotTable99.xml><?xml version="1.0" encoding="utf-8"?>
<pivotTableDefinition xmlns="http://schemas.openxmlformats.org/spreadsheetml/2006/main" name="LFTR 17" cacheId="68" dataCaption="" rowGrandTotals="0" compact="0" compactData="0">
  <location ref="BM319:BN359" firstHeaderRow="0" firstDataRow="1" firstDataCol="0"/>
  <pivotFields>
    <pivotField name="Inputs" axis="axisRow" compact="0" outline="0" multipleItemSelectionAllowed="1" showAll="0" sortType="ascending">
      <items>
        <item x="0"/>
        <item x="34"/>
        <item x="27"/>
        <item x="24"/>
        <item x="18"/>
        <item x="8"/>
        <item x="6"/>
        <item x="20"/>
        <item x="19"/>
        <item x="21"/>
        <item x="15"/>
        <item x="35"/>
        <item x="3"/>
        <item x="1"/>
        <item x="26"/>
        <item x="25"/>
        <item x="28"/>
        <item x="4"/>
        <item x="33"/>
        <item x="29"/>
        <item x="40"/>
        <item x="10"/>
        <item x="37"/>
        <item x="36"/>
        <item x="31"/>
        <item x="12"/>
        <item x="16"/>
        <item x="11"/>
        <item x="14"/>
        <item x="17"/>
        <item x="9"/>
        <item x="23"/>
        <item x="30"/>
        <item x="2"/>
        <item x="7"/>
        <item x="5"/>
        <item x="22"/>
        <item x="39"/>
        <item x="38"/>
        <item x="13"/>
        <item x="32"/>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0"/>
  </rowFields>
  <dataFields>
    <dataField name="Input(L)" fld="1" baseField="0"/>
  </dataFields>
</pivotTableDefinition>
</file>

<file path=xl/pivotTables/pivotTable100.xml><?xml version="1.0" encoding="utf-8"?>
<pivotTableDefinition xmlns="http://schemas.openxmlformats.org/spreadsheetml/2006/main" name="LFTR 18" cacheId="68" dataCaption="" rowGrandTotals="0" compact="0" compactData="0">
  <location ref="BP319:BQ359"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utputs" axis="axisRow" compact="0" outline="0" multipleItemSelectionAllowed="1" showAll="0" sortType="ascending">
      <items>
        <item x="0"/>
        <item x="10"/>
        <item x="36"/>
        <item x="29"/>
        <item x="28"/>
        <item x="14"/>
        <item x="7"/>
        <item x="32"/>
        <item x="25"/>
        <item x="21"/>
        <item x="33"/>
        <item x="11"/>
        <item x="1"/>
        <item x="35"/>
        <item x="37"/>
        <item x="15"/>
        <item x="38"/>
        <item x="39"/>
        <item x="9"/>
        <item x="16"/>
        <item x="23"/>
        <item x="20"/>
        <item x="30"/>
        <item x="12"/>
        <item x="18"/>
        <item x="40"/>
        <item x="26"/>
        <item x="22"/>
        <item x="24"/>
        <item x="13"/>
        <item x="6"/>
        <item x="34"/>
        <item x="17"/>
        <item x="19"/>
        <item x="3"/>
        <item x="2"/>
        <item x="4"/>
        <item x="31"/>
        <item x="5"/>
        <item x="27"/>
        <item x="8"/>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2"/>
  </rowFields>
  <dataFields>
    <dataField name="Output(L)" fld="3" baseField="0"/>
  </dataFields>
</pivotTableDefinition>
</file>

<file path=xl/pivotTables/pivotTable101.xml><?xml version="1.0" encoding="utf-8"?>
<pivotTableDefinition xmlns="http://schemas.openxmlformats.org/spreadsheetml/2006/main" name="LFTR 19" cacheId="69" dataCaption="" rowGrandTotals="0" createdVersion="6" compact="0" compactData="0">
  <location ref="BY319:BZ321"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pageFields>
    <pageField fld="1"/>
  </pageFields>
  <dataFields>
    <dataField name="Amount Produced" fld="1" baseField="0"/>
  </dataFields>
  <filters>
    <filter fld="1" type="captionLessThan" evalOrder="-1" id="1" stringValue1="-10000">
      <autoFilter ref="A1">
        <filterColumn colId="0">
          <customFilters>
            <customFilter operator="lessThan" val="-10000"/>
          </customFilters>
        </filterColumn>
      </autoFilter>
    </filter>
  </filters>
</pivotTableDefinition>
</file>

<file path=xl/pivotTables/pivotTable102.xml><?xml version="1.0" encoding="utf-8"?>
<pivotTableDefinition xmlns="http://schemas.openxmlformats.org/spreadsheetml/2006/main" name="LFTR 20" cacheId="69" dataCaption="" rowGrandTotals="0" createdVersion="6" compact="0" compactData="0">
  <location ref="BY326:BZ327" firstHeaderRow="0" firstDataRow="1" firstDataCol="0" rowPageCount="1" colPageCount="1"/>
  <pivotFields>
    <pivotField name="Out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Amount Produced" axis="axisPage"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pageFields>
    <pageField fld="1"/>
  </pageFields>
  <dataFields>
    <dataField name="Amount Produced" fld="1" baseField="0"/>
  </dataFields>
  <filters>
    <filter fld="1" type="captionGreaterThan" evalOrder="-1" id="1" stringValue1="10000">
      <autoFilter ref="A1">
        <filterColumn colId="0">
          <customFilters>
            <customFilter operator="greaterThan" val="10000"/>
          </customFilters>
        </filterColumn>
      </autoFilter>
    </filter>
  </filters>
</pivotTableDefinition>
</file>

<file path=xl/pivotTables/pivotTable103.xml><?xml version="1.0" encoding="utf-8"?>
<pivotTableDefinition xmlns="http://schemas.openxmlformats.org/spreadsheetml/2006/main" name="LFTR 21" cacheId="70" dataCaption="" compact="0" compactData="0">
  <location ref="CA352:CA353" firstHeaderRow="0" firstDataRow="0" firstDataCol="0"/>
  <pivotFields>
    <pivotField name="Machine Start. Cost" dataField="1" compact="0" outline="0" multipleItemSelectionAllowed="1" showAll="0">
      <items>
        <item x="0"/>
        <item x="1"/>
        <item x="2"/>
        <item x="3"/>
        <item x="4"/>
        <item t="default"/>
      </items>
    </pivotField>
  </pivotFields>
  <dataFields>
    <dataField name="MAX Start Cost" fld="0" subtotal="max" baseField="0"/>
  </dataFields>
</pivotTableDefinition>
</file>

<file path=xl/pivotTables/pivotTable104.xml><?xml version="1.0" encoding="utf-8"?>
<pivotTableDefinition xmlns="http://schemas.openxmlformats.org/spreadsheetml/2006/main" name="LFTR 22" cacheId="71" dataCaption="" compact="0" compactData="0">
  <location ref="CE352:CE353" firstHeaderRow="0" firstDataRow="0" firstDataCol="0"/>
  <pivotFields>
    <pivotField name="OC Machine Start. Cost" dataField="1" compact="0" outline="0" multipleItemSelectionAllowed="1" showAll="0">
      <items>
        <item x="0"/>
        <item x="1"/>
        <item t="default"/>
      </items>
    </pivotField>
  </pivotFields>
  <dataFields>
    <dataField name="MAX OC Start Cost" fld="0" subtotal="max" baseField="0"/>
  </dataFields>
</pivotTableDefinition>
</file>

<file path=xl/pivotTables/pivotTable105.xml><?xml version="1.0" encoding="utf-8"?>
<pivotTableDefinition xmlns="http://schemas.openxmlformats.org/spreadsheetml/2006/main" name="LFTR 23" cacheId="72" dataCaption="" compact="0" compactData="0">
  <location ref="BQ382:BQ383" firstHeaderRow="0" firstDataRow="0" firstDataCol="0"/>
  <pivotFields>
    <pivotField name="Time (t)" dataField="1" compact="0" outline="0" multipleItemSelectionAllowed="1" showAll="0">
      <items>
        <item x="0"/>
        <item x="1"/>
        <item x="2"/>
        <item x="3"/>
        <item x="4"/>
        <item x="5"/>
        <item x="6"/>
        <item x="7"/>
        <item x="8"/>
        <item x="9"/>
        <item x="10"/>
        <item x="11"/>
        <item x="12"/>
        <item x="13"/>
        <item x="14"/>
        <item x="15"/>
        <item x="16"/>
        <item t="default"/>
      </items>
    </pivotField>
  </pivotFields>
  <dataFields>
    <dataField name="MAXTime" fld="0" subtotal="max" baseField="0"/>
  </dataFields>
</pivotTableDefinition>
</file>

<file path=xl/pivotTables/pivotTable106.xml><?xml version="1.0" encoding="utf-8"?>
<pivotTableDefinition xmlns="http://schemas.openxmlformats.org/spreadsheetml/2006/main" name="LFTR 24" cacheId="73" dataCaption="" compact="0" compactData="0">
  <location ref="BR382:BR383"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x="15"/>
        <item t="default"/>
      </items>
    </pivotField>
  </pivotFields>
  <dataFields>
    <dataField name="MAXTimeOC" fld="0" subtotal="max" baseField="0"/>
  </dataFields>
</pivotTableDefinition>
</file>

<file path=xl/pivotTables/pivotTable107.xml><?xml version="1.0" encoding="utf-8"?>
<pivotTableDefinition xmlns="http://schemas.openxmlformats.org/spreadsheetml/2006/main" name="Circuits for Assline" cacheId="74" dataCaption="" rowGrandTotals="0" compact="0" compactData="0">
  <location ref="BM5:BN59" firstHeaderRow="0" firstDataRow="1" firstDataCol="0"/>
  <pivotFields>
    <pivotField name="Inputs" axis="axisRow" compact="0" outline="0" multipleItemSelectionAllowed="1" showAll="0" sortType="ascending">
      <items>
        <item x="0"/>
        <item x="25"/>
        <item x="14"/>
        <item x="19"/>
        <item x="16"/>
        <item x="43"/>
        <item x="22"/>
        <item x="34"/>
        <item x="41"/>
        <item x="48"/>
        <item x="50"/>
        <item x="44"/>
        <item x="47"/>
        <item x="45"/>
        <item x="28"/>
        <item x="6"/>
        <item x="30"/>
        <item x="39"/>
        <item x="27"/>
        <item x="20"/>
        <item x="36"/>
        <item x="49"/>
        <item x="32"/>
        <item x="15"/>
        <item x="1"/>
        <item x="3"/>
        <item x="37"/>
        <item x="23"/>
        <item x="29"/>
        <item x="12"/>
        <item x="52"/>
        <item x="31"/>
        <item x="33"/>
        <item x="21"/>
        <item x="26"/>
        <item x="17"/>
        <item x="18"/>
        <item x="2"/>
        <item x="40"/>
        <item x="38"/>
        <item x="8"/>
        <item x="11"/>
        <item x="54"/>
        <item x="42"/>
        <item x="9"/>
        <item x="51"/>
        <item x="35"/>
        <item x="53"/>
        <item x="4"/>
        <item x="13"/>
        <item x="10"/>
        <item x="5"/>
        <item x="7"/>
        <item x="46"/>
        <item x="24"/>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dataFields>
    <dataField name="Input(L)" fld="1" baseField="0"/>
  </dataFields>
</pivotTableDefinition>
</file>

<file path=xl/pivotTables/pivotTable108.xml><?xml version="1.0" encoding="utf-8"?>
<pivotTableDefinition xmlns="http://schemas.openxmlformats.org/spreadsheetml/2006/main" name="Circuits for Assline 2" cacheId="74" dataCaption="" rowGrandTotals="0" compact="0" compactData="0">
  <location ref="BP5:BQ59"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Outputs" axis="axisRow" compact="0" outline="0" multipleItemSelectionAllowed="1" showAll="0" sortType="ascending">
      <items>
        <item x="0"/>
        <item x="7"/>
        <item x="11"/>
        <item x="36"/>
        <item x="34"/>
        <item x="49"/>
        <item x="47"/>
        <item x="19"/>
        <item x="42"/>
        <item x="29"/>
        <item x="46"/>
        <item x="50"/>
        <item x="27"/>
        <item x="26"/>
        <item x="10"/>
        <item x="9"/>
        <item x="51"/>
        <item x="44"/>
        <item x="8"/>
        <item x="53"/>
        <item x="41"/>
        <item x="45"/>
        <item x="40"/>
        <item x="3"/>
        <item x="28"/>
        <item x="21"/>
        <item x="20"/>
        <item x="37"/>
        <item x="12"/>
        <item x="33"/>
        <item x="32"/>
        <item x="39"/>
        <item x="17"/>
        <item x="54"/>
        <item x="38"/>
        <item x="35"/>
        <item x="5"/>
        <item x="23"/>
        <item x="22"/>
        <item x="24"/>
        <item x="1"/>
        <item x="2"/>
        <item x="4"/>
        <item x="43"/>
        <item x="31"/>
        <item x="30"/>
        <item x="25"/>
        <item x="18"/>
        <item x="13"/>
        <item x="16"/>
        <item x="15"/>
        <item x="14"/>
        <item x="48"/>
        <item x="52"/>
        <item x="6"/>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2"/>
  </rowFields>
  <dataFields>
    <dataField name="Output(L)" fld="3" baseField="0"/>
  </dataFields>
</pivotTableDefinition>
</file>

<file path=xl/pivotTables/pivotTable109.xml><?xml version="1.0" encoding="utf-8"?>
<pivotTableDefinition xmlns="http://schemas.openxmlformats.org/spreadsheetml/2006/main" name="Circuits for Assline 3" cacheId="75" dataCaption="" rowGrandTotals="0" createdVersion="6" compact="0" compactData="0">
  <location ref="BY5:BZ23" firstHeaderRow="0" firstDataRow="1" firstDataCol="0" rowPageCount="1" colPageCount="1"/>
  <pivotFields>
    <pivotField name="In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Amount Produced" axis="axisPag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0"/>
  </rowFields>
  <pageFields>
    <pageField fld="1"/>
  </pageFields>
  <dataFields>
    <dataField name="Amount Produced" fld="1" baseField="0"/>
  </dataFields>
  <filters>
    <filter fld="1" type="captionLessThan" evalOrder="-1" id="1" stringValue1="-100">
      <autoFilter ref="A1">
        <filterColumn colId="0">
          <customFilters>
            <customFilter operator="lessThan" val="-100"/>
          </customFilters>
        </filterColumn>
      </autoFilter>
    </filter>
  </filters>
</pivotTableDefinition>
</file>

<file path=xl/pivotTables/pivotTable110.xml><?xml version="1.0" encoding="utf-8"?>
<pivotTableDefinition xmlns="http://schemas.openxmlformats.org/spreadsheetml/2006/main" name="Circuits for Assline 4" cacheId="75" dataCaption="" rowGrandTotals="0" createdVersion="6" compact="0" compactData="0">
  <location ref="BY26:BZ27" firstHeaderRow="0" firstDataRow="1" firstDataCol="0" rowPageCount="1" colPageCount="1"/>
  <pivotFields>
    <pivotField name="Output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Amount Produced" axis="axisPage"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0"/>
  </rowFields>
  <pageFields>
    <pageField fld="1"/>
  </pageFields>
  <dataFields>
    <dataField name="Amount Produced" fld="1" baseField="0"/>
  </dataFields>
  <filters>
    <filter fld="1" type="captionGreaterThan" evalOrder="-1" id="1" stringValue1="60">
      <autoFilter ref="A1">
        <filterColumn colId="0">
          <customFilters>
            <customFilter operator="greaterThan" val="60"/>
          </customFilters>
        </filterColumn>
      </autoFilter>
    </filter>
  </filters>
</pivotTableDefinition>
</file>

<file path=xl/pivotTables/pivotTable111.xml><?xml version="1.0" encoding="utf-8"?>
<pivotTableDefinition xmlns="http://schemas.openxmlformats.org/spreadsheetml/2006/main" name="Circuits for Assline 5" cacheId="76" dataCaption="" compact="0" compactData="0">
  <location ref="BQ96:BQ97" firstHeaderRow="0" firstDataRow="0" firstDataCol="0"/>
  <pivotFields>
    <pivotField name="Time (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dataFields>
    <dataField name="MAXTime" fld="0" subtotal="max" baseField="0"/>
  </dataFields>
</pivotTableDefinition>
</file>

<file path=xl/pivotTables/pivotTable112.xml><?xml version="1.0" encoding="utf-8"?>
<pivotTableDefinition xmlns="http://schemas.openxmlformats.org/spreadsheetml/2006/main" name="Circuits for Assline 6" cacheId="77" dataCaption="" compact="0" compactData="0">
  <location ref="BR96:BR97" firstHeaderRow="0" firstDataRow="0" firstDataCol="0"/>
  <pivotFields>
    <pivotField name="OC Time (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dataFields>
    <dataField name="MAXTimeOC" fld="0" subtotal="max" baseField="0"/>
  </dataFields>
</pivotTableDefinition>
</file>

<file path=xl/pivotTables/pivotTable113.xml><?xml version="1.0" encoding="utf-8"?>
<pivotTableDefinition xmlns="http://schemas.openxmlformats.org/spreadsheetml/2006/main" name="Circuits for Assline 7" cacheId="78" dataCaption="" compact="0" compactData="0">
  <location ref="BZ96:BZ97" firstHeaderRow="0" firstDataRow="0" firstDataCol="0"/>
  <pivotFields>
    <pivotField name="Machine Start. Cost" dataField="1" compact="0" outline="0" multipleItemSelectionAllowed="1" showAll="0">
      <items>
        <item x="0"/>
        <item x="1"/>
        <item x="2"/>
        <item x="3"/>
        <item x="4"/>
        <item t="default"/>
      </items>
    </pivotField>
  </pivotFields>
  <dataFields>
    <dataField name="MAX Start Cost" fld="0" subtotal="max" baseField="0"/>
  </dataFields>
</pivotTableDefinition>
</file>

<file path=xl/pivotTables/pivotTable114.xml><?xml version="1.0" encoding="utf-8"?>
<pivotTableDefinition xmlns="http://schemas.openxmlformats.org/spreadsheetml/2006/main" name="Circuits for Assline 8" cacheId="79" dataCaption="" compact="0" compactData="0">
  <location ref="CD96:CD97" firstHeaderRow="0" firstDataRow="0" firstDataCol="0"/>
  <pivotFields>
    <pivotField name="OC Machine Start. Cost" dataField="1" compact="0" outline="0" multipleItemSelectionAllowed="1" showAll="0">
      <items>
        <item x="0"/>
        <item t="default"/>
      </items>
    </pivotField>
  </pivotFields>
  <dataFields>
    <dataField name="MAX OC Start Cost" fld="0" subtotal="max" baseField="0"/>
  </dataFields>
</pivotTableDefinition>
</file>

<file path=xl/pivotTables/pivotTable115.xml><?xml version="1.0" encoding="utf-8"?>
<pivotTableDefinition xmlns="http://schemas.openxmlformats.org/spreadsheetml/2006/main" name="Platline" cacheId="80" dataCaption="" rowGrandTotals="0" compact="0" compactData="0">
  <location ref="BM5:BN80" firstHeaderRow="0" firstDataRow="1" firstDataCol="0"/>
  <pivotFields>
    <pivotField name="Inputs" axis="axisRow" compact="0" outline="0" multipleItemSelectionAllowed="1" showAll="0" sortType="ascending">
      <items>
        <item x="0"/>
        <item x="56"/>
        <item x="58"/>
        <item x="18"/>
        <item x="4"/>
        <item x="2"/>
        <item x="60"/>
        <item x="61"/>
        <item x="8"/>
        <item x="23"/>
        <item x="32"/>
        <item x="30"/>
        <item x="14"/>
        <item x="62"/>
        <item x="13"/>
        <item x="50"/>
        <item x="40"/>
        <item x="17"/>
        <item x="57"/>
        <item x="55"/>
        <item x="67"/>
        <item x="54"/>
        <item x="45"/>
        <item x="70"/>
        <item x="15"/>
        <item x="16"/>
        <item x="71"/>
        <item x="68"/>
        <item x="59"/>
        <item x="19"/>
        <item x="64"/>
        <item x="9"/>
        <item x="11"/>
        <item x="10"/>
        <item x="3"/>
        <item x="63"/>
        <item x="24"/>
        <item x="5"/>
        <item x="41"/>
        <item x="25"/>
        <item x="42"/>
        <item x="72"/>
        <item x="1"/>
        <item x="53"/>
        <item x="6"/>
        <item x="12"/>
        <item x="7"/>
        <item x="39"/>
        <item x="66"/>
        <item x="37"/>
        <item x="38"/>
        <item x="36"/>
        <item x="33"/>
        <item x="35"/>
        <item x="26"/>
        <item x="29"/>
        <item x="65"/>
        <item x="52"/>
        <item x="51"/>
        <item x="49"/>
        <item x="31"/>
        <item x="47"/>
        <item x="46"/>
        <item x="69"/>
        <item x="44"/>
        <item x="20"/>
        <item x="22"/>
        <item x="34"/>
        <item x="48"/>
        <item x="75"/>
        <item x="74"/>
        <item x="43"/>
        <item x="21"/>
        <item x="27"/>
        <item x="28"/>
        <item x="73"/>
        <item t="default"/>
      </items>
    </pivotField>
    <pivotField name="In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ut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Out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dataFields>
    <dataField name="Input(L)" fld="1" baseField="0"/>
  </dataFields>
</pivotTableDefinition>
</file>

<file path=xl/pivotTables/pivotTable116.xml><?xml version="1.0" encoding="utf-8"?>
<pivotTableDefinition xmlns="http://schemas.openxmlformats.org/spreadsheetml/2006/main" name="Platline 2" cacheId="80" dataCaption="" rowGrandTotals="0" compact="0" compactData="0">
  <location ref="BP5:BQ80" firstHeaderRow="0" firstDataRow="1" firstDataCol="0"/>
  <pivotFields>
    <pivotField name="Inpu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Input(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utputs" axis="axisRow" compact="0" outline="0" multipleItemSelectionAllowed="1" showAll="0" sortType="ascending">
      <items>
        <item x="0"/>
        <item x="55"/>
        <item x="52"/>
        <item x="17"/>
        <item x="62"/>
        <item x="20"/>
        <item x="12"/>
        <item x="59"/>
        <item x="64"/>
        <item x="65"/>
        <item x="10"/>
        <item x="29"/>
        <item x="7"/>
        <item x="18"/>
        <item x="23"/>
        <item x="47"/>
        <item x="66"/>
        <item x="42"/>
        <item x="56"/>
        <item x="53"/>
        <item x="57"/>
        <item x="51"/>
        <item x="25"/>
        <item x="58"/>
        <item x="21"/>
        <item x="67"/>
        <item x="6"/>
        <item x="61"/>
        <item x="60"/>
        <item x="68"/>
        <item x="16"/>
        <item x="5"/>
        <item x="13"/>
        <item x="15"/>
        <item x="2"/>
        <item x="11"/>
        <item x="1"/>
        <item x="3"/>
        <item x="40"/>
        <item x="39"/>
        <item x="69"/>
        <item x="28"/>
        <item x="9"/>
        <item x="44"/>
        <item x="8"/>
        <item x="14"/>
        <item x="4"/>
        <item x="37"/>
        <item x="38"/>
        <item x="35"/>
        <item x="36"/>
        <item x="33"/>
        <item x="31"/>
        <item x="32"/>
        <item x="26"/>
        <item x="27"/>
        <item x="50"/>
        <item x="49"/>
        <item x="48"/>
        <item x="46"/>
        <item x="34"/>
        <item x="63"/>
        <item x="70"/>
        <item x="54"/>
        <item x="71"/>
        <item x="24"/>
        <item x="75"/>
        <item x="41"/>
        <item x="43"/>
        <item x="22"/>
        <item x="45"/>
        <item x="73"/>
        <item x="74"/>
        <item x="19"/>
        <item x="72"/>
        <item x="30"/>
        <item t="default"/>
      </items>
    </pivotField>
    <pivotField name="Output(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2"/>
  </rowFields>
  <dataFields>
    <dataField name="Output(L)" fld="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pivotTable" Target="../pivotTables/pivotTable26.xml"/><Relationship Id="rId11" Type="http://schemas.openxmlformats.org/officeDocument/2006/relationships/pivotTable" Target="../pivotTables/pivotTable17.xml"/><Relationship Id="rId10" Type="http://schemas.openxmlformats.org/officeDocument/2006/relationships/pivotTable" Target="../pivotTables/pivotTable16.xml"/><Relationship Id="rId21" Type="http://schemas.openxmlformats.org/officeDocument/2006/relationships/drawing" Target="../drawings/drawing8.xml"/><Relationship Id="rId13" Type="http://schemas.openxmlformats.org/officeDocument/2006/relationships/pivotTable" Target="../pivotTables/pivotTable19.xml"/><Relationship Id="rId12" Type="http://schemas.openxmlformats.org/officeDocument/2006/relationships/pivotTable" Target="../pivotTables/pivotTable18.xml"/><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pivotTable" Target="../pivotTables/pivotTable10.xml"/><Relationship Id="rId9" Type="http://schemas.openxmlformats.org/officeDocument/2006/relationships/pivotTable" Target="../pivotTables/pivotTable15.xml"/><Relationship Id="rId15" Type="http://schemas.openxmlformats.org/officeDocument/2006/relationships/pivotTable" Target="../pivotTables/pivotTable21.xml"/><Relationship Id="rId14" Type="http://schemas.openxmlformats.org/officeDocument/2006/relationships/pivotTable" Target="../pivotTables/pivotTable20.xml"/><Relationship Id="rId17" Type="http://schemas.openxmlformats.org/officeDocument/2006/relationships/pivotTable" Target="../pivotTables/pivotTable23.xml"/><Relationship Id="rId16" Type="http://schemas.openxmlformats.org/officeDocument/2006/relationships/pivotTable" Target="../pivotTables/pivotTable22.xml"/><Relationship Id="rId5" Type="http://schemas.openxmlformats.org/officeDocument/2006/relationships/pivotTable" Target="../pivotTables/pivotTable11.xml"/><Relationship Id="rId19" Type="http://schemas.openxmlformats.org/officeDocument/2006/relationships/pivotTable" Target="../pivotTables/pivotTable25.xml"/><Relationship Id="rId6" Type="http://schemas.openxmlformats.org/officeDocument/2006/relationships/pivotTable" Target="../pivotTables/pivotTable12.xml"/><Relationship Id="rId18" Type="http://schemas.openxmlformats.org/officeDocument/2006/relationships/pivotTable" Target="../pivotTables/pivotTable24.xml"/><Relationship Id="rId7" Type="http://schemas.openxmlformats.org/officeDocument/2006/relationships/pivotTable" Target="../pivotTables/pivotTable13.xml"/><Relationship Id="rId8"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1" Type="http://schemas.openxmlformats.org/officeDocument/2006/relationships/pivotTable" Target="../pivotTables/pivotTable37.xml"/><Relationship Id="rId10" Type="http://schemas.openxmlformats.org/officeDocument/2006/relationships/pivotTable" Target="../pivotTables/pivotTable36.xml"/><Relationship Id="rId13" Type="http://schemas.openxmlformats.org/officeDocument/2006/relationships/pivotTable" Target="../pivotTables/pivotTable39.xml"/><Relationship Id="rId12" Type="http://schemas.openxmlformats.org/officeDocument/2006/relationships/pivotTable" Target="../pivotTables/pivotTable38.xml"/><Relationship Id="rId1" Type="http://schemas.openxmlformats.org/officeDocument/2006/relationships/pivotTable" Target="../pivotTables/pivotTable27.xml"/><Relationship Id="rId2" Type="http://schemas.openxmlformats.org/officeDocument/2006/relationships/pivotTable" Target="../pivotTables/pivotTable28.xml"/><Relationship Id="rId3" Type="http://schemas.openxmlformats.org/officeDocument/2006/relationships/pivotTable" Target="../pivotTables/pivotTable29.xml"/><Relationship Id="rId4" Type="http://schemas.openxmlformats.org/officeDocument/2006/relationships/pivotTable" Target="../pivotTables/pivotTable30.xml"/><Relationship Id="rId9" Type="http://schemas.openxmlformats.org/officeDocument/2006/relationships/pivotTable" Target="../pivotTables/pivotTable35.xml"/><Relationship Id="rId15" Type="http://schemas.openxmlformats.org/officeDocument/2006/relationships/pivotTable" Target="../pivotTables/pivotTable41.xml"/><Relationship Id="rId14" Type="http://schemas.openxmlformats.org/officeDocument/2006/relationships/pivotTable" Target="../pivotTables/pivotTable40.xml"/><Relationship Id="rId17" Type="http://schemas.openxmlformats.org/officeDocument/2006/relationships/drawing" Target="../drawings/drawing9.xml"/><Relationship Id="rId16" Type="http://schemas.openxmlformats.org/officeDocument/2006/relationships/pivotTable" Target="../pivotTables/pivotTable42.xml"/><Relationship Id="rId5" Type="http://schemas.openxmlformats.org/officeDocument/2006/relationships/pivotTable" Target="../pivotTables/pivotTable31.xml"/><Relationship Id="rId6" Type="http://schemas.openxmlformats.org/officeDocument/2006/relationships/pivotTable" Target="../pivotTables/pivotTable32.xml"/><Relationship Id="rId7" Type="http://schemas.openxmlformats.org/officeDocument/2006/relationships/pivotTable" Target="../pivotTables/pivotTable33.xml"/><Relationship Id="rId8" Type="http://schemas.openxmlformats.org/officeDocument/2006/relationships/pivotTable" Target="../pivotTables/pivotTable34.xml"/></Relationships>
</file>

<file path=xl/worksheets/_rels/sheet10.xml.rels><?xml version="1.0" encoding="UTF-8" standalone="yes"?><Relationships xmlns="http://schemas.openxmlformats.org/package/2006/relationships"><Relationship Id="rId11" Type="http://schemas.openxmlformats.org/officeDocument/2006/relationships/pivotTable" Target="../pivotTables/pivotTable53.xml"/><Relationship Id="rId10" Type="http://schemas.openxmlformats.org/officeDocument/2006/relationships/pivotTable" Target="../pivotTables/pivotTable52.xml"/><Relationship Id="rId13" Type="http://schemas.openxmlformats.org/officeDocument/2006/relationships/pivotTable" Target="../pivotTables/pivotTable55.xml"/><Relationship Id="rId12" Type="http://schemas.openxmlformats.org/officeDocument/2006/relationships/pivotTable" Target="../pivotTables/pivotTable54.xml"/><Relationship Id="rId1" Type="http://schemas.openxmlformats.org/officeDocument/2006/relationships/pivotTable" Target="../pivotTables/pivotTable43.xml"/><Relationship Id="rId2" Type="http://schemas.openxmlformats.org/officeDocument/2006/relationships/pivotTable" Target="../pivotTables/pivotTable44.xml"/><Relationship Id="rId3" Type="http://schemas.openxmlformats.org/officeDocument/2006/relationships/pivotTable" Target="../pivotTables/pivotTable45.xml"/><Relationship Id="rId4" Type="http://schemas.openxmlformats.org/officeDocument/2006/relationships/pivotTable" Target="../pivotTables/pivotTable46.xml"/><Relationship Id="rId9" Type="http://schemas.openxmlformats.org/officeDocument/2006/relationships/pivotTable" Target="../pivotTables/pivotTable51.xml"/><Relationship Id="rId15" Type="http://schemas.openxmlformats.org/officeDocument/2006/relationships/pivotTable" Target="../pivotTables/pivotTable57.xml"/><Relationship Id="rId14" Type="http://schemas.openxmlformats.org/officeDocument/2006/relationships/pivotTable" Target="../pivotTables/pivotTable56.xml"/><Relationship Id="rId17" Type="http://schemas.openxmlformats.org/officeDocument/2006/relationships/drawing" Target="../drawings/drawing10.xml"/><Relationship Id="rId16" Type="http://schemas.openxmlformats.org/officeDocument/2006/relationships/pivotTable" Target="../pivotTables/pivotTable58.xml"/><Relationship Id="rId5" Type="http://schemas.openxmlformats.org/officeDocument/2006/relationships/pivotTable" Target="../pivotTables/pivotTable47.xml"/><Relationship Id="rId6" Type="http://schemas.openxmlformats.org/officeDocument/2006/relationships/pivotTable" Target="../pivotTables/pivotTable48.xml"/><Relationship Id="rId7" Type="http://schemas.openxmlformats.org/officeDocument/2006/relationships/pivotTable" Target="../pivotTables/pivotTable49.xml"/><Relationship Id="rId8" Type="http://schemas.openxmlformats.org/officeDocument/2006/relationships/pivotTable" Target="../pivotTables/pivotTable5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9.xml"/><Relationship Id="rId2" Type="http://schemas.openxmlformats.org/officeDocument/2006/relationships/pivotTable" Target="../pivotTables/pivotTable60.xml"/><Relationship Id="rId3" Type="http://schemas.openxmlformats.org/officeDocument/2006/relationships/pivotTable" Target="../pivotTables/pivotTable61.xml"/><Relationship Id="rId4" Type="http://schemas.openxmlformats.org/officeDocument/2006/relationships/pivotTable" Target="../pivotTables/pivotTable62.xml"/><Relationship Id="rId9" Type="http://schemas.openxmlformats.org/officeDocument/2006/relationships/drawing" Target="../drawings/drawing11.xml"/><Relationship Id="rId5" Type="http://schemas.openxmlformats.org/officeDocument/2006/relationships/pivotTable" Target="../pivotTables/pivotTable63.xml"/><Relationship Id="rId6" Type="http://schemas.openxmlformats.org/officeDocument/2006/relationships/pivotTable" Target="../pivotTables/pivotTable64.xml"/><Relationship Id="rId7" Type="http://schemas.openxmlformats.org/officeDocument/2006/relationships/pivotTable" Target="../pivotTables/pivotTable65.xml"/><Relationship Id="rId8" Type="http://schemas.openxmlformats.org/officeDocument/2006/relationships/pivotTable" Target="../pivotTables/pivotTable6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7.xml"/><Relationship Id="rId2" Type="http://schemas.openxmlformats.org/officeDocument/2006/relationships/pivotTable" Target="../pivotTables/pivotTable68.xml"/><Relationship Id="rId3" Type="http://schemas.openxmlformats.org/officeDocument/2006/relationships/pivotTable" Target="../pivotTables/pivotTable69.xml"/><Relationship Id="rId4" Type="http://schemas.openxmlformats.org/officeDocument/2006/relationships/pivotTable" Target="../pivotTables/pivotTable70.xml"/><Relationship Id="rId9" Type="http://schemas.openxmlformats.org/officeDocument/2006/relationships/drawing" Target="../drawings/drawing12.xml"/><Relationship Id="rId5" Type="http://schemas.openxmlformats.org/officeDocument/2006/relationships/pivotTable" Target="../pivotTables/pivotTable71.xml"/><Relationship Id="rId6" Type="http://schemas.openxmlformats.org/officeDocument/2006/relationships/pivotTable" Target="../pivotTables/pivotTable72.xml"/><Relationship Id="rId7" Type="http://schemas.openxmlformats.org/officeDocument/2006/relationships/pivotTable" Target="../pivotTables/pivotTable73.xml"/><Relationship Id="rId8" Type="http://schemas.openxmlformats.org/officeDocument/2006/relationships/pivotTable" Target="../pivotTables/pivotTable7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5.xml"/><Relationship Id="rId2" Type="http://schemas.openxmlformats.org/officeDocument/2006/relationships/pivotTable" Target="../pivotTables/pivotTable76.xml"/><Relationship Id="rId3" Type="http://schemas.openxmlformats.org/officeDocument/2006/relationships/pivotTable" Target="../pivotTables/pivotTable77.xml"/><Relationship Id="rId4" Type="http://schemas.openxmlformats.org/officeDocument/2006/relationships/pivotTable" Target="../pivotTables/pivotTable78.xml"/><Relationship Id="rId9" Type="http://schemas.openxmlformats.org/officeDocument/2006/relationships/drawing" Target="../drawings/drawing13.xml"/><Relationship Id="rId5" Type="http://schemas.openxmlformats.org/officeDocument/2006/relationships/pivotTable" Target="../pivotTables/pivotTable79.xml"/><Relationship Id="rId6" Type="http://schemas.openxmlformats.org/officeDocument/2006/relationships/pivotTable" Target="../pivotTables/pivotTable80.xml"/><Relationship Id="rId7" Type="http://schemas.openxmlformats.org/officeDocument/2006/relationships/pivotTable" Target="../pivotTables/pivotTable81.xml"/><Relationship Id="rId8" Type="http://schemas.openxmlformats.org/officeDocument/2006/relationships/pivotTable" Target="../pivotTables/pivotTable82.xml"/></Relationships>
</file>

<file path=xl/worksheets/_rels/sheet14.xml.rels><?xml version="1.0" encoding="UTF-8" standalone="yes"?><Relationships xmlns="http://schemas.openxmlformats.org/package/2006/relationships"><Relationship Id="rId20" Type="http://schemas.openxmlformats.org/officeDocument/2006/relationships/pivotTable" Target="../pivotTables/pivotTable102.xml"/><Relationship Id="rId22" Type="http://schemas.openxmlformats.org/officeDocument/2006/relationships/pivotTable" Target="../pivotTables/pivotTable104.xml"/><Relationship Id="rId21" Type="http://schemas.openxmlformats.org/officeDocument/2006/relationships/pivotTable" Target="../pivotTables/pivotTable103.xml"/><Relationship Id="rId24" Type="http://schemas.openxmlformats.org/officeDocument/2006/relationships/pivotTable" Target="../pivotTables/pivotTable106.xml"/><Relationship Id="rId23" Type="http://schemas.openxmlformats.org/officeDocument/2006/relationships/pivotTable" Target="../pivotTables/pivotTable105.xml"/><Relationship Id="rId1" Type="http://schemas.openxmlformats.org/officeDocument/2006/relationships/pivotTable" Target="../pivotTables/pivotTable83.xml"/><Relationship Id="rId2" Type="http://schemas.openxmlformats.org/officeDocument/2006/relationships/pivotTable" Target="../pivotTables/pivotTable84.xml"/><Relationship Id="rId3" Type="http://schemas.openxmlformats.org/officeDocument/2006/relationships/pivotTable" Target="../pivotTables/pivotTable85.xml"/><Relationship Id="rId4" Type="http://schemas.openxmlformats.org/officeDocument/2006/relationships/pivotTable" Target="../pivotTables/pivotTable86.xml"/><Relationship Id="rId9" Type="http://schemas.openxmlformats.org/officeDocument/2006/relationships/pivotTable" Target="../pivotTables/pivotTable91.xml"/><Relationship Id="rId25" Type="http://schemas.openxmlformats.org/officeDocument/2006/relationships/drawing" Target="../drawings/drawing14.xml"/><Relationship Id="rId5" Type="http://schemas.openxmlformats.org/officeDocument/2006/relationships/pivotTable" Target="../pivotTables/pivotTable87.xml"/><Relationship Id="rId6" Type="http://schemas.openxmlformats.org/officeDocument/2006/relationships/pivotTable" Target="../pivotTables/pivotTable88.xml"/><Relationship Id="rId7" Type="http://schemas.openxmlformats.org/officeDocument/2006/relationships/pivotTable" Target="../pivotTables/pivotTable89.xml"/><Relationship Id="rId8" Type="http://schemas.openxmlformats.org/officeDocument/2006/relationships/pivotTable" Target="../pivotTables/pivotTable90.xml"/><Relationship Id="rId11" Type="http://schemas.openxmlformats.org/officeDocument/2006/relationships/pivotTable" Target="../pivotTables/pivotTable93.xml"/><Relationship Id="rId10" Type="http://schemas.openxmlformats.org/officeDocument/2006/relationships/pivotTable" Target="../pivotTables/pivotTable92.xml"/><Relationship Id="rId13" Type="http://schemas.openxmlformats.org/officeDocument/2006/relationships/pivotTable" Target="../pivotTables/pivotTable95.xml"/><Relationship Id="rId12" Type="http://schemas.openxmlformats.org/officeDocument/2006/relationships/pivotTable" Target="../pivotTables/pivotTable94.xml"/><Relationship Id="rId15" Type="http://schemas.openxmlformats.org/officeDocument/2006/relationships/pivotTable" Target="../pivotTables/pivotTable97.xml"/><Relationship Id="rId14" Type="http://schemas.openxmlformats.org/officeDocument/2006/relationships/pivotTable" Target="../pivotTables/pivotTable96.xml"/><Relationship Id="rId17" Type="http://schemas.openxmlformats.org/officeDocument/2006/relationships/pivotTable" Target="../pivotTables/pivotTable99.xml"/><Relationship Id="rId16" Type="http://schemas.openxmlformats.org/officeDocument/2006/relationships/pivotTable" Target="../pivotTables/pivotTable98.xml"/><Relationship Id="rId19" Type="http://schemas.openxmlformats.org/officeDocument/2006/relationships/pivotTable" Target="../pivotTables/pivotTable101.xml"/><Relationship Id="rId18" Type="http://schemas.openxmlformats.org/officeDocument/2006/relationships/pivotTable" Target="../pivotTables/pivotTable10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7.xml"/><Relationship Id="rId2" Type="http://schemas.openxmlformats.org/officeDocument/2006/relationships/pivotTable" Target="../pivotTables/pivotTable108.xml"/><Relationship Id="rId3" Type="http://schemas.openxmlformats.org/officeDocument/2006/relationships/pivotTable" Target="../pivotTables/pivotTable109.xml"/><Relationship Id="rId4" Type="http://schemas.openxmlformats.org/officeDocument/2006/relationships/pivotTable" Target="../pivotTables/pivotTable110.xml"/><Relationship Id="rId9" Type="http://schemas.openxmlformats.org/officeDocument/2006/relationships/drawing" Target="../drawings/drawing15.xml"/><Relationship Id="rId5" Type="http://schemas.openxmlformats.org/officeDocument/2006/relationships/pivotTable" Target="../pivotTables/pivotTable111.xml"/><Relationship Id="rId6" Type="http://schemas.openxmlformats.org/officeDocument/2006/relationships/pivotTable" Target="../pivotTables/pivotTable112.xml"/><Relationship Id="rId7" Type="http://schemas.openxmlformats.org/officeDocument/2006/relationships/pivotTable" Target="../pivotTables/pivotTable113.xml"/><Relationship Id="rId8" Type="http://schemas.openxmlformats.org/officeDocument/2006/relationships/pivotTable" Target="../pivotTables/pivotTable1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5.xml"/><Relationship Id="rId2" Type="http://schemas.openxmlformats.org/officeDocument/2006/relationships/pivotTable" Target="../pivotTables/pivotTable116.xml"/><Relationship Id="rId3"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4">
      <c r="A4" s="1" t="s">
        <v>2</v>
      </c>
    </row>
    <row r="5">
      <c r="A5" s="2" t="s">
        <v>3</v>
      </c>
    </row>
    <row r="6">
      <c r="A6" s="1" t="s">
        <v>4</v>
      </c>
    </row>
    <row r="7">
      <c r="A7" s="1"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3.0"/>
    <col customWidth="1" min="7" max="8" width="7.88"/>
    <col customWidth="1" min="9" max="9" width="24.5"/>
    <col customWidth="1" min="10" max="10" width="28.63"/>
  </cols>
  <sheetData>
    <row r="1">
      <c r="A1" s="1" t="s">
        <v>6</v>
      </c>
      <c r="B1" s="1" t="s">
        <v>7</v>
      </c>
      <c r="C1" s="1" t="s">
        <v>8</v>
      </c>
      <c r="D1" s="1" t="s">
        <v>9</v>
      </c>
    </row>
    <row r="2">
      <c r="A2" s="1" t="s">
        <v>10</v>
      </c>
      <c r="B2" s="1">
        <v>1.0</v>
      </c>
      <c r="C2" s="1">
        <v>3.0</v>
      </c>
      <c r="D2" s="1">
        <v>2.0</v>
      </c>
    </row>
    <row r="3">
      <c r="A3" s="1" t="s">
        <v>11</v>
      </c>
      <c r="B3" s="1">
        <v>1.0</v>
      </c>
      <c r="C3" s="1">
        <v>3.0</v>
      </c>
      <c r="D3" s="1">
        <v>2.0</v>
      </c>
    </row>
    <row r="4">
      <c r="A4" s="1" t="s">
        <v>12</v>
      </c>
      <c r="B4" s="1">
        <v>1.0</v>
      </c>
      <c r="C4" s="1">
        <v>3.0</v>
      </c>
      <c r="D4" s="1">
        <v>2.0</v>
      </c>
    </row>
    <row r="5">
      <c r="A5" s="1" t="s">
        <v>13</v>
      </c>
      <c r="B5" s="1">
        <v>1.0</v>
      </c>
      <c r="C5" s="1">
        <v>4.0</v>
      </c>
      <c r="D5" s="1">
        <v>2.0</v>
      </c>
    </row>
    <row r="6">
      <c r="A6" s="1" t="s">
        <v>14</v>
      </c>
      <c r="B6" s="1">
        <v>1.0</v>
      </c>
      <c r="C6" s="1">
        <v>4.0</v>
      </c>
      <c r="D6" s="1">
        <v>2.0</v>
      </c>
    </row>
    <row r="7">
      <c r="A7" s="1" t="s">
        <v>15</v>
      </c>
      <c r="B7" s="1">
        <v>1.0</v>
      </c>
      <c r="C7" s="1">
        <v>3.0</v>
      </c>
      <c r="D7" s="1">
        <v>2.0</v>
      </c>
    </row>
    <row r="8">
      <c r="A8" s="1" t="s">
        <v>16</v>
      </c>
      <c r="B8" s="1">
        <v>1.0</v>
      </c>
      <c r="C8" s="1">
        <v>3.0</v>
      </c>
      <c r="D8" s="1">
        <v>2.0</v>
      </c>
    </row>
    <row r="9">
      <c r="A9" s="3" t="s">
        <v>17</v>
      </c>
      <c r="B9" s="1">
        <v>1.0</v>
      </c>
      <c r="C9" s="1">
        <v>3.0</v>
      </c>
      <c r="D9" s="1">
        <v>2.0</v>
      </c>
    </row>
    <row r="10">
      <c r="A10" s="3" t="s">
        <v>18</v>
      </c>
      <c r="B10" s="1">
        <v>1.0</v>
      </c>
      <c r="C10" s="1">
        <v>3.0</v>
      </c>
      <c r="D10" s="1">
        <v>2.0</v>
      </c>
    </row>
    <row r="11">
      <c r="A11" s="3" t="s">
        <v>19</v>
      </c>
      <c r="B11" s="1">
        <v>1.0</v>
      </c>
      <c r="C11" s="1">
        <v>3.0</v>
      </c>
      <c r="D11" s="1">
        <v>2.0</v>
      </c>
    </row>
    <row r="12">
      <c r="A12" s="1" t="s">
        <v>20</v>
      </c>
      <c r="B12" s="1">
        <v>3.0</v>
      </c>
      <c r="C12" s="1">
        <v>5.0</v>
      </c>
      <c r="D12" s="1">
        <v>2.0</v>
      </c>
    </row>
    <row r="13">
      <c r="A13" s="1" t="s">
        <v>21</v>
      </c>
      <c r="B13" s="1">
        <v>1.0</v>
      </c>
      <c r="C13" s="1">
        <v>3.0</v>
      </c>
      <c r="D13" s="1">
        <v>2.0</v>
      </c>
    </row>
    <row r="14">
      <c r="A14" s="1" t="s">
        <v>22</v>
      </c>
      <c r="B14" s="1">
        <v>1.0</v>
      </c>
      <c r="C14" s="1">
        <v>3.0</v>
      </c>
      <c r="D14" s="1">
        <v>2.0</v>
      </c>
    </row>
    <row r="15">
      <c r="A15" s="1" t="s">
        <v>23</v>
      </c>
      <c r="B15" s="1">
        <v>1.0</v>
      </c>
      <c r="C15" s="1">
        <v>3.0</v>
      </c>
      <c r="D15" s="1">
        <v>2.0</v>
      </c>
    </row>
    <row r="16">
      <c r="A16" s="3" t="s">
        <v>24</v>
      </c>
      <c r="B16" s="1">
        <v>1.0</v>
      </c>
      <c r="C16" s="1">
        <v>3.0</v>
      </c>
      <c r="D16" s="1">
        <v>2.0</v>
      </c>
    </row>
    <row r="17">
      <c r="A17" s="3" t="s">
        <v>25</v>
      </c>
      <c r="B17" s="1">
        <v>1.0</v>
      </c>
      <c r="C17" s="1">
        <v>3.0</v>
      </c>
      <c r="D17" s="1">
        <v>2.0</v>
      </c>
    </row>
    <row r="18">
      <c r="A18" s="1" t="s">
        <v>26</v>
      </c>
      <c r="B18" s="1">
        <v>3.0</v>
      </c>
      <c r="C18" s="1">
        <v>3.0</v>
      </c>
      <c r="D18" s="1">
        <v>2.0</v>
      </c>
    </row>
    <row r="19">
      <c r="A19" s="1" t="s">
        <v>27</v>
      </c>
      <c r="B19" s="1">
        <v>1.0</v>
      </c>
      <c r="C19" s="1">
        <v>3.0</v>
      </c>
      <c r="D19" s="1">
        <v>2.0</v>
      </c>
    </row>
    <row r="20">
      <c r="A20" s="1" t="s">
        <v>28</v>
      </c>
      <c r="B20" s="1">
        <v>1.0</v>
      </c>
      <c r="C20" s="1">
        <v>3.0</v>
      </c>
      <c r="D20" s="1">
        <v>2.0</v>
      </c>
    </row>
    <row r="21">
      <c r="A21" s="1" t="s">
        <v>29</v>
      </c>
      <c r="B21" s="1">
        <v>1.0</v>
      </c>
      <c r="C21" s="1">
        <v>3.0</v>
      </c>
      <c r="D21" s="1">
        <v>2.0</v>
      </c>
    </row>
    <row r="22">
      <c r="A22" s="1" t="s">
        <v>30</v>
      </c>
      <c r="B22" s="1">
        <v>1.0</v>
      </c>
      <c r="C22" s="1">
        <v>4.0</v>
      </c>
      <c r="D22" s="1">
        <v>2.0</v>
      </c>
    </row>
    <row r="23">
      <c r="A23" s="1" t="s">
        <v>31</v>
      </c>
      <c r="B23" s="1">
        <v>1.0</v>
      </c>
      <c r="C23" s="1">
        <v>3.0</v>
      </c>
      <c r="D23" s="1">
        <v>2.0</v>
      </c>
    </row>
    <row r="24">
      <c r="A24" s="1" t="s">
        <v>32</v>
      </c>
      <c r="B24" s="1">
        <v>1.0</v>
      </c>
      <c r="C24" s="1">
        <v>3.0</v>
      </c>
      <c r="D24" s="1">
        <v>2.0</v>
      </c>
    </row>
    <row r="25">
      <c r="A25" s="1" t="s">
        <v>33</v>
      </c>
      <c r="B25" s="1">
        <v>1.0</v>
      </c>
      <c r="C25" s="1">
        <v>3.0</v>
      </c>
      <c r="D25" s="1">
        <v>2.0</v>
      </c>
    </row>
    <row r="26">
      <c r="A26" s="1" t="s">
        <v>34</v>
      </c>
      <c r="B26" s="1">
        <v>1.0</v>
      </c>
      <c r="C26" s="1">
        <v>3.0</v>
      </c>
      <c r="D26" s="1">
        <v>2.0</v>
      </c>
    </row>
    <row r="27">
      <c r="A27" s="1" t="s">
        <v>35</v>
      </c>
      <c r="B27" s="1">
        <v>1.0</v>
      </c>
      <c r="C27" s="1">
        <v>3.0</v>
      </c>
      <c r="D27" s="1">
        <v>2.0</v>
      </c>
    </row>
    <row r="28">
      <c r="A28" s="1" t="s">
        <v>36</v>
      </c>
      <c r="B28" s="1">
        <v>2.0</v>
      </c>
      <c r="C28" s="1">
        <v>3.0</v>
      </c>
      <c r="D28" s="1">
        <v>3.0</v>
      </c>
    </row>
    <row r="29">
      <c r="A29" s="1" t="s">
        <v>37</v>
      </c>
      <c r="B29" s="1">
        <v>1.0</v>
      </c>
      <c r="C29" s="1">
        <v>4.0</v>
      </c>
      <c r="D29" s="1">
        <v>2.0</v>
      </c>
    </row>
    <row r="30">
      <c r="A30" s="1" t="s">
        <v>38</v>
      </c>
      <c r="B30" s="1">
        <v>1.0</v>
      </c>
      <c r="C30" s="1">
        <v>3.0</v>
      </c>
      <c r="D30" s="1">
        <v>2.0</v>
      </c>
    </row>
    <row r="31">
      <c r="A31" s="1" t="s">
        <v>39</v>
      </c>
      <c r="B31" s="1">
        <v>1.0</v>
      </c>
      <c r="C31" s="1">
        <v>3.0</v>
      </c>
      <c r="D31" s="1">
        <v>3.0</v>
      </c>
    </row>
    <row r="32">
      <c r="A32" s="1" t="s">
        <v>40</v>
      </c>
      <c r="B32" s="1">
        <v>1.0</v>
      </c>
      <c r="C32" s="1">
        <v>3.0</v>
      </c>
      <c r="D32" s="1">
        <v>1.0</v>
      </c>
    </row>
    <row r="33">
      <c r="A33" s="1" t="s">
        <v>41</v>
      </c>
      <c r="B33" s="1">
        <v>1.0</v>
      </c>
      <c r="C33" s="1">
        <v>3.0</v>
      </c>
      <c r="D33" s="1">
        <v>2.0</v>
      </c>
    </row>
    <row r="34">
      <c r="A34" s="1" t="s">
        <v>42</v>
      </c>
      <c r="B34" s="1">
        <v>1.0</v>
      </c>
      <c r="C34" s="1">
        <v>3.0</v>
      </c>
      <c r="D34" s="1">
        <v>2.0</v>
      </c>
    </row>
    <row r="35">
      <c r="A35" s="1" t="s">
        <v>43</v>
      </c>
      <c r="B35" s="1">
        <v>1.0</v>
      </c>
      <c r="C35" s="1">
        <v>3.0</v>
      </c>
      <c r="D35" s="1">
        <v>2.0</v>
      </c>
    </row>
    <row r="36">
      <c r="A36" s="1" t="s">
        <v>44</v>
      </c>
      <c r="B36" s="1">
        <v>1.0</v>
      </c>
      <c r="C36" s="1">
        <v>4.0</v>
      </c>
      <c r="D36" s="1">
        <v>1.0</v>
      </c>
    </row>
    <row r="37">
      <c r="A37" s="1" t="s">
        <v>45</v>
      </c>
      <c r="B37" s="1">
        <v>1.0</v>
      </c>
      <c r="C37" s="1">
        <v>3.0</v>
      </c>
      <c r="D37" s="1">
        <v>2.0</v>
      </c>
    </row>
    <row r="38">
      <c r="A38" s="1" t="s">
        <v>46</v>
      </c>
      <c r="B38" s="1">
        <v>3.0</v>
      </c>
      <c r="C38" s="1">
        <v>4.0</v>
      </c>
      <c r="D38" s="1">
        <v>3.0</v>
      </c>
    </row>
    <row r="39">
      <c r="A39" s="1" t="s">
        <v>47</v>
      </c>
      <c r="B39" s="1">
        <v>1.0</v>
      </c>
      <c r="C39" s="1">
        <v>3.0</v>
      </c>
      <c r="D39" s="1">
        <v>2.0</v>
      </c>
    </row>
    <row r="40">
      <c r="A40" s="1" t="s">
        <v>48</v>
      </c>
      <c r="B40" s="1">
        <v>1.0</v>
      </c>
      <c r="C40" s="1">
        <v>4.0</v>
      </c>
      <c r="D40" s="1">
        <v>1.0</v>
      </c>
    </row>
    <row r="41">
      <c r="A41" s="1" t="s">
        <v>49</v>
      </c>
      <c r="B41" s="1">
        <v>1.0</v>
      </c>
      <c r="C41" s="1">
        <v>3.0</v>
      </c>
      <c r="D41" s="1">
        <v>2.0</v>
      </c>
    </row>
    <row r="42">
      <c r="A42" s="3" t="s">
        <v>50</v>
      </c>
      <c r="B42" s="1">
        <v>1.0</v>
      </c>
      <c r="C42" s="1">
        <v>3.0</v>
      </c>
      <c r="D42" s="1">
        <v>2.0</v>
      </c>
    </row>
    <row r="43">
      <c r="A43" s="3" t="s">
        <v>51</v>
      </c>
      <c r="B43" s="1">
        <v>1.0</v>
      </c>
      <c r="C43" s="1">
        <v>3.0</v>
      </c>
      <c r="D43" s="1">
        <v>2.0</v>
      </c>
    </row>
    <row r="44">
      <c r="A44" s="1" t="s">
        <v>52</v>
      </c>
      <c r="B44" s="1">
        <v>1.0</v>
      </c>
      <c r="C44" s="1">
        <v>3.0</v>
      </c>
      <c r="D44" s="1">
        <v>2.0</v>
      </c>
    </row>
    <row r="45">
      <c r="A45" s="1" t="s">
        <v>53</v>
      </c>
      <c r="B45" s="1">
        <v>1.0</v>
      </c>
      <c r="C45" s="1">
        <v>3.0</v>
      </c>
      <c r="D45" s="1">
        <v>2.0</v>
      </c>
    </row>
    <row r="46">
      <c r="A46" s="1" t="s">
        <v>54</v>
      </c>
      <c r="B46" s="1">
        <v>2.0</v>
      </c>
      <c r="C46" s="1">
        <v>4.0</v>
      </c>
      <c r="D46" s="1">
        <v>3.0</v>
      </c>
    </row>
    <row r="47">
      <c r="A47" s="1" t="s">
        <v>55</v>
      </c>
      <c r="B47" s="1">
        <v>1.0</v>
      </c>
      <c r="C47" s="1">
        <v>4.0</v>
      </c>
      <c r="D47" s="1">
        <v>2.0</v>
      </c>
    </row>
    <row r="48">
      <c r="A48" s="1" t="s">
        <v>56</v>
      </c>
      <c r="B48" s="1">
        <v>1.0</v>
      </c>
      <c r="C48" s="1">
        <v>4.0</v>
      </c>
      <c r="D48" s="1">
        <v>1.0</v>
      </c>
    </row>
    <row r="49">
      <c r="A49" s="3" t="s">
        <v>57</v>
      </c>
      <c r="B49" s="1">
        <v>1.0</v>
      </c>
      <c r="C49" s="1">
        <v>3.0</v>
      </c>
      <c r="D49" s="1">
        <v>2.0</v>
      </c>
    </row>
    <row r="50">
      <c r="A50" s="3" t="s">
        <v>58</v>
      </c>
      <c r="B50" s="1">
        <v>1.0</v>
      </c>
      <c r="C50" s="1">
        <v>3.0</v>
      </c>
      <c r="D50" s="1">
        <v>2.0</v>
      </c>
    </row>
    <row r="51">
      <c r="A51" s="3" t="s">
        <v>59</v>
      </c>
      <c r="B51" s="1">
        <v>1.0</v>
      </c>
      <c r="C51" s="1">
        <v>3.0</v>
      </c>
      <c r="D51" s="1">
        <v>2.0</v>
      </c>
    </row>
    <row r="52">
      <c r="A52" s="3" t="s">
        <v>60</v>
      </c>
      <c r="B52" s="1">
        <v>1.0</v>
      </c>
      <c r="C52" s="1">
        <v>3.0</v>
      </c>
      <c r="D52" s="1">
        <v>2.0</v>
      </c>
    </row>
    <row r="53">
      <c r="A53" s="1" t="s">
        <v>61</v>
      </c>
      <c r="B53" s="1">
        <v>1.0</v>
      </c>
      <c r="C53" s="1">
        <v>3.0</v>
      </c>
      <c r="D53" s="1">
        <v>2.0</v>
      </c>
    </row>
    <row r="54">
      <c r="A54" s="1" t="s">
        <v>62</v>
      </c>
      <c r="B54" s="1">
        <v>1.0</v>
      </c>
      <c r="C54" s="1">
        <v>4.0</v>
      </c>
      <c r="D54" s="1">
        <v>2.0</v>
      </c>
    </row>
    <row r="55">
      <c r="A55" s="1" t="s">
        <v>63</v>
      </c>
      <c r="B55" s="1">
        <v>2.0</v>
      </c>
      <c r="C55" s="1">
        <v>4.0</v>
      </c>
      <c r="D55" s="1">
        <v>2.0</v>
      </c>
    </row>
    <row r="56">
      <c r="A56" s="1" t="s">
        <v>64</v>
      </c>
      <c r="B56" s="1">
        <v>1.0</v>
      </c>
      <c r="C56" s="1">
        <v>5.0</v>
      </c>
      <c r="D56" s="1">
        <v>2.0</v>
      </c>
    </row>
    <row r="57">
      <c r="A57" s="3" t="s">
        <v>65</v>
      </c>
      <c r="B57" s="1">
        <v>1.0</v>
      </c>
      <c r="C57" s="1">
        <v>3.0</v>
      </c>
      <c r="D57" s="1">
        <v>2.0</v>
      </c>
    </row>
    <row r="58">
      <c r="A58" s="3" t="s">
        <v>66</v>
      </c>
      <c r="B58" s="1">
        <v>1.0</v>
      </c>
      <c r="C58" s="1">
        <v>3.0</v>
      </c>
      <c r="D58" s="1">
        <v>2.0</v>
      </c>
    </row>
    <row r="59">
      <c r="A59" s="3" t="s">
        <v>67</v>
      </c>
      <c r="B59" s="1">
        <v>1.0</v>
      </c>
      <c r="C59" s="1">
        <v>3.0</v>
      </c>
      <c r="D59" s="1">
        <v>2.0</v>
      </c>
    </row>
    <row r="60">
      <c r="A60" s="3" t="s">
        <v>68</v>
      </c>
      <c r="B60" s="1">
        <v>1.0</v>
      </c>
      <c r="C60" s="1">
        <v>3.0</v>
      </c>
      <c r="D60" s="1">
        <v>2.0</v>
      </c>
    </row>
    <row r="61">
      <c r="A61" s="1" t="s">
        <v>69</v>
      </c>
      <c r="B61" s="1">
        <v>0.0</v>
      </c>
      <c r="C61" s="1">
        <v>3.0</v>
      </c>
      <c r="D61" s="1">
        <v>1.0</v>
      </c>
    </row>
    <row r="62">
      <c r="A62" s="1" t="s">
        <v>70</v>
      </c>
      <c r="B62" s="1">
        <v>1.0</v>
      </c>
      <c r="C62" s="1">
        <v>3.0</v>
      </c>
      <c r="D62" s="1">
        <v>1.0</v>
      </c>
    </row>
    <row r="63">
      <c r="A63" s="1" t="s">
        <v>71</v>
      </c>
      <c r="B63" s="1">
        <v>1.0</v>
      </c>
      <c r="C63" s="1">
        <v>3.0</v>
      </c>
      <c r="D63" s="1">
        <v>2.0</v>
      </c>
    </row>
    <row r="64">
      <c r="A64" s="1" t="s">
        <v>72</v>
      </c>
      <c r="B64" s="1">
        <v>1.0</v>
      </c>
      <c r="C64" s="1">
        <v>3.0</v>
      </c>
      <c r="D64" s="1">
        <v>2.0</v>
      </c>
    </row>
    <row r="65">
      <c r="A65" s="1" t="s">
        <v>73</v>
      </c>
      <c r="B65" s="1">
        <v>1.0</v>
      </c>
      <c r="C65" s="1">
        <v>3.0</v>
      </c>
      <c r="D65" s="1">
        <v>2.0</v>
      </c>
    </row>
    <row r="66">
      <c r="A66" s="3" t="s">
        <v>74</v>
      </c>
      <c r="B66" s="1">
        <v>1.0</v>
      </c>
      <c r="C66" s="1">
        <v>3.0</v>
      </c>
      <c r="D66" s="1">
        <v>2.0</v>
      </c>
    </row>
    <row r="67">
      <c r="A67" s="3" t="s">
        <v>75</v>
      </c>
      <c r="B67" s="1">
        <v>1.0</v>
      </c>
      <c r="C67" s="1">
        <v>3.0</v>
      </c>
      <c r="D67" s="1">
        <v>2.0</v>
      </c>
    </row>
    <row r="68">
      <c r="A68" s="3" t="s">
        <v>76</v>
      </c>
      <c r="B68" s="1">
        <v>1.0</v>
      </c>
      <c r="C68" s="1">
        <v>3.0</v>
      </c>
      <c r="D68" s="1">
        <v>2.0</v>
      </c>
    </row>
    <row r="69">
      <c r="A69" s="3" t="s">
        <v>77</v>
      </c>
      <c r="B69" s="1">
        <v>1.0</v>
      </c>
      <c r="C69" s="1">
        <v>3.0</v>
      </c>
      <c r="D69" s="1">
        <v>2.0</v>
      </c>
    </row>
    <row r="70">
      <c r="A70" s="1" t="s">
        <v>78</v>
      </c>
      <c r="B70" s="1">
        <v>3.0</v>
      </c>
      <c r="C70" s="1">
        <v>3.0</v>
      </c>
      <c r="D70" s="1">
        <v>2.0</v>
      </c>
    </row>
    <row r="71">
      <c r="A71" s="3" t="s">
        <v>79</v>
      </c>
      <c r="B71" s="1">
        <v>1.0</v>
      </c>
      <c r="C71" s="1">
        <v>3.0</v>
      </c>
      <c r="D71" s="1">
        <v>2.0</v>
      </c>
    </row>
    <row r="72">
      <c r="A72" s="1" t="s">
        <v>80</v>
      </c>
      <c r="B72" s="1">
        <v>2.0</v>
      </c>
      <c r="C72" s="1">
        <v>4.0</v>
      </c>
      <c r="D72" s="1">
        <v>2.0</v>
      </c>
    </row>
    <row r="73">
      <c r="A73" s="1" t="s">
        <v>81</v>
      </c>
      <c r="B73" s="1">
        <v>1.0</v>
      </c>
      <c r="C73" s="1">
        <v>4.0</v>
      </c>
      <c r="D73" s="1">
        <v>2.0</v>
      </c>
    </row>
    <row r="74">
      <c r="A74" s="1" t="s">
        <v>82</v>
      </c>
      <c r="B74" s="1">
        <v>1.0</v>
      </c>
      <c r="C74" s="1">
        <v>4.0</v>
      </c>
      <c r="D74" s="1">
        <v>2.0</v>
      </c>
    </row>
    <row r="75">
      <c r="A75" s="1" t="s">
        <v>83</v>
      </c>
      <c r="B75" s="1">
        <v>4.0</v>
      </c>
      <c r="C75" s="1">
        <v>3.0</v>
      </c>
      <c r="D75" s="1">
        <v>3.0</v>
      </c>
    </row>
    <row r="76">
      <c r="A76" s="1" t="s">
        <v>84</v>
      </c>
      <c r="B76" s="1">
        <v>1.0</v>
      </c>
      <c r="C76" s="1">
        <v>3.0</v>
      </c>
      <c r="D76" s="1">
        <v>2.0</v>
      </c>
    </row>
    <row r="77">
      <c r="A77" s="1" t="s">
        <v>85</v>
      </c>
      <c r="B77" s="1">
        <v>1.0</v>
      </c>
      <c r="C77" s="1">
        <v>4.0</v>
      </c>
      <c r="D77" s="1">
        <v>2.0</v>
      </c>
    </row>
    <row r="78">
      <c r="A78" s="1" t="s">
        <v>86</v>
      </c>
      <c r="B78" s="1">
        <v>1.0</v>
      </c>
      <c r="C78" s="1">
        <v>3.0</v>
      </c>
      <c r="D78" s="1">
        <v>2.0</v>
      </c>
    </row>
    <row r="79">
      <c r="A79" s="1" t="s">
        <v>87</v>
      </c>
      <c r="B79" s="1">
        <v>1.0</v>
      </c>
      <c r="C79" s="1">
        <v>4.0</v>
      </c>
      <c r="D79" s="1">
        <v>1.0</v>
      </c>
    </row>
    <row r="80">
      <c r="A80" s="1" t="s">
        <v>88</v>
      </c>
      <c r="B80" s="1">
        <v>1.0</v>
      </c>
      <c r="C80" s="1">
        <v>4.0</v>
      </c>
      <c r="D80" s="1">
        <v>2.0</v>
      </c>
    </row>
    <row r="81">
      <c r="A81" s="1" t="s">
        <v>89</v>
      </c>
      <c r="B81" s="1">
        <v>1.0</v>
      </c>
      <c r="C81" s="1">
        <v>3.0</v>
      </c>
      <c r="D81" s="1">
        <v>2.0</v>
      </c>
    </row>
    <row r="82">
      <c r="A82" s="1" t="s">
        <v>90</v>
      </c>
      <c r="B82" s="1">
        <v>1.0</v>
      </c>
      <c r="C82" s="1">
        <v>3.0</v>
      </c>
      <c r="D82" s="1">
        <v>2.0</v>
      </c>
    </row>
    <row r="83">
      <c r="A83" s="1" t="s">
        <v>91</v>
      </c>
      <c r="B83" s="1">
        <v>1.0</v>
      </c>
      <c r="C83" s="1">
        <v>3.0</v>
      </c>
      <c r="D83" s="1">
        <v>2.0</v>
      </c>
    </row>
    <row r="84">
      <c r="A84" s="1" t="s">
        <v>92</v>
      </c>
      <c r="B84" s="1">
        <v>1.0</v>
      </c>
      <c r="C84" s="1">
        <v>3.0</v>
      </c>
      <c r="D84" s="1">
        <v>2.0</v>
      </c>
    </row>
    <row r="85">
      <c r="A85" s="1" t="s">
        <v>93</v>
      </c>
      <c r="B85" s="1">
        <v>1.0</v>
      </c>
      <c r="C85" s="1">
        <v>3.0</v>
      </c>
      <c r="D85" s="1">
        <v>2.0</v>
      </c>
    </row>
    <row r="86">
      <c r="A86" s="1" t="s">
        <v>94</v>
      </c>
      <c r="B86" s="1">
        <v>1.0</v>
      </c>
      <c r="C86" s="1">
        <v>3.0</v>
      </c>
      <c r="D86" s="1">
        <v>2.0</v>
      </c>
    </row>
    <row r="87">
      <c r="A87" s="1" t="s">
        <v>95</v>
      </c>
      <c r="B87" s="1">
        <v>1.0</v>
      </c>
      <c r="C87" s="1">
        <v>3.0</v>
      </c>
      <c r="D87" s="1">
        <v>2.0</v>
      </c>
    </row>
    <row r="88">
      <c r="A88" s="1" t="s">
        <v>96</v>
      </c>
      <c r="B88" s="1">
        <v>1.0</v>
      </c>
      <c r="C88" s="1">
        <v>3.0</v>
      </c>
      <c r="D88" s="1">
        <v>2.0</v>
      </c>
    </row>
    <row r="89">
      <c r="A89" s="3" t="s">
        <v>97</v>
      </c>
      <c r="B89" s="1">
        <v>1.0</v>
      </c>
      <c r="C89" s="1">
        <v>3.0</v>
      </c>
      <c r="D89" s="1">
        <v>2.0</v>
      </c>
    </row>
    <row r="90">
      <c r="A90" s="1" t="s">
        <v>98</v>
      </c>
      <c r="B90" s="1">
        <v>1.0</v>
      </c>
      <c r="C90" s="1">
        <v>3.0</v>
      </c>
      <c r="D90" s="1">
        <v>2.0</v>
      </c>
    </row>
    <row r="91">
      <c r="A91" s="1" t="s">
        <v>99</v>
      </c>
      <c r="B91" s="1">
        <v>1.0</v>
      </c>
      <c r="C91" s="1">
        <v>3.0</v>
      </c>
      <c r="D91" s="1">
        <v>2.0</v>
      </c>
    </row>
    <row r="92">
      <c r="A92" s="1" t="s">
        <v>100</v>
      </c>
      <c r="B92" s="1">
        <v>1.0</v>
      </c>
      <c r="C92" s="1">
        <v>3.0</v>
      </c>
      <c r="D92" s="1">
        <v>2.0</v>
      </c>
    </row>
    <row r="93">
      <c r="A93" s="1" t="s">
        <v>101</v>
      </c>
      <c r="B93" s="1">
        <v>1.0</v>
      </c>
      <c r="C93" s="1">
        <v>3.0</v>
      </c>
      <c r="D93" s="1">
        <v>2.0</v>
      </c>
    </row>
    <row r="94">
      <c r="A94" s="1" t="s">
        <v>102</v>
      </c>
      <c r="B94" s="1">
        <v>1.0</v>
      </c>
      <c r="C94" s="1">
        <v>3.0</v>
      </c>
      <c r="D94" s="1">
        <v>2.0</v>
      </c>
    </row>
    <row r="95">
      <c r="A95" s="1" t="s">
        <v>103</v>
      </c>
      <c r="B95" s="1">
        <v>1.0</v>
      </c>
      <c r="C95" s="1">
        <v>3.0</v>
      </c>
      <c r="D95" s="1">
        <v>2.0</v>
      </c>
    </row>
    <row r="96">
      <c r="A96" s="1" t="s">
        <v>104</v>
      </c>
      <c r="B96" s="1">
        <v>1.0</v>
      </c>
      <c r="C96" s="1">
        <v>3.0</v>
      </c>
      <c r="D96" s="1">
        <v>2.0</v>
      </c>
    </row>
    <row r="97">
      <c r="A97" s="1" t="s">
        <v>105</v>
      </c>
      <c r="B97" s="1">
        <v>1.0</v>
      </c>
      <c r="C97" s="1">
        <v>3.0</v>
      </c>
      <c r="D97" s="1">
        <v>2.0</v>
      </c>
    </row>
    <row r="98">
      <c r="A98" s="1" t="s">
        <v>106</v>
      </c>
      <c r="B98" s="1">
        <v>1.0</v>
      </c>
      <c r="C98" s="1">
        <v>4.0</v>
      </c>
      <c r="D98" s="1">
        <v>2.0</v>
      </c>
    </row>
    <row r="99">
      <c r="A99" s="1" t="s">
        <v>107</v>
      </c>
      <c r="B99" s="1">
        <v>1.0</v>
      </c>
      <c r="C99" s="1">
        <v>3.0</v>
      </c>
      <c r="D99" s="1">
        <v>2.0</v>
      </c>
    </row>
    <row r="100">
      <c r="A100" s="1" t="s">
        <v>108</v>
      </c>
      <c r="B100" s="1">
        <v>1.0</v>
      </c>
      <c r="C100" s="1">
        <v>3.0</v>
      </c>
      <c r="D100" s="1">
        <v>2.0</v>
      </c>
    </row>
    <row r="101">
      <c r="A101" s="1" t="s">
        <v>109</v>
      </c>
      <c r="B101" s="1">
        <v>1.0</v>
      </c>
      <c r="C101" s="1">
        <v>3.0</v>
      </c>
      <c r="D101" s="1">
        <v>2.0</v>
      </c>
    </row>
    <row r="102">
      <c r="A102" s="1" t="s">
        <v>110</v>
      </c>
      <c r="B102" s="1">
        <v>1.0</v>
      </c>
      <c r="C102" s="1">
        <v>3.0</v>
      </c>
      <c r="D102" s="1">
        <v>2.0</v>
      </c>
    </row>
    <row r="103">
      <c r="A103" s="1" t="s">
        <v>111</v>
      </c>
      <c r="B103" s="1">
        <v>1.0</v>
      </c>
      <c r="C103" s="1">
        <v>3.0</v>
      </c>
      <c r="D103" s="1">
        <v>2.0</v>
      </c>
    </row>
    <row r="104">
      <c r="A104" s="1" t="s">
        <v>112</v>
      </c>
      <c r="B104" s="1">
        <v>1.0</v>
      </c>
      <c r="C104" s="1">
        <v>3.0</v>
      </c>
      <c r="D104" s="1">
        <v>2.0</v>
      </c>
    </row>
    <row r="105">
      <c r="A105" s="1" t="s">
        <v>113</v>
      </c>
      <c r="B105" s="1">
        <v>1.0</v>
      </c>
      <c r="C105" s="1">
        <v>3.0</v>
      </c>
      <c r="D105" s="1">
        <v>2.0</v>
      </c>
    </row>
    <row r="106">
      <c r="A106" s="1" t="s">
        <v>114</v>
      </c>
      <c r="B106" s="1">
        <v>1.0</v>
      </c>
      <c r="C106" s="1">
        <v>3.0</v>
      </c>
      <c r="D106" s="1">
        <v>2.0</v>
      </c>
    </row>
    <row r="107">
      <c r="A107" s="3" t="s">
        <v>115</v>
      </c>
      <c r="B107" s="1">
        <v>1.0</v>
      </c>
      <c r="C107" s="1">
        <v>3.0</v>
      </c>
      <c r="D107" s="1">
        <v>2.0</v>
      </c>
    </row>
    <row r="108">
      <c r="A108" s="3" t="s">
        <v>116</v>
      </c>
      <c r="B108" s="1">
        <v>1.0</v>
      </c>
      <c r="C108" s="1">
        <v>3.0</v>
      </c>
      <c r="D108" s="1">
        <v>2.0</v>
      </c>
    </row>
    <row r="109">
      <c r="A109" s="1" t="s">
        <v>117</v>
      </c>
      <c r="B109" s="1">
        <v>1.0</v>
      </c>
      <c r="C109" s="1">
        <v>3.0</v>
      </c>
      <c r="D109" s="1">
        <v>2.0</v>
      </c>
    </row>
    <row r="110">
      <c r="A110" s="1" t="s">
        <v>118</v>
      </c>
      <c r="B110" s="1">
        <v>1.0</v>
      </c>
      <c r="C110" s="1">
        <v>4.0</v>
      </c>
      <c r="D110" s="1">
        <v>2.0</v>
      </c>
    </row>
    <row r="111">
      <c r="A111" s="1" t="s">
        <v>119</v>
      </c>
      <c r="B111" s="1">
        <v>1.0</v>
      </c>
      <c r="C111" s="1">
        <v>3.0</v>
      </c>
      <c r="D111" s="1">
        <v>2.0</v>
      </c>
    </row>
    <row r="112">
      <c r="A112" s="3" t="s">
        <v>120</v>
      </c>
      <c r="B112" s="1">
        <v>1.0</v>
      </c>
      <c r="C112" s="1">
        <v>3.0</v>
      </c>
      <c r="D112" s="1">
        <v>2.0</v>
      </c>
    </row>
    <row r="113">
      <c r="A113" s="1" t="s">
        <v>121</v>
      </c>
      <c r="B113" s="1">
        <v>3.0</v>
      </c>
      <c r="C113" s="1">
        <v>3.0</v>
      </c>
      <c r="D113" s="1">
        <v>3.0</v>
      </c>
    </row>
    <row r="114">
      <c r="A114" s="3" t="s">
        <v>122</v>
      </c>
      <c r="B114" s="1">
        <v>1.0</v>
      </c>
      <c r="C114" s="1">
        <v>3.0</v>
      </c>
      <c r="D114" s="1">
        <v>2.0</v>
      </c>
    </row>
    <row r="115">
      <c r="A115" s="3" t="s">
        <v>123</v>
      </c>
      <c r="B115" s="1">
        <v>1.0</v>
      </c>
      <c r="C115" s="1">
        <v>3.0</v>
      </c>
      <c r="D115" s="1">
        <v>2.0</v>
      </c>
    </row>
    <row r="116">
      <c r="A116" s="1" t="s">
        <v>124</v>
      </c>
      <c r="B116" s="1">
        <v>1.0</v>
      </c>
      <c r="C116" s="1">
        <v>4.0</v>
      </c>
      <c r="D116" s="1">
        <v>2.0</v>
      </c>
    </row>
    <row r="117">
      <c r="A117" s="1" t="s">
        <v>125</v>
      </c>
      <c r="B117" s="1">
        <v>3.0</v>
      </c>
      <c r="C117" s="1">
        <v>2.0</v>
      </c>
      <c r="D117" s="1">
        <v>2.0</v>
      </c>
    </row>
    <row r="118">
      <c r="A118" s="3" t="s">
        <v>126</v>
      </c>
      <c r="B118" s="1">
        <v>1.0</v>
      </c>
      <c r="C118" s="1">
        <v>3.0</v>
      </c>
      <c r="D118" s="1">
        <v>2.0</v>
      </c>
    </row>
    <row r="119">
      <c r="A119" s="3" t="s">
        <v>127</v>
      </c>
      <c r="B119" s="1">
        <v>1.0</v>
      </c>
      <c r="C119" s="1">
        <v>3.0</v>
      </c>
      <c r="D119" s="1">
        <v>2.0</v>
      </c>
    </row>
    <row r="120">
      <c r="A120" s="1" t="s">
        <v>128</v>
      </c>
      <c r="B120" s="1">
        <v>1.0</v>
      </c>
      <c r="C120" s="1">
        <v>3.0</v>
      </c>
      <c r="D120" s="1">
        <v>2.0</v>
      </c>
    </row>
    <row r="121">
      <c r="A121" s="1" t="s">
        <v>129</v>
      </c>
      <c r="B121" s="1">
        <v>1.0</v>
      </c>
      <c r="C121" s="1">
        <v>3.0</v>
      </c>
      <c r="D121" s="1">
        <v>2.0</v>
      </c>
    </row>
    <row r="122">
      <c r="A122" s="1" t="s">
        <v>130</v>
      </c>
      <c r="B122" s="1">
        <v>3.0</v>
      </c>
      <c r="C122" s="1">
        <v>5.0</v>
      </c>
      <c r="D122" s="1">
        <v>2.0</v>
      </c>
    </row>
    <row r="123">
      <c r="A123" s="1" t="s">
        <v>131</v>
      </c>
      <c r="B123" s="1">
        <v>1.0</v>
      </c>
      <c r="C123" s="1">
        <v>3.0</v>
      </c>
      <c r="D123" s="1">
        <v>2.0</v>
      </c>
    </row>
    <row r="124">
      <c r="A124" s="1" t="s">
        <v>132</v>
      </c>
      <c r="B124" s="1">
        <v>1.0</v>
      </c>
      <c r="C124" s="1">
        <v>4.0</v>
      </c>
      <c r="D124" s="1">
        <v>1.0</v>
      </c>
    </row>
    <row r="125">
      <c r="A125" s="1" t="s">
        <v>133</v>
      </c>
      <c r="B125" s="1">
        <v>1.0</v>
      </c>
      <c r="C125" s="1">
        <v>3.0</v>
      </c>
      <c r="D125" s="1">
        <v>2.0</v>
      </c>
    </row>
    <row r="126">
      <c r="A126" s="1" t="s">
        <v>134</v>
      </c>
      <c r="B126" s="1">
        <v>3.0</v>
      </c>
      <c r="C126" s="1">
        <v>3.0</v>
      </c>
      <c r="D126" s="1">
        <v>2.0</v>
      </c>
    </row>
    <row r="127">
      <c r="A127" s="3" t="s">
        <v>135</v>
      </c>
      <c r="B127" s="1">
        <v>1.0</v>
      </c>
      <c r="C127" s="1">
        <v>3.0</v>
      </c>
      <c r="D127" s="1">
        <v>2.0</v>
      </c>
    </row>
    <row r="128">
      <c r="A128" s="3" t="s">
        <v>136</v>
      </c>
      <c r="B128" s="1">
        <v>1.0</v>
      </c>
      <c r="C128" s="1">
        <v>3.0</v>
      </c>
      <c r="D128" s="1">
        <v>2.0</v>
      </c>
    </row>
    <row r="129">
      <c r="A129" s="1" t="s">
        <v>137</v>
      </c>
      <c r="B129" s="1">
        <v>1.0</v>
      </c>
      <c r="C129" s="1">
        <v>3.0</v>
      </c>
      <c r="D129" s="1">
        <v>2.0</v>
      </c>
    </row>
    <row r="130">
      <c r="A130" s="1" t="s">
        <v>138</v>
      </c>
      <c r="B130" s="1">
        <v>1.0</v>
      </c>
      <c r="C130" s="1">
        <v>4.0</v>
      </c>
      <c r="D130" s="1">
        <v>1.0</v>
      </c>
    </row>
    <row r="131">
      <c r="A131" s="1" t="s">
        <v>139</v>
      </c>
      <c r="B131" s="1">
        <v>5.0</v>
      </c>
      <c r="C131" s="1">
        <v>5.0</v>
      </c>
      <c r="D131" s="1">
        <v>4.0</v>
      </c>
    </row>
    <row r="132">
      <c r="A132" s="1" t="s">
        <v>140</v>
      </c>
      <c r="B132" s="1">
        <v>1.0</v>
      </c>
      <c r="C132" s="1">
        <v>3.0</v>
      </c>
      <c r="D132" s="1">
        <v>2.0</v>
      </c>
    </row>
    <row r="133">
      <c r="A133" s="1" t="s">
        <v>141</v>
      </c>
      <c r="B133" s="1">
        <v>1.0</v>
      </c>
      <c r="C133" s="1">
        <v>3.0</v>
      </c>
      <c r="D133" s="1">
        <v>2.0</v>
      </c>
    </row>
    <row r="134">
      <c r="A134" s="1" t="s">
        <v>142</v>
      </c>
      <c r="B134" s="1">
        <v>1.0</v>
      </c>
      <c r="C134" s="1">
        <v>5.0</v>
      </c>
      <c r="D134" s="1">
        <v>1.0</v>
      </c>
    </row>
    <row r="135">
      <c r="A135" s="1" t="s">
        <v>143</v>
      </c>
      <c r="B135" s="1">
        <v>1.0</v>
      </c>
      <c r="C135" s="1">
        <v>3.0</v>
      </c>
      <c r="D135" s="1">
        <v>2.0</v>
      </c>
    </row>
    <row r="136">
      <c r="A136" s="1" t="s">
        <v>144</v>
      </c>
      <c r="B136" s="1">
        <v>1.0</v>
      </c>
      <c r="C136" s="1">
        <v>3.0</v>
      </c>
      <c r="D136" s="1">
        <v>2.0</v>
      </c>
    </row>
    <row r="137">
      <c r="A137" s="1" t="s">
        <v>145</v>
      </c>
      <c r="B137" s="1">
        <v>1.0</v>
      </c>
      <c r="C137" s="1">
        <v>3.0</v>
      </c>
      <c r="D137" s="1">
        <v>2.0</v>
      </c>
    </row>
    <row r="138">
      <c r="A138" s="1" t="s">
        <v>146</v>
      </c>
      <c r="B138" s="1">
        <v>1.0</v>
      </c>
      <c r="C138" s="1">
        <v>3.0</v>
      </c>
      <c r="D138" s="1">
        <v>2.0</v>
      </c>
    </row>
    <row r="139">
      <c r="A139" s="1" t="s">
        <v>147</v>
      </c>
      <c r="B139" s="1">
        <v>1.0</v>
      </c>
      <c r="C139" s="1">
        <v>5.0</v>
      </c>
      <c r="D139" s="1">
        <v>2.0</v>
      </c>
    </row>
    <row r="140">
      <c r="A140" s="1" t="s">
        <v>148</v>
      </c>
      <c r="B140" s="1">
        <v>1.0</v>
      </c>
      <c r="C140" s="1">
        <v>3.0</v>
      </c>
      <c r="D140" s="1">
        <v>2.0</v>
      </c>
    </row>
    <row r="141">
      <c r="A141" s="1" t="s">
        <v>149</v>
      </c>
      <c r="B141" s="1">
        <v>1.0</v>
      </c>
      <c r="C141" s="1">
        <v>3.0</v>
      </c>
      <c r="D141" s="1">
        <v>2.0</v>
      </c>
    </row>
    <row r="142">
      <c r="A142" s="3" t="s">
        <v>150</v>
      </c>
      <c r="B142" s="1">
        <v>1.0</v>
      </c>
      <c r="C142" s="1">
        <v>3.0</v>
      </c>
      <c r="D142" s="1">
        <v>2.0</v>
      </c>
    </row>
    <row r="143">
      <c r="A143" s="3" t="s">
        <v>151</v>
      </c>
      <c r="B143" s="1">
        <v>1.0</v>
      </c>
      <c r="C143" s="1">
        <v>3.0</v>
      </c>
      <c r="D143" s="1">
        <v>2.0</v>
      </c>
    </row>
    <row r="144">
      <c r="A144" s="1" t="s">
        <v>152</v>
      </c>
      <c r="B144" s="1">
        <v>4.0</v>
      </c>
      <c r="C144" s="1">
        <v>5.0</v>
      </c>
      <c r="D144" s="1">
        <v>3.0</v>
      </c>
    </row>
    <row r="145">
      <c r="A145" s="1" t="s">
        <v>153</v>
      </c>
      <c r="B145" s="1">
        <v>1.0</v>
      </c>
      <c r="C145" s="1">
        <v>3.0</v>
      </c>
      <c r="D145" s="1">
        <v>2.0</v>
      </c>
    </row>
    <row r="146">
      <c r="A146" s="1" t="s">
        <v>154</v>
      </c>
      <c r="B146" s="1">
        <v>1.0</v>
      </c>
      <c r="C146" s="1">
        <v>3.0</v>
      </c>
      <c r="D146" s="1">
        <v>2.0</v>
      </c>
    </row>
    <row r="147">
      <c r="A147" s="1" t="s">
        <v>155</v>
      </c>
      <c r="B147" s="1">
        <v>1.0</v>
      </c>
      <c r="C147" s="1">
        <v>3.0</v>
      </c>
      <c r="D147" s="1">
        <v>2.0</v>
      </c>
    </row>
    <row r="148">
      <c r="A148" s="1" t="s">
        <v>156</v>
      </c>
      <c r="B148" s="1">
        <v>1.0</v>
      </c>
      <c r="C148" s="1">
        <v>3.0</v>
      </c>
      <c r="D148" s="1">
        <v>2.0</v>
      </c>
    </row>
    <row r="149">
      <c r="A149" s="1" t="s">
        <v>157</v>
      </c>
      <c r="B149" s="1">
        <v>1.0</v>
      </c>
      <c r="C149" s="1">
        <v>5.0</v>
      </c>
      <c r="D149" s="1">
        <v>1.0</v>
      </c>
    </row>
    <row r="150">
      <c r="A150" s="1" t="s">
        <v>158</v>
      </c>
      <c r="B150" s="1">
        <v>1.0</v>
      </c>
      <c r="C150" s="1">
        <v>3.0</v>
      </c>
      <c r="D150" s="1">
        <v>2.0</v>
      </c>
    </row>
    <row r="151">
      <c r="A151" s="1" t="s">
        <v>159</v>
      </c>
      <c r="B151" s="1">
        <v>1.0</v>
      </c>
      <c r="C151" s="1">
        <v>3.0</v>
      </c>
      <c r="D151" s="1">
        <v>2.0</v>
      </c>
    </row>
    <row r="152">
      <c r="A152" s="1" t="s">
        <v>160</v>
      </c>
      <c r="B152" s="1">
        <v>1.0</v>
      </c>
      <c r="C152" s="1">
        <v>3.0</v>
      </c>
      <c r="D152" s="1">
        <v>2.0</v>
      </c>
    </row>
    <row r="153">
      <c r="A153" s="1" t="s">
        <v>161</v>
      </c>
      <c r="B153" s="1">
        <v>1.0</v>
      </c>
      <c r="C153" s="1">
        <v>3.0</v>
      </c>
      <c r="D153" s="1">
        <v>2.0</v>
      </c>
    </row>
    <row r="154">
      <c r="A154" s="1" t="s">
        <v>162</v>
      </c>
      <c r="B154" s="1">
        <v>1.0</v>
      </c>
      <c r="C154" s="1">
        <v>4.0</v>
      </c>
      <c r="D154" s="1">
        <v>2.0</v>
      </c>
    </row>
    <row r="155">
      <c r="A155" s="1" t="s">
        <v>163</v>
      </c>
      <c r="B155" s="1">
        <v>1.0</v>
      </c>
      <c r="C155" s="1">
        <v>3.0</v>
      </c>
      <c r="D155" s="1">
        <v>2.0</v>
      </c>
    </row>
    <row r="156">
      <c r="A156" s="1" t="s">
        <v>164</v>
      </c>
      <c r="B156" s="1">
        <v>3.0</v>
      </c>
      <c r="C156" s="1">
        <v>4.0</v>
      </c>
      <c r="D156" s="1">
        <v>3.0</v>
      </c>
    </row>
    <row r="157">
      <c r="A157" s="1" t="s">
        <v>165</v>
      </c>
      <c r="B157" s="1">
        <v>1.0</v>
      </c>
      <c r="C157" s="1">
        <v>3.0</v>
      </c>
      <c r="D157" s="1">
        <v>2.0</v>
      </c>
    </row>
    <row r="158">
      <c r="A158" s="3" t="s">
        <v>166</v>
      </c>
      <c r="B158" s="1">
        <v>1.0</v>
      </c>
      <c r="C158" s="1">
        <v>3.0</v>
      </c>
      <c r="D158" s="1">
        <v>2.0</v>
      </c>
    </row>
    <row r="159">
      <c r="A159" s="3" t="s">
        <v>167</v>
      </c>
      <c r="B159" s="1">
        <v>1.0</v>
      </c>
      <c r="C159" s="1">
        <v>3.0</v>
      </c>
      <c r="D159" s="1">
        <v>2.0</v>
      </c>
    </row>
    <row r="160">
      <c r="A160" s="3" t="s">
        <v>168</v>
      </c>
      <c r="B160" s="1">
        <v>1.0</v>
      </c>
      <c r="C160" s="1">
        <v>3.0</v>
      </c>
      <c r="D160" s="1">
        <v>2.0</v>
      </c>
    </row>
    <row r="161">
      <c r="A161" s="3" t="s">
        <v>169</v>
      </c>
      <c r="B161" s="1">
        <v>1.0</v>
      </c>
      <c r="C161" s="1">
        <v>3.0</v>
      </c>
      <c r="D161" s="1">
        <v>2.0</v>
      </c>
    </row>
    <row r="162">
      <c r="A162" s="3" t="s">
        <v>170</v>
      </c>
      <c r="B162" s="1">
        <v>1.0</v>
      </c>
      <c r="C162" s="1">
        <v>3.0</v>
      </c>
      <c r="D162" s="1">
        <v>2.0</v>
      </c>
    </row>
    <row r="163">
      <c r="A163" s="3" t="s">
        <v>171</v>
      </c>
      <c r="B163" s="1">
        <v>1.0</v>
      </c>
      <c r="C163" s="1">
        <v>3.0</v>
      </c>
      <c r="D163" s="1">
        <v>2.0</v>
      </c>
    </row>
    <row r="164">
      <c r="A164" s="3" t="s">
        <v>172</v>
      </c>
      <c r="B164" s="1">
        <v>1.0</v>
      </c>
      <c r="C164" s="1">
        <v>3.0</v>
      </c>
      <c r="D164" s="1">
        <v>2.0</v>
      </c>
    </row>
    <row r="165">
      <c r="A165" s="3" t="s">
        <v>173</v>
      </c>
      <c r="B165" s="1">
        <v>1.0</v>
      </c>
      <c r="C165" s="1">
        <v>3.0</v>
      </c>
      <c r="D165" s="1">
        <v>2.0</v>
      </c>
    </row>
    <row r="166">
      <c r="A166" s="1" t="s">
        <v>174</v>
      </c>
      <c r="B166" s="1">
        <v>1.0</v>
      </c>
      <c r="C166" s="1">
        <v>3.0</v>
      </c>
      <c r="D166" s="1">
        <v>2.0</v>
      </c>
    </row>
    <row r="167">
      <c r="A167" s="3" t="s">
        <v>175</v>
      </c>
      <c r="B167" s="1">
        <v>1.0</v>
      </c>
      <c r="C167" s="1">
        <v>3.0</v>
      </c>
      <c r="D167" s="1">
        <v>2.0</v>
      </c>
    </row>
    <row r="168">
      <c r="A168" s="3" t="s">
        <v>176</v>
      </c>
      <c r="B168" s="1">
        <v>1.0</v>
      </c>
      <c r="C168" s="1">
        <v>3.0</v>
      </c>
      <c r="D168" s="1">
        <v>2.0</v>
      </c>
    </row>
    <row r="169">
      <c r="A169" s="1" t="s">
        <v>177</v>
      </c>
      <c r="B169" s="1">
        <v>1.0</v>
      </c>
      <c r="C169" s="1">
        <v>3.0</v>
      </c>
      <c r="D169" s="1">
        <v>2.0</v>
      </c>
    </row>
    <row r="170">
      <c r="A170" s="3" t="s">
        <v>178</v>
      </c>
      <c r="B170" s="1">
        <v>1.0</v>
      </c>
      <c r="C170" s="1">
        <v>3.0</v>
      </c>
      <c r="D170" s="1">
        <v>2.0</v>
      </c>
    </row>
    <row r="171">
      <c r="A171" s="1" t="s">
        <v>179</v>
      </c>
      <c r="B171" s="1">
        <v>3.0</v>
      </c>
      <c r="C171" s="1">
        <v>3.0</v>
      </c>
      <c r="D171" s="1">
        <v>2.0</v>
      </c>
    </row>
    <row r="172">
      <c r="A172" s="1" t="s">
        <v>180</v>
      </c>
      <c r="B172" s="1">
        <v>1.0</v>
      </c>
      <c r="C172" s="1">
        <v>4.0</v>
      </c>
      <c r="D172" s="1">
        <v>1.0</v>
      </c>
    </row>
    <row r="173">
      <c r="A173" s="1" t="s">
        <v>181</v>
      </c>
      <c r="B173" s="1">
        <v>1.0</v>
      </c>
      <c r="C173" s="1">
        <v>4.0</v>
      </c>
      <c r="D173" s="1">
        <v>1.0</v>
      </c>
    </row>
    <row r="174">
      <c r="A174" s="1" t="s">
        <v>182</v>
      </c>
      <c r="B174" s="1">
        <v>1.0</v>
      </c>
      <c r="C174" s="1">
        <v>3.0</v>
      </c>
      <c r="D174" s="1">
        <v>2.0</v>
      </c>
    </row>
    <row r="175">
      <c r="A175" s="1" t="s">
        <v>183</v>
      </c>
      <c r="B175" s="1">
        <v>1.0</v>
      </c>
      <c r="C175" s="1">
        <v>4.0</v>
      </c>
      <c r="D175" s="1">
        <v>2.0</v>
      </c>
    </row>
    <row r="176">
      <c r="A176" s="1" t="s">
        <v>184</v>
      </c>
      <c r="B176" s="1">
        <v>1.0</v>
      </c>
      <c r="C176" s="1">
        <v>3.0</v>
      </c>
      <c r="D176" s="1">
        <v>2.0</v>
      </c>
    </row>
    <row r="177">
      <c r="A177" s="1" t="s">
        <v>185</v>
      </c>
      <c r="B177" s="1">
        <v>1.0</v>
      </c>
      <c r="C177" s="1">
        <v>3.0</v>
      </c>
      <c r="D177" s="1">
        <v>2.0</v>
      </c>
    </row>
    <row r="178">
      <c r="A178" s="1" t="s">
        <v>186</v>
      </c>
      <c r="B178" s="1">
        <v>1.0</v>
      </c>
      <c r="C178" s="1">
        <v>3.0</v>
      </c>
      <c r="D178" s="1">
        <v>2.0</v>
      </c>
    </row>
    <row r="179">
      <c r="A179" s="1" t="s">
        <v>187</v>
      </c>
      <c r="B179" s="1">
        <v>1.0</v>
      </c>
      <c r="C179" s="1">
        <v>3.0</v>
      </c>
      <c r="D179" s="1">
        <v>2.0</v>
      </c>
    </row>
    <row r="180">
      <c r="A180" s="1" t="s">
        <v>188</v>
      </c>
      <c r="B180" s="1">
        <v>1.0</v>
      </c>
      <c r="C180" s="1">
        <v>3.0</v>
      </c>
      <c r="D180" s="1">
        <v>2.0</v>
      </c>
    </row>
    <row r="181">
      <c r="A181" s="1" t="s">
        <v>189</v>
      </c>
      <c r="B181" s="1">
        <v>1.0</v>
      </c>
      <c r="C181" s="1">
        <v>3.0</v>
      </c>
      <c r="D181" s="1">
        <v>2.0</v>
      </c>
    </row>
    <row r="182">
      <c r="A182" s="1" t="s">
        <v>190</v>
      </c>
      <c r="B182" s="1">
        <v>1.0</v>
      </c>
      <c r="C182" s="1">
        <v>3.0</v>
      </c>
      <c r="D182" s="1">
        <v>2.0</v>
      </c>
    </row>
    <row r="183">
      <c r="A183" s="1" t="s">
        <v>191</v>
      </c>
      <c r="B183" s="1">
        <v>1.0</v>
      </c>
      <c r="C183" s="1">
        <v>3.0</v>
      </c>
      <c r="D183" s="1">
        <v>2.0</v>
      </c>
    </row>
    <row r="184">
      <c r="A184" s="1" t="s">
        <v>192</v>
      </c>
      <c r="B184" s="1">
        <v>1.0</v>
      </c>
      <c r="C184" s="1">
        <v>3.0</v>
      </c>
      <c r="D184" s="1">
        <v>2.0</v>
      </c>
    </row>
    <row r="185">
      <c r="A185" s="1" t="s">
        <v>193</v>
      </c>
      <c r="B185" s="1">
        <v>1.0</v>
      </c>
      <c r="C185" s="1">
        <v>3.0</v>
      </c>
      <c r="D185" s="1">
        <v>2.0</v>
      </c>
    </row>
    <row r="186">
      <c r="A186" s="1" t="s">
        <v>194</v>
      </c>
      <c r="B186" s="1">
        <v>1.0</v>
      </c>
      <c r="C186" s="1">
        <v>3.0</v>
      </c>
      <c r="D186" s="1">
        <v>2.0</v>
      </c>
    </row>
    <row r="187">
      <c r="A187" s="1" t="s">
        <v>195</v>
      </c>
      <c r="B187" s="1">
        <v>1.0</v>
      </c>
      <c r="C187" s="1">
        <v>3.0</v>
      </c>
      <c r="D187" s="1">
        <v>2.0</v>
      </c>
    </row>
    <row r="188">
      <c r="A188" s="1" t="s">
        <v>196</v>
      </c>
      <c r="B188" s="1">
        <v>1.0</v>
      </c>
      <c r="C188" s="1">
        <v>3.0</v>
      </c>
      <c r="D188" s="1">
        <v>2.0</v>
      </c>
    </row>
    <row r="189">
      <c r="A189" s="1" t="s">
        <v>197</v>
      </c>
      <c r="B189" s="1">
        <v>1.0</v>
      </c>
      <c r="C189" s="1">
        <v>3.0</v>
      </c>
      <c r="D189" s="1">
        <v>2.0</v>
      </c>
    </row>
    <row r="190">
      <c r="A190" s="1" t="s">
        <v>198</v>
      </c>
      <c r="B190" s="1">
        <v>1.0</v>
      </c>
      <c r="C190" s="1">
        <v>3.0</v>
      </c>
      <c r="D190" s="1">
        <v>2.0</v>
      </c>
    </row>
    <row r="191">
      <c r="A191" s="1" t="s">
        <v>199</v>
      </c>
      <c r="B191" s="1">
        <v>1.0</v>
      </c>
      <c r="C191" s="1">
        <v>3.0</v>
      </c>
      <c r="D191" s="1">
        <v>2.0</v>
      </c>
    </row>
    <row r="192">
      <c r="A192" s="1" t="s">
        <v>200</v>
      </c>
      <c r="B192" s="1">
        <v>1.0</v>
      </c>
      <c r="C192" s="1">
        <v>3.0</v>
      </c>
      <c r="D192" s="1">
        <v>2.0</v>
      </c>
    </row>
    <row r="193">
      <c r="A193" s="1" t="s">
        <v>201</v>
      </c>
      <c r="B193" s="1">
        <v>1.0</v>
      </c>
      <c r="C193" s="1">
        <v>4.0</v>
      </c>
      <c r="D193" s="1">
        <v>1.0</v>
      </c>
    </row>
    <row r="194">
      <c r="A194" s="1" t="s">
        <v>202</v>
      </c>
      <c r="B194" s="1">
        <v>1.0</v>
      </c>
      <c r="C194" s="1">
        <v>3.0</v>
      </c>
      <c r="D194" s="1">
        <v>2.0</v>
      </c>
    </row>
    <row r="195">
      <c r="A195" s="1" t="s">
        <v>203</v>
      </c>
      <c r="B195" s="1">
        <v>1.0</v>
      </c>
      <c r="C195" s="1">
        <v>3.0</v>
      </c>
      <c r="D195" s="1">
        <v>2.0</v>
      </c>
    </row>
    <row r="196">
      <c r="A196" s="1" t="s">
        <v>204</v>
      </c>
      <c r="B196" s="1">
        <v>1.0</v>
      </c>
      <c r="C196" s="1">
        <v>3.0</v>
      </c>
      <c r="D196" s="1">
        <v>2.0</v>
      </c>
    </row>
    <row r="197">
      <c r="A197" s="1" t="s">
        <v>205</v>
      </c>
      <c r="B197" s="1">
        <v>1.0</v>
      </c>
      <c r="C197" s="1">
        <v>3.0</v>
      </c>
      <c r="D197" s="1">
        <v>2.0</v>
      </c>
    </row>
    <row r="198">
      <c r="A198" s="1" t="s">
        <v>206</v>
      </c>
      <c r="B198" s="1">
        <v>1.0</v>
      </c>
      <c r="C198" s="1">
        <v>5.0</v>
      </c>
      <c r="D198" s="1">
        <v>3.0</v>
      </c>
    </row>
    <row r="199">
      <c r="A199" s="1" t="s">
        <v>207</v>
      </c>
      <c r="B199" s="1">
        <v>1.0</v>
      </c>
      <c r="C199" s="1">
        <v>4.0</v>
      </c>
      <c r="D199" s="1">
        <v>2.0</v>
      </c>
    </row>
    <row r="200">
      <c r="A200" s="1" t="s">
        <v>208</v>
      </c>
      <c r="B200" s="1">
        <v>1.0</v>
      </c>
      <c r="C200" s="1">
        <v>3.0</v>
      </c>
      <c r="D200" s="1">
        <v>2.0</v>
      </c>
    </row>
    <row r="201">
      <c r="A201" s="3" t="s">
        <v>209</v>
      </c>
      <c r="B201" s="1">
        <v>1.0</v>
      </c>
      <c r="C201" s="1">
        <v>3.0</v>
      </c>
      <c r="D201" s="1">
        <v>2.0</v>
      </c>
    </row>
    <row r="202">
      <c r="A202" s="3" t="s">
        <v>210</v>
      </c>
      <c r="B202" s="1">
        <v>1.0</v>
      </c>
      <c r="C202" s="1">
        <v>3.0</v>
      </c>
      <c r="D202" s="1">
        <v>2.0</v>
      </c>
    </row>
    <row r="203">
      <c r="A203" s="3" t="s">
        <v>211</v>
      </c>
      <c r="B203" s="1">
        <v>1.0</v>
      </c>
      <c r="C203" s="1">
        <v>3.0</v>
      </c>
      <c r="D203" s="1">
        <v>2.0</v>
      </c>
    </row>
    <row r="204">
      <c r="A204" s="3" t="s">
        <v>212</v>
      </c>
      <c r="B204" s="1">
        <v>1.0</v>
      </c>
      <c r="C204" s="1">
        <v>3.0</v>
      </c>
      <c r="D204" s="1">
        <v>2.0</v>
      </c>
    </row>
    <row r="205">
      <c r="A205" s="1" t="s">
        <v>213</v>
      </c>
      <c r="B205" s="1">
        <v>1.0</v>
      </c>
      <c r="C205" s="1">
        <v>4.0</v>
      </c>
      <c r="D205" s="1">
        <v>1.0</v>
      </c>
    </row>
    <row r="206">
      <c r="A206" s="1" t="s">
        <v>214</v>
      </c>
      <c r="B206" s="1">
        <v>1.0</v>
      </c>
      <c r="C206" s="1">
        <v>3.0</v>
      </c>
      <c r="D206" s="1">
        <v>2.0</v>
      </c>
    </row>
    <row r="207">
      <c r="A207" s="1" t="s">
        <v>215</v>
      </c>
      <c r="B207" s="1">
        <v>1.0</v>
      </c>
      <c r="C207" s="1">
        <v>3.0</v>
      </c>
      <c r="D207" s="1">
        <v>2.0</v>
      </c>
    </row>
    <row r="208">
      <c r="A208" s="1" t="s">
        <v>216</v>
      </c>
      <c r="B208" s="1">
        <v>1.0</v>
      </c>
      <c r="C208" s="1">
        <v>3.0</v>
      </c>
      <c r="D208" s="1">
        <v>2.0</v>
      </c>
    </row>
    <row r="209">
      <c r="A209" s="1" t="s">
        <v>217</v>
      </c>
      <c r="B209" s="1">
        <v>1.0</v>
      </c>
      <c r="C209" s="1">
        <v>3.0</v>
      </c>
      <c r="D209" s="1">
        <v>2.0</v>
      </c>
    </row>
    <row r="210">
      <c r="A210" s="1" t="s">
        <v>218</v>
      </c>
      <c r="B210" s="1">
        <v>1.0</v>
      </c>
      <c r="C210" s="1">
        <v>3.0</v>
      </c>
      <c r="D210" s="1">
        <v>2.0</v>
      </c>
    </row>
    <row r="211">
      <c r="A211" s="3" t="s">
        <v>219</v>
      </c>
      <c r="B211" s="1">
        <v>1.0</v>
      </c>
      <c r="C211" s="1">
        <v>3.0</v>
      </c>
      <c r="D211" s="1">
        <v>2.0</v>
      </c>
    </row>
    <row r="212">
      <c r="A212" s="1" t="s">
        <v>220</v>
      </c>
      <c r="B212" s="1">
        <v>1.0</v>
      </c>
      <c r="C212" s="1">
        <v>3.0</v>
      </c>
      <c r="D212" s="1">
        <v>2.0</v>
      </c>
    </row>
    <row r="213">
      <c r="A213" s="1" t="s">
        <v>221</v>
      </c>
      <c r="B213" s="1">
        <v>1.0</v>
      </c>
      <c r="C213" s="1">
        <v>3.0</v>
      </c>
      <c r="D213" s="1">
        <v>2.0</v>
      </c>
    </row>
    <row r="214">
      <c r="A214" s="1" t="s">
        <v>222</v>
      </c>
      <c r="B214" s="1">
        <v>1.0</v>
      </c>
      <c r="C214" s="1">
        <v>3.0</v>
      </c>
      <c r="D214" s="1">
        <v>2.0</v>
      </c>
    </row>
    <row r="215">
      <c r="A215" s="1" t="s">
        <v>223</v>
      </c>
      <c r="B215" s="1">
        <v>1.0</v>
      </c>
      <c r="C215" s="1">
        <v>4.0</v>
      </c>
      <c r="D215" s="1">
        <v>2.0</v>
      </c>
    </row>
    <row r="216">
      <c r="A216" s="1" t="s">
        <v>224</v>
      </c>
      <c r="B216" s="1">
        <v>1.0</v>
      </c>
      <c r="C216" s="1">
        <v>4.0</v>
      </c>
      <c r="D216" s="1">
        <v>2.0</v>
      </c>
    </row>
    <row r="217">
      <c r="A217" s="1" t="s">
        <v>225</v>
      </c>
      <c r="B217" s="1">
        <v>1.0</v>
      </c>
      <c r="C217" s="1">
        <v>3.0</v>
      </c>
      <c r="D217" s="1">
        <v>2.0</v>
      </c>
    </row>
    <row r="218">
      <c r="A218" s="1" t="s">
        <v>226</v>
      </c>
      <c r="B218" s="1">
        <v>0.0</v>
      </c>
      <c r="C218" s="1">
        <v>5.0</v>
      </c>
      <c r="D218" s="1">
        <v>1.0</v>
      </c>
    </row>
    <row r="219">
      <c r="A219" s="1" t="s">
        <v>227</v>
      </c>
      <c r="B219" s="1">
        <v>1.0</v>
      </c>
      <c r="C219" s="1">
        <v>4.0</v>
      </c>
      <c r="D219" s="1">
        <v>1.0</v>
      </c>
    </row>
    <row r="220">
      <c r="A220" s="1" t="s">
        <v>228</v>
      </c>
      <c r="B220" s="1">
        <v>1.0</v>
      </c>
      <c r="C220" s="1">
        <v>4.0</v>
      </c>
      <c r="D220" s="1">
        <v>2.0</v>
      </c>
    </row>
    <row r="221">
      <c r="A221" s="1" t="s">
        <v>229</v>
      </c>
      <c r="B221" s="1">
        <v>1.0</v>
      </c>
      <c r="C221" s="1">
        <v>4.0</v>
      </c>
      <c r="D221" s="1">
        <v>2.0</v>
      </c>
    </row>
    <row r="222">
      <c r="A222" s="1" t="s">
        <v>230</v>
      </c>
      <c r="B222" s="1">
        <v>1.0</v>
      </c>
      <c r="C222" s="1">
        <v>4.0</v>
      </c>
      <c r="D222" s="1">
        <v>2.0</v>
      </c>
    </row>
    <row r="223">
      <c r="A223" s="1" t="s">
        <v>231</v>
      </c>
      <c r="B223" s="1">
        <v>1.0</v>
      </c>
      <c r="C223" s="1">
        <v>4.0</v>
      </c>
      <c r="D223" s="1">
        <v>2.0</v>
      </c>
    </row>
    <row r="224">
      <c r="A224" s="1" t="s">
        <v>232</v>
      </c>
      <c r="B224" s="1">
        <v>1.0</v>
      </c>
      <c r="C224" s="1">
        <v>3.0</v>
      </c>
      <c r="D224" s="1">
        <v>2.0</v>
      </c>
    </row>
    <row r="225">
      <c r="A225" s="1" t="s">
        <v>233</v>
      </c>
      <c r="B225" s="1">
        <v>3.0</v>
      </c>
      <c r="C225" s="1">
        <v>4.0</v>
      </c>
      <c r="D225" s="1">
        <v>3.0</v>
      </c>
    </row>
    <row r="226">
      <c r="A226" s="3" t="s">
        <v>234</v>
      </c>
      <c r="B226" s="1">
        <v>1.0</v>
      </c>
      <c r="C226" s="1">
        <v>3.0</v>
      </c>
      <c r="D226" s="1">
        <v>2.0</v>
      </c>
    </row>
    <row r="227">
      <c r="A227" s="1" t="s">
        <v>235</v>
      </c>
      <c r="B227" s="1">
        <v>1.0</v>
      </c>
      <c r="C227" s="1">
        <v>3.0</v>
      </c>
      <c r="D227" s="1">
        <v>2.0</v>
      </c>
    </row>
    <row r="228">
      <c r="A228" s="1" t="s">
        <v>236</v>
      </c>
      <c r="B228" s="1">
        <v>1.0</v>
      </c>
      <c r="C228" s="1">
        <v>3.0</v>
      </c>
      <c r="D228" s="1">
        <v>2.0</v>
      </c>
    </row>
    <row r="229">
      <c r="A229" s="1" t="s">
        <v>237</v>
      </c>
      <c r="B229" s="1">
        <v>1.0</v>
      </c>
      <c r="C229" s="1">
        <v>3.0</v>
      </c>
      <c r="D229" s="1">
        <v>2.0</v>
      </c>
    </row>
    <row r="230">
      <c r="A230" s="1" t="s">
        <v>238</v>
      </c>
      <c r="B230" s="1">
        <v>1.0</v>
      </c>
      <c r="C230" s="1">
        <v>5.0</v>
      </c>
      <c r="D230" s="1">
        <v>2.0</v>
      </c>
    </row>
    <row r="231">
      <c r="A231" s="1" t="s">
        <v>239</v>
      </c>
      <c r="B231" s="1">
        <v>1.0</v>
      </c>
      <c r="C231" s="1">
        <v>4.0</v>
      </c>
      <c r="D231" s="1">
        <v>2.0</v>
      </c>
    </row>
    <row r="232">
      <c r="A232" s="1" t="s">
        <v>240</v>
      </c>
      <c r="B232" s="1">
        <v>1.0</v>
      </c>
      <c r="C232" s="1">
        <v>3.0</v>
      </c>
      <c r="D232" s="1">
        <v>2.0</v>
      </c>
    </row>
    <row r="233">
      <c r="A233" s="1" t="s">
        <v>241</v>
      </c>
      <c r="B233" s="1">
        <v>1.0</v>
      </c>
      <c r="C233" s="1">
        <v>3.0</v>
      </c>
      <c r="D233" s="1">
        <v>2.0</v>
      </c>
    </row>
    <row r="234">
      <c r="A234" s="1" t="s">
        <v>242</v>
      </c>
      <c r="B234" s="1">
        <v>1.0</v>
      </c>
      <c r="C234" s="1">
        <v>3.0</v>
      </c>
      <c r="D234" s="1">
        <v>2.0</v>
      </c>
    </row>
    <row r="235">
      <c r="A235" s="1" t="s">
        <v>243</v>
      </c>
      <c r="B235" s="1">
        <v>1.0</v>
      </c>
      <c r="C235" s="1">
        <v>3.0</v>
      </c>
      <c r="D235" s="1">
        <v>2.0</v>
      </c>
    </row>
    <row r="236">
      <c r="A236" s="1" t="s">
        <v>244</v>
      </c>
      <c r="B236" s="1">
        <v>1.0</v>
      </c>
      <c r="C236" s="1">
        <v>3.0</v>
      </c>
      <c r="D236" s="1">
        <v>2.0</v>
      </c>
    </row>
    <row r="237">
      <c r="A237" s="1" t="s">
        <v>245</v>
      </c>
      <c r="B237" s="1">
        <v>1.0</v>
      </c>
      <c r="C237" s="1">
        <v>3.0</v>
      </c>
      <c r="D237" s="1">
        <v>2.0</v>
      </c>
    </row>
    <row r="238">
      <c r="A238" s="1" t="s">
        <v>246</v>
      </c>
      <c r="B238" s="1">
        <v>1.0</v>
      </c>
      <c r="C238" s="1">
        <v>3.0</v>
      </c>
      <c r="D238" s="1">
        <v>2.0</v>
      </c>
    </row>
    <row r="239">
      <c r="A239" s="3" t="s">
        <v>247</v>
      </c>
      <c r="B239" s="1">
        <v>1.0</v>
      </c>
      <c r="C239" s="1">
        <v>3.0</v>
      </c>
      <c r="D239" s="1">
        <v>2.0</v>
      </c>
    </row>
    <row r="240">
      <c r="A240" s="1" t="s">
        <v>248</v>
      </c>
      <c r="B240" s="1">
        <v>0.0</v>
      </c>
      <c r="C240" s="1">
        <v>5.0</v>
      </c>
      <c r="D240" s="1">
        <v>0.0</v>
      </c>
    </row>
    <row r="241">
      <c r="A241" s="1" t="s">
        <v>249</v>
      </c>
      <c r="B241" s="1">
        <v>1.0</v>
      </c>
      <c r="C241" s="1">
        <v>3.0</v>
      </c>
      <c r="D241" s="1">
        <v>2.0</v>
      </c>
    </row>
    <row r="242">
      <c r="A242" s="1" t="s">
        <v>250</v>
      </c>
      <c r="B242" s="1">
        <v>1.0</v>
      </c>
      <c r="C242" s="1">
        <v>3.0</v>
      </c>
      <c r="D242" s="1">
        <v>2.0</v>
      </c>
    </row>
    <row r="243">
      <c r="A243" s="1" t="s">
        <v>251</v>
      </c>
      <c r="B243" s="1">
        <v>1.0</v>
      </c>
      <c r="C243" s="1">
        <v>3.0</v>
      </c>
      <c r="D243" s="1">
        <v>2.0</v>
      </c>
    </row>
    <row r="244">
      <c r="A244" s="1" t="s">
        <v>252</v>
      </c>
      <c r="B244" s="1">
        <v>1.0</v>
      </c>
      <c r="C244" s="1">
        <v>4.0</v>
      </c>
      <c r="D244" s="1">
        <v>1.0</v>
      </c>
    </row>
    <row r="245">
      <c r="A245" s="1" t="s">
        <v>253</v>
      </c>
      <c r="B245" s="1">
        <v>2.0</v>
      </c>
      <c r="C245" s="1">
        <v>4.0</v>
      </c>
      <c r="D245" s="1">
        <v>2.0</v>
      </c>
    </row>
    <row r="246">
      <c r="A246" s="1" t="s">
        <v>254</v>
      </c>
      <c r="B246" s="1">
        <v>1.0</v>
      </c>
      <c r="C246" s="1">
        <v>3.0</v>
      </c>
      <c r="D246" s="1">
        <v>2.0</v>
      </c>
    </row>
    <row r="247">
      <c r="A247" s="1" t="s">
        <v>255</v>
      </c>
      <c r="B247" s="1">
        <v>1.0</v>
      </c>
      <c r="C247" s="1">
        <v>3.0</v>
      </c>
      <c r="D247" s="1">
        <v>2.0</v>
      </c>
    </row>
    <row r="248">
      <c r="A248" s="1" t="s">
        <v>256</v>
      </c>
      <c r="B248" s="1">
        <v>1.0</v>
      </c>
      <c r="C248" s="1">
        <v>3.0</v>
      </c>
      <c r="D248" s="1">
        <v>2.0</v>
      </c>
    </row>
    <row r="249">
      <c r="A249" s="1" t="s">
        <v>257</v>
      </c>
      <c r="B249" s="1">
        <v>1.0</v>
      </c>
      <c r="C249" s="1">
        <v>3.0</v>
      </c>
      <c r="D249" s="1">
        <v>2.0</v>
      </c>
    </row>
    <row r="250">
      <c r="A250" s="1" t="s">
        <v>258</v>
      </c>
      <c r="B250" s="1">
        <v>1.0</v>
      </c>
      <c r="C250" s="1">
        <v>3.0</v>
      </c>
      <c r="D250" s="1">
        <v>2.0</v>
      </c>
    </row>
    <row r="251">
      <c r="A251" s="1" t="s">
        <v>259</v>
      </c>
      <c r="B251" s="1">
        <v>1.0</v>
      </c>
      <c r="C251" s="1">
        <v>3.0</v>
      </c>
      <c r="D251" s="1">
        <v>2.0</v>
      </c>
    </row>
    <row r="252">
      <c r="A252" s="1" t="s">
        <v>260</v>
      </c>
      <c r="B252" s="1">
        <v>1.0</v>
      </c>
      <c r="C252" s="1">
        <v>3.0</v>
      </c>
      <c r="D252" s="1">
        <v>2.0</v>
      </c>
    </row>
    <row r="253">
      <c r="A253" s="1" t="s">
        <v>261</v>
      </c>
      <c r="B253" s="1">
        <v>1.0</v>
      </c>
      <c r="C253" s="1">
        <v>3.0</v>
      </c>
      <c r="D253" s="1">
        <v>2.0</v>
      </c>
    </row>
    <row r="254">
      <c r="A254" s="1" t="s">
        <v>40</v>
      </c>
      <c r="B254" s="1">
        <v>1.0</v>
      </c>
      <c r="C254" s="1">
        <v>3.0</v>
      </c>
      <c r="D254" s="1">
        <v>2.0</v>
      </c>
    </row>
    <row r="255">
      <c r="A255" s="1" t="s">
        <v>262</v>
      </c>
      <c r="B255" s="1">
        <v>1.0</v>
      </c>
      <c r="C255" s="1">
        <v>3.0</v>
      </c>
      <c r="D255" s="1">
        <v>2.0</v>
      </c>
    </row>
    <row r="256">
      <c r="A256" s="1" t="s">
        <v>263</v>
      </c>
      <c r="B256" s="1">
        <v>1.0</v>
      </c>
      <c r="C256" s="1">
        <v>3.0</v>
      </c>
      <c r="D256" s="1">
        <v>2.0</v>
      </c>
    </row>
    <row r="257">
      <c r="A257" s="1" t="s">
        <v>264</v>
      </c>
      <c r="B257" s="1">
        <v>1.0</v>
      </c>
      <c r="C257" s="1">
        <v>3.0</v>
      </c>
      <c r="D257" s="1">
        <v>2.0</v>
      </c>
    </row>
    <row r="258">
      <c r="A258" s="1" t="s">
        <v>265</v>
      </c>
      <c r="B258" s="1">
        <v>1.0</v>
      </c>
      <c r="C258" s="1">
        <v>3.0</v>
      </c>
      <c r="D258" s="1">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6" max="6" width="15.88"/>
    <col customWidth="1" min="7" max="7" width="15.0"/>
    <col customWidth="1" min="9" max="9" width="15.25"/>
  </cols>
  <sheetData>
    <row r="1">
      <c r="A1" s="1" t="s">
        <v>266</v>
      </c>
      <c r="B1" s="1" t="s">
        <v>267</v>
      </c>
      <c r="C1" s="1" t="s">
        <v>268</v>
      </c>
      <c r="D1" s="1" t="s">
        <v>269</v>
      </c>
      <c r="E1" s="4" t="s">
        <v>270</v>
      </c>
      <c r="F1" s="4" t="s">
        <v>271</v>
      </c>
      <c r="G1" s="4" t="s">
        <v>272</v>
      </c>
      <c r="H1" s="4" t="s">
        <v>273</v>
      </c>
      <c r="I1" s="4" t="s">
        <v>274</v>
      </c>
    </row>
    <row r="2">
      <c r="A2" s="1" t="s">
        <v>275</v>
      </c>
      <c r="B2" s="4">
        <v>1.0</v>
      </c>
      <c r="C2" s="4">
        <v>1.0</v>
      </c>
      <c r="D2" s="4">
        <v>1.0</v>
      </c>
      <c r="E2" s="4" t="s">
        <v>276</v>
      </c>
      <c r="F2" s="4" t="s">
        <v>277</v>
      </c>
      <c r="G2" s="4" t="s">
        <v>278</v>
      </c>
      <c r="H2" s="4">
        <f>IF(G2="Tier",
  "Tier",
  IFNA(VLOOKUP(G2,'Machine Helper Sheet'!$B$2:$D$16,3,FALSE),
    IF(ISNUMBER(VLOOKUP(G2,$A$2:$I$200,9,FALSE)),
      VLOOKUP(G2,$A$2:$I$200,8,FALSE)+VLOOKUP(G2,$A$2:$I$200,9,FALSE),
      0
    )
  )
)</f>
        <v>1105511</v>
      </c>
      <c r="I2" s="4">
        <v>300000.0</v>
      </c>
    </row>
    <row r="3">
      <c r="A3" s="1" t="s">
        <v>279</v>
      </c>
      <c r="B3" s="4">
        <v>1.0</v>
      </c>
      <c r="C3" s="4">
        <v>1.0</v>
      </c>
      <c r="D3" s="4">
        <v>1.0</v>
      </c>
      <c r="E3" s="4" t="s">
        <v>280</v>
      </c>
      <c r="F3" s="4" t="s">
        <v>277</v>
      </c>
      <c r="G3" s="4" t="s">
        <v>281</v>
      </c>
      <c r="H3" s="4" t="str">
        <f>IF(G3="Tier",
  "Tier",
  IFNA(VLOOKUP(G3,'Machine Helper Sheet'!$B$2:$D$16,3,FALSE),
    IF(ISNUMBER(VLOOKUP(G3,$A$2:$I$200,9,FALSE)),
      VLOOKUP(G3,$A$2:$I$200,8,FALSE)+VLOOKUP(G3,$A$2:$I$200,9,FALSE),
      0
    )
  )
)</f>
        <v>Tier</v>
      </c>
      <c r="I3" s="4" t="s">
        <v>282</v>
      </c>
    </row>
    <row r="4">
      <c r="A4" s="1" t="s">
        <v>283</v>
      </c>
      <c r="B4" s="4">
        <v>1.0</v>
      </c>
      <c r="C4" s="4">
        <v>1.0</v>
      </c>
      <c r="D4" s="4">
        <v>1.0</v>
      </c>
      <c r="E4" s="4" t="s">
        <v>280</v>
      </c>
      <c r="F4" s="4" t="s">
        <v>277</v>
      </c>
      <c r="G4" s="4" t="s">
        <v>281</v>
      </c>
      <c r="H4" s="4" t="str">
        <f>IF(G4="Tier",
  "Tier",
  IFNA(VLOOKUP(G4,'Machine Helper Sheet'!$B$2:$D$16,3,FALSE),
    IF(ISNUMBER(VLOOKUP(G4,$A$2:$I$200,9,FALSE)),
      VLOOKUP(G4,$A$2:$I$200,8,FALSE)+VLOOKUP(G4,$A$2:$I$200,9,FALSE),
      0
    )
  )
)</f>
        <v>Tier</v>
      </c>
      <c r="I4" s="4" t="s">
        <v>282</v>
      </c>
    </row>
    <row r="5">
      <c r="A5" s="1" t="s">
        <v>284</v>
      </c>
      <c r="B5" s="4">
        <v>1.0</v>
      </c>
      <c r="C5" s="4">
        <v>1.0</v>
      </c>
      <c r="D5" s="4">
        <v>1.0</v>
      </c>
      <c r="E5" s="4" t="s">
        <v>276</v>
      </c>
      <c r="F5" s="4" t="s">
        <v>277</v>
      </c>
      <c r="G5" s="4" t="s">
        <v>281</v>
      </c>
      <c r="H5" s="4" t="str">
        <f>IF(G5="Tier",
  "Tier",
  IFNA(VLOOKUP(G5,'Machine Helper Sheet'!$B$2:$D$16,3,FALSE),
    IF(ISNUMBER(VLOOKUP(G5,$A$2:$I$200,9,FALSE)),
      VLOOKUP(G5,$A$2:$I$200,8,FALSE)+VLOOKUP(G5,$A$2:$I$200,9,FALSE),
      0
    )
  )
)</f>
        <v>Tier</v>
      </c>
      <c r="I5" s="4">
        <v>1.0E7</v>
      </c>
    </row>
    <row r="6">
      <c r="A6" s="1" t="s">
        <v>285</v>
      </c>
      <c r="B6" s="4">
        <v>1.0</v>
      </c>
      <c r="C6" s="4">
        <v>1.0</v>
      </c>
      <c r="D6" s="4">
        <v>1.0</v>
      </c>
      <c r="E6" s="4" t="s">
        <v>280</v>
      </c>
      <c r="F6" s="4" t="s">
        <v>277</v>
      </c>
      <c r="G6" s="4" t="s">
        <v>281</v>
      </c>
      <c r="H6" s="4" t="str">
        <f>IF(G6="Tier",
  "Tier",
  IFNA(VLOOKUP(G6,'Machine Helper Sheet'!$B$2:$D$16,3,FALSE),
    IF(ISNUMBER(VLOOKUP(G6,$A$2:$I$200,9,FALSE)),
      VLOOKUP(G6,$A$2:$I$200,8,FALSE)+VLOOKUP(G6,$A$2:$I$200,9,FALSE),
      0
    )
  )
)</f>
        <v>Tier</v>
      </c>
      <c r="I6" s="4" t="s">
        <v>286</v>
      </c>
    </row>
    <row r="7">
      <c r="A7" s="1" t="s">
        <v>287</v>
      </c>
      <c r="B7" s="4">
        <v>1.0</v>
      </c>
      <c r="C7" s="4">
        <v>1.0</v>
      </c>
      <c r="D7" s="4">
        <v>1.0</v>
      </c>
      <c r="E7" s="4" t="s">
        <v>280</v>
      </c>
      <c r="F7" s="4" t="s">
        <v>277</v>
      </c>
      <c r="G7" s="4" t="s">
        <v>281</v>
      </c>
      <c r="H7" s="4" t="str">
        <f>IF(G7="Tier",
  "Tier",
  IFNA(VLOOKUP(G7,'Machine Helper Sheet'!$B$2:$D$16,3,FALSE),
    IF(ISNUMBER(VLOOKUP(G7,$A$2:$I$200,9,FALSE)),
      VLOOKUP(G7,$A$2:$I$200,8,FALSE)+VLOOKUP(G7,$A$2:$I$200,9,FALSE),
      0
    )
  )
)</f>
        <v>Tier</v>
      </c>
      <c r="I7" s="4" t="s">
        <v>282</v>
      </c>
    </row>
    <row r="8">
      <c r="A8" s="1" t="s">
        <v>288</v>
      </c>
      <c r="B8" s="4">
        <v>1.0</v>
      </c>
      <c r="C8" s="4">
        <v>1.0</v>
      </c>
      <c r="D8" s="4">
        <v>1.0</v>
      </c>
      <c r="E8" s="4" t="s">
        <v>280</v>
      </c>
      <c r="F8" s="4" t="s">
        <v>277</v>
      </c>
      <c r="G8" s="4" t="s">
        <v>281</v>
      </c>
      <c r="H8" s="4" t="str">
        <f>IF(G8="Tier",
  "Tier",
  IFNA(VLOOKUP(G8,'Machine Helper Sheet'!$B$2:$D$16,3,FALSE),
    IF(ISNUMBER(VLOOKUP(G8,$A$2:$I$200,9,FALSE)),
      VLOOKUP(G8,$A$2:$I$200,8,FALSE)+VLOOKUP(G8,$A$2:$I$200,9,FALSE),
      0
    )
  )
)</f>
        <v>Tier</v>
      </c>
      <c r="I8" s="4" t="s">
        <v>282</v>
      </c>
    </row>
    <row r="9">
      <c r="A9" s="1" t="s">
        <v>289</v>
      </c>
      <c r="B9" s="4">
        <v>1.0</v>
      </c>
      <c r="C9" s="4">
        <v>1.0</v>
      </c>
      <c r="D9" s="4">
        <v>1.0</v>
      </c>
      <c r="E9" s="4" t="s">
        <v>280</v>
      </c>
      <c r="F9" s="4" t="s">
        <v>277</v>
      </c>
      <c r="G9" s="4" t="s">
        <v>281</v>
      </c>
      <c r="H9" s="4" t="str">
        <f>IF(G9="Tier",
  "Tier",
  IFNA(VLOOKUP(G9,'Machine Helper Sheet'!$B$2:$D$16,3,FALSE),
    IF(ISNUMBER(VLOOKUP(G9,$A$2:$I$200,9,FALSE)),
      VLOOKUP(G9,$A$2:$I$200,8,FALSE)+VLOOKUP(G9,$A$2:$I$200,9,FALSE),
      0
    )
  )
)</f>
        <v>Tier</v>
      </c>
      <c r="I9" s="4" t="s">
        <v>282</v>
      </c>
    </row>
    <row r="10">
      <c r="A10" s="1" t="s">
        <v>290</v>
      </c>
      <c r="B10" s="4">
        <v>1.0</v>
      </c>
      <c r="C10" s="4">
        <v>1.0</v>
      </c>
      <c r="D10" s="4">
        <v>1.0</v>
      </c>
      <c r="E10" s="4" t="s">
        <v>280</v>
      </c>
      <c r="F10" s="4" t="s">
        <v>277</v>
      </c>
      <c r="G10" s="4" t="s">
        <v>281</v>
      </c>
      <c r="H10" s="4" t="str">
        <f>IF(G10="Tier",
  "Tier",
  IFNA(VLOOKUP(G10,'Machine Helper Sheet'!$B$2:$D$16,3,FALSE),
    IF(ISNUMBER(VLOOKUP(G10,$A$2:$I$200,9,FALSE)),
      VLOOKUP(G10,$A$2:$I$200,8,FALSE)+VLOOKUP(G10,$A$2:$I$200,9,FALSE),
      0
    )
  )
)</f>
        <v>Tier</v>
      </c>
      <c r="I10" s="4" t="s">
        <v>282</v>
      </c>
    </row>
    <row r="11">
      <c r="A11" s="1" t="s">
        <v>291</v>
      </c>
      <c r="B11" s="4">
        <v>1.0</v>
      </c>
      <c r="C11" s="4">
        <v>1.0</v>
      </c>
      <c r="D11" s="4">
        <v>1.0</v>
      </c>
      <c r="E11" s="4" t="s">
        <v>280</v>
      </c>
      <c r="F11" s="4" t="s">
        <v>277</v>
      </c>
      <c r="G11" s="4" t="s">
        <v>281</v>
      </c>
      <c r="H11" s="4" t="str">
        <f>IF(G11="Tier",
  "Tier",
  IFNA(VLOOKUP(G11,'Machine Helper Sheet'!$B$2:$D$16,3,FALSE),
    IF(ISNUMBER(VLOOKUP(G11,$A$2:$I$200,9,FALSE)),
      VLOOKUP(G11,$A$2:$I$200,8,FALSE)+VLOOKUP(G11,$A$2:$I$200,9,FALSE),
      0
    )
  )
)</f>
        <v>Tier</v>
      </c>
      <c r="I11" s="4" t="s">
        <v>282</v>
      </c>
    </row>
    <row r="12">
      <c r="A12" s="1" t="s">
        <v>292</v>
      </c>
      <c r="B12" s="4">
        <v>1.0</v>
      </c>
      <c r="C12" s="4">
        <v>1.0</v>
      </c>
      <c r="D12" s="4">
        <v>1.0</v>
      </c>
      <c r="E12" s="4" t="s">
        <v>280</v>
      </c>
      <c r="F12" s="4" t="s">
        <v>277</v>
      </c>
      <c r="G12" s="4" t="s">
        <v>281</v>
      </c>
      <c r="H12" s="4" t="str">
        <f>IF(G12="Tier",
  "Tier",
  IFNA(VLOOKUP(G12,'Machine Helper Sheet'!$B$2:$D$16,3,FALSE),
    IF(ISNUMBER(VLOOKUP(G12,$A$2:$I$200,9,FALSE)),
      VLOOKUP(G12,$A$2:$I$200,8,FALSE)+VLOOKUP(G12,$A$2:$I$200,9,FALSE),
      0
    )
  )
)</f>
        <v>Tier</v>
      </c>
      <c r="I12" s="4" t="s">
        <v>282</v>
      </c>
    </row>
    <row r="13">
      <c r="A13" s="1" t="s">
        <v>293</v>
      </c>
      <c r="B13" s="4">
        <v>1.0</v>
      </c>
      <c r="C13" s="4">
        <v>1.0</v>
      </c>
      <c r="D13" s="4">
        <v>1.0</v>
      </c>
      <c r="E13" s="4" t="s">
        <v>280</v>
      </c>
      <c r="F13" s="4" t="s">
        <v>277</v>
      </c>
      <c r="G13" s="4" t="s">
        <v>281</v>
      </c>
      <c r="H13" s="4" t="str">
        <f>IF(G13="Tier",
  "Tier",
  IFNA(VLOOKUP(G13,'Machine Helper Sheet'!$B$2:$D$16,3,FALSE),
    IF(ISNUMBER(VLOOKUP(G13,$A$2:$I$200,9,FALSE)),
      VLOOKUP(G13,$A$2:$I$200,8,FALSE)+VLOOKUP(G13,$A$2:$I$200,9,FALSE),
      0
    )
  )
)</f>
        <v>Tier</v>
      </c>
      <c r="I13" s="4" t="s">
        <v>282</v>
      </c>
    </row>
    <row r="14">
      <c r="A14" s="1" t="s">
        <v>294</v>
      </c>
      <c r="B14" s="4">
        <v>1.0</v>
      </c>
      <c r="C14" s="4">
        <v>1.0</v>
      </c>
      <c r="D14" s="4">
        <v>1.0</v>
      </c>
      <c r="E14" s="4" t="s">
        <v>280</v>
      </c>
      <c r="F14" s="4" t="s">
        <v>277</v>
      </c>
      <c r="G14" s="4" t="s">
        <v>281</v>
      </c>
      <c r="H14" s="4" t="str">
        <f>IF(G14="Tier",
  "Tier",
  IFNA(VLOOKUP(G14,'Machine Helper Sheet'!$B$2:$D$16,3,FALSE),
    IF(ISNUMBER(VLOOKUP(G14,$A$2:$I$200,9,FALSE)),
      VLOOKUP(G14,$A$2:$I$200,8,FALSE)+VLOOKUP(G14,$A$2:$I$200,9,FALSE),
      0
    )
  )
)</f>
        <v>Tier</v>
      </c>
      <c r="I14" s="4" t="s">
        <v>282</v>
      </c>
    </row>
    <row r="15">
      <c r="A15" s="1" t="s">
        <v>295</v>
      </c>
      <c r="B15" s="4">
        <v>1.0</v>
      </c>
      <c r="C15" s="4">
        <v>1.0</v>
      </c>
      <c r="D15" s="4">
        <v>1.0</v>
      </c>
      <c r="E15" s="4" t="s">
        <v>280</v>
      </c>
      <c r="F15" s="4" t="s">
        <v>277</v>
      </c>
      <c r="G15" s="4" t="s">
        <v>281</v>
      </c>
      <c r="H15" s="4" t="str">
        <f>IF(G15="Tier",
  "Tier",
  IFNA(VLOOKUP(G15,'Machine Helper Sheet'!$B$2:$D$16,3,FALSE),
    IF(ISNUMBER(VLOOKUP(G15,$A$2:$I$200,9,FALSE)),
      VLOOKUP(G15,$A$2:$I$200,8,FALSE)+VLOOKUP(G15,$A$2:$I$200,9,FALSE),
      0
    )
  )
)</f>
        <v>Tier</v>
      </c>
      <c r="I15" s="4" t="s">
        <v>282</v>
      </c>
    </row>
    <row r="16">
      <c r="A16" s="1" t="s">
        <v>296</v>
      </c>
      <c r="B16" s="4">
        <v>1.0</v>
      </c>
      <c r="C16" s="4">
        <v>1.0</v>
      </c>
      <c r="D16" s="4">
        <v>1.0</v>
      </c>
      <c r="E16" s="4" t="s">
        <v>276</v>
      </c>
      <c r="F16" s="4" t="s">
        <v>277</v>
      </c>
      <c r="G16" s="4" t="s">
        <v>281</v>
      </c>
      <c r="H16" s="4" t="str">
        <f>IF(G16="Tier",
  "Tier",
  IFNA(VLOOKUP(G16,'Machine Helper Sheet'!$B$2:$D$16,3,FALSE),
    IF(ISNUMBER(VLOOKUP(G16,$A$2:$I$200,9,FALSE)),
      VLOOKUP(G16,$A$2:$I$200,8,FALSE)+VLOOKUP(G16,$A$2:$I$200,9,FALSE),
      0
    )
  )
)</f>
        <v>Tier</v>
      </c>
      <c r="I16" s="4" t="s">
        <v>282</v>
      </c>
    </row>
    <row r="17">
      <c r="A17" s="1" t="s">
        <v>297</v>
      </c>
      <c r="B17" s="4">
        <v>1.0</v>
      </c>
      <c r="C17" s="4">
        <v>1.0</v>
      </c>
      <c r="D17" s="4">
        <v>1.0</v>
      </c>
      <c r="E17" s="4" t="s">
        <v>280</v>
      </c>
      <c r="F17" s="4" t="s">
        <v>277</v>
      </c>
      <c r="G17" s="4" t="s">
        <v>281</v>
      </c>
      <c r="H17" s="4" t="str">
        <f>IF(G17="Tier",
  "Tier",
  IFNA(VLOOKUP(G17,'Machine Helper Sheet'!$B$2:$D$16,3,FALSE),
    IF(ISNUMBER(VLOOKUP(G17,$A$2:$I$200,9,FALSE)),
      VLOOKUP(G17,$A$2:$I$200,8,FALSE)+VLOOKUP(G17,$A$2:$I$200,9,FALSE),
      0
    )
  )
)</f>
        <v>Tier</v>
      </c>
      <c r="I17" s="4" t="s">
        <v>282</v>
      </c>
    </row>
    <row r="18">
      <c r="A18" s="1" t="s">
        <v>298</v>
      </c>
      <c r="B18" s="4">
        <v>1.0</v>
      </c>
      <c r="C18" s="4">
        <v>1.0</v>
      </c>
      <c r="D18" s="4">
        <v>1.0</v>
      </c>
      <c r="E18" s="4" t="s">
        <v>276</v>
      </c>
      <c r="F18" s="4" t="s">
        <v>277</v>
      </c>
      <c r="G18" s="4" t="s">
        <v>281</v>
      </c>
      <c r="H18" s="4" t="str">
        <f>IF(G18="Tier",
  "Tier",
  IFNA(VLOOKUP(G18,'Machine Helper Sheet'!$B$2:$D$16,3,FALSE),
    IF(ISNUMBER(VLOOKUP(G18,$A$2:$I$200,9,FALSE)),
      VLOOKUP(G18,$A$2:$I$200,8,FALSE)+VLOOKUP(G18,$A$2:$I$200,9,FALSE),
      0
    )
  )
)</f>
        <v>Tier</v>
      </c>
      <c r="I18" s="4" t="s">
        <v>299</v>
      </c>
    </row>
    <row r="19">
      <c r="A19" s="1" t="s">
        <v>300</v>
      </c>
      <c r="B19" s="4">
        <v>1.0</v>
      </c>
      <c r="C19" s="4">
        <v>1.0</v>
      </c>
      <c r="D19" s="4">
        <v>1.0</v>
      </c>
      <c r="E19" s="4" t="s">
        <v>280</v>
      </c>
      <c r="F19" s="4" t="s">
        <v>277</v>
      </c>
      <c r="G19" s="4" t="s">
        <v>281</v>
      </c>
      <c r="H19" s="4" t="str">
        <f>IF(G19="Tier",
  "Tier",
  IFNA(VLOOKUP(G19,'Machine Helper Sheet'!$B$2:$D$16,3,FALSE),
    IF(ISNUMBER(VLOOKUP(G19,$A$2:$I$200,9,FALSE)),
      VLOOKUP(G19,$A$2:$I$200,8,FALSE)+VLOOKUP(G19,$A$2:$I$200,9,FALSE),
      0
    )
  )
)</f>
        <v>Tier</v>
      </c>
      <c r="I19" s="4" t="s">
        <v>282</v>
      </c>
    </row>
    <row r="20">
      <c r="A20" s="1" t="s">
        <v>301</v>
      </c>
      <c r="B20" s="4">
        <v>1.0</v>
      </c>
      <c r="C20" s="4">
        <v>1.0</v>
      </c>
      <c r="D20" s="4">
        <v>1.0</v>
      </c>
      <c r="E20" s="4" t="s">
        <v>276</v>
      </c>
      <c r="F20" s="4" t="s">
        <v>277</v>
      </c>
      <c r="G20" s="4" t="s">
        <v>281</v>
      </c>
      <c r="H20" s="4" t="str">
        <f>IF(G20="Tier",
  "Tier",
  IFNA(VLOOKUP(G20,'Machine Helper Sheet'!$B$2:$D$16,3,FALSE),
    IF(ISNUMBER(VLOOKUP(G20,$A$2:$I$200,9,FALSE)),
      VLOOKUP(G20,$A$2:$I$200,8,FALSE)+VLOOKUP(G20,$A$2:$I$200,9,FALSE),
      0
    )
  )
)</f>
        <v>Tier</v>
      </c>
      <c r="I20" s="4">
        <v>1000.0</v>
      </c>
    </row>
    <row r="21">
      <c r="A21" s="1" t="s">
        <v>302</v>
      </c>
      <c r="B21" s="4">
        <v>1.0</v>
      </c>
      <c r="C21" s="4">
        <v>1.0</v>
      </c>
      <c r="D21" s="4">
        <v>1.0</v>
      </c>
      <c r="E21" s="4" t="s">
        <v>280</v>
      </c>
      <c r="F21" s="4" t="s">
        <v>277</v>
      </c>
      <c r="G21" s="4" t="s">
        <v>281</v>
      </c>
      <c r="H21" s="4" t="str">
        <f>IF(G21="Tier",
  "Tier",
  IFNA(VLOOKUP(G21,'Machine Helper Sheet'!$B$2:$D$16,3,FALSE),
    IF(ISNUMBER(VLOOKUP(G21,$A$2:$I$200,9,FALSE)),
      VLOOKUP(G21,$A$2:$I$200,8,FALSE)+VLOOKUP(G21,$A$2:$I$200,9,FALSE),
      0
    )
  )
)</f>
        <v>Tier</v>
      </c>
      <c r="I21" s="4" t="s">
        <v>282</v>
      </c>
    </row>
    <row r="22">
      <c r="A22" s="1" t="s">
        <v>303</v>
      </c>
      <c r="B22" s="4">
        <v>1.0</v>
      </c>
      <c r="C22" s="4">
        <v>1.0</v>
      </c>
      <c r="D22" s="4">
        <v>1.0</v>
      </c>
      <c r="E22" s="4" t="s">
        <v>280</v>
      </c>
      <c r="F22" s="4" t="s">
        <v>277</v>
      </c>
      <c r="G22" s="4" t="s">
        <v>281</v>
      </c>
      <c r="H22" s="4" t="str">
        <f>IF(G22="Tier",
  "Tier",
  IFNA(VLOOKUP(G22,'Machine Helper Sheet'!$B$2:$D$16,3,FALSE),
    IF(ISNUMBER(VLOOKUP(G22,$A$2:$I$200,9,FALSE)),
      VLOOKUP(G22,$A$2:$I$200,8,FALSE)+VLOOKUP(G22,$A$2:$I$200,9,FALSE),
      0
    )
  )
)</f>
        <v>Tier</v>
      </c>
      <c r="I22" s="4" t="s">
        <v>282</v>
      </c>
    </row>
    <row r="23">
      <c r="A23" s="1" t="s">
        <v>304</v>
      </c>
      <c r="B23" s="4">
        <v>1.0</v>
      </c>
      <c r="C23" s="4">
        <v>1.0</v>
      </c>
      <c r="D23" s="4">
        <v>1.0</v>
      </c>
      <c r="E23" s="4" t="s">
        <v>280</v>
      </c>
      <c r="F23" s="4" t="s">
        <v>277</v>
      </c>
      <c r="G23" s="4" t="s">
        <v>281</v>
      </c>
      <c r="H23" s="4" t="str">
        <f>IF(G23="Tier",
  "Tier",
  IFNA(VLOOKUP(G23,'Machine Helper Sheet'!$B$2:$D$16,3,FALSE),
    IF(ISNUMBER(VLOOKUP(G23,$A$2:$I$200,9,FALSE)),
      VLOOKUP(G23,$A$2:$I$200,8,FALSE)+VLOOKUP(G23,$A$2:$I$200,9,FALSE),
      0
    )
  )
)</f>
        <v>Tier</v>
      </c>
      <c r="I23" s="4" t="s">
        <v>282</v>
      </c>
    </row>
    <row r="24">
      <c r="A24" s="1" t="s">
        <v>305</v>
      </c>
      <c r="B24" s="4">
        <v>1.0</v>
      </c>
      <c r="C24" s="4">
        <v>1.0</v>
      </c>
      <c r="D24" s="4">
        <v>1.0</v>
      </c>
      <c r="E24" s="4" t="s">
        <v>280</v>
      </c>
      <c r="F24" s="4" t="s">
        <v>277</v>
      </c>
      <c r="G24" s="4" t="s">
        <v>281</v>
      </c>
      <c r="H24" s="4" t="str">
        <f>IF(G24="Tier",
  "Tier",
  IFNA(VLOOKUP(G24,'Machine Helper Sheet'!$B$2:$D$16,3,FALSE),
    IF(ISNUMBER(VLOOKUP(G24,$A$2:$I$200,9,FALSE)),
      VLOOKUP(G24,$A$2:$I$200,8,FALSE)+VLOOKUP(G24,$A$2:$I$200,9,FALSE),
      0
    )
  )
)</f>
        <v>Tier</v>
      </c>
      <c r="I24" s="4" t="s">
        <v>282</v>
      </c>
    </row>
    <row r="25">
      <c r="A25" s="1" t="s">
        <v>306</v>
      </c>
      <c r="B25" s="4">
        <v>1.0</v>
      </c>
      <c r="C25" s="4">
        <v>1.0</v>
      </c>
      <c r="D25" s="4">
        <v>1.0</v>
      </c>
      <c r="E25" s="4" t="s">
        <v>280</v>
      </c>
      <c r="F25" s="4" t="s">
        <v>277</v>
      </c>
      <c r="G25" s="4" t="s">
        <v>281</v>
      </c>
      <c r="H25" s="4" t="str">
        <f>IF(G25="Tier",
  "Tier",
  IFNA(VLOOKUP(G25,'Machine Helper Sheet'!$B$2:$D$16,3,FALSE),
    IF(ISNUMBER(VLOOKUP(G25,$A$2:$I$200,9,FALSE)),
      VLOOKUP(G25,$A$2:$I$200,8,FALSE)+VLOOKUP(G25,$A$2:$I$200,9,FALSE),
      0
    )
  )
)</f>
        <v>Tier</v>
      </c>
      <c r="I25" s="4" t="s">
        <v>282</v>
      </c>
    </row>
    <row r="26">
      <c r="A26" s="1" t="s">
        <v>307</v>
      </c>
      <c r="B26" s="4">
        <v>1.0</v>
      </c>
      <c r="C26" s="4">
        <v>1.0</v>
      </c>
      <c r="D26" s="4">
        <v>1.0</v>
      </c>
      <c r="E26" s="4" t="s">
        <v>280</v>
      </c>
      <c r="F26" s="4" t="s">
        <v>277</v>
      </c>
      <c r="G26" s="4" t="s">
        <v>281</v>
      </c>
      <c r="H26" s="4" t="str">
        <f>IF(G26="Tier",
  "Tier",
  IFNA(VLOOKUP(G26,'Machine Helper Sheet'!$B$2:$D$16,3,FALSE),
    IF(ISNUMBER(VLOOKUP(G26,$A$2:$I$200,9,FALSE)),
      VLOOKUP(G26,$A$2:$I$200,8,FALSE)+VLOOKUP(G26,$A$2:$I$200,9,FALSE),
      0
    )
  )
)</f>
        <v>Tier</v>
      </c>
      <c r="I26" s="4" t="s">
        <v>282</v>
      </c>
    </row>
    <row r="27">
      <c r="A27" s="1" t="s">
        <v>308</v>
      </c>
      <c r="B27" s="4">
        <v>1.0</v>
      </c>
      <c r="C27" s="4">
        <v>1.0</v>
      </c>
      <c r="D27" s="4">
        <v>1.0</v>
      </c>
      <c r="E27" s="4" t="s">
        <v>280</v>
      </c>
      <c r="F27" s="4" t="s">
        <v>277</v>
      </c>
      <c r="G27" s="4" t="s">
        <v>281</v>
      </c>
      <c r="H27" s="4" t="str">
        <f>IF(G27="Tier",
  "Tier",
  IFNA(VLOOKUP(G27,'Machine Helper Sheet'!$B$2:$D$16,3,FALSE),
    IF(ISNUMBER(VLOOKUP(G27,$A$2:$I$200,9,FALSE)),
      VLOOKUP(G27,$A$2:$I$200,8,FALSE)+VLOOKUP(G27,$A$2:$I$200,9,FALSE),
      0
    )
  )
)</f>
        <v>Tier</v>
      </c>
      <c r="I27" s="4" t="s">
        <v>282</v>
      </c>
    </row>
    <row r="28">
      <c r="A28" s="1" t="s">
        <v>309</v>
      </c>
      <c r="B28" s="4">
        <v>1.0</v>
      </c>
      <c r="C28" s="4">
        <v>1.0</v>
      </c>
      <c r="D28" s="4">
        <v>1.0</v>
      </c>
      <c r="E28" s="4" t="s">
        <v>280</v>
      </c>
      <c r="F28" s="4" t="s">
        <v>277</v>
      </c>
      <c r="G28" s="4" t="s">
        <v>281</v>
      </c>
      <c r="H28" s="4" t="str">
        <f>IF(G28="Tier",
  "Tier",
  IFNA(VLOOKUP(G28,'Machine Helper Sheet'!$B$2:$D$16,3,FALSE),
    IF(ISNUMBER(VLOOKUP(G28,$A$2:$I$200,9,FALSE)),
      VLOOKUP(G28,$A$2:$I$200,8,FALSE)+VLOOKUP(G28,$A$2:$I$200,9,FALSE),
      0
    )
  )
)</f>
        <v>Tier</v>
      </c>
      <c r="I28" s="4" t="s">
        <v>282</v>
      </c>
    </row>
    <row r="29">
      <c r="A29" s="1" t="s">
        <v>310</v>
      </c>
      <c r="B29" s="4">
        <v>1.0</v>
      </c>
      <c r="C29" s="4">
        <v>1.0</v>
      </c>
      <c r="D29" s="4">
        <v>1.0</v>
      </c>
      <c r="E29" s="4" t="s">
        <v>280</v>
      </c>
      <c r="F29" s="4" t="s">
        <v>277</v>
      </c>
      <c r="G29" s="4" t="s">
        <v>281</v>
      </c>
      <c r="H29" s="4" t="str">
        <f>IF(G29="Tier",
  "Tier",
  IFNA(VLOOKUP(G29,'Machine Helper Sheet'!$B$2:$D$16,3,FALSE),
    IF(ISNUMBER(VLOOKUP(G29,$A$2:$I$200,9,FALSE)),
      VLOOKUP(G29,$A$2:$I$200,8,FALSE)+VLOOKUP(G29,$A$2:$I$200,9,FALSE),
      0
    )
  )
)</f>
        <v>Tier</v>
      </c>
      <c r="I29" s="4" t="s">
        <v>282</v>
      </c>
    </row>
    <row r="30">
      <c r="A30" s="1" t="s">
        <v>311</v>
      </c>
      <c r="B30" s="4">
        <v>1.0</v>
      </c>
      <c r="C30" s="4">
        <v>1.0</v>
      </c>
      <c r="D30" s="4">
        <v>1.0</v>
      </c>
      <c r="E30" s="4" t="s">
        <v>280</v>
      </c>
      <c r="F30" s="4" t="s">
        <v>277</v>
      </c>
      <c r="G30" s="4" t="s">
        <v>281</v>
      </c>
      <c r="H30" s="4" t="str">
        <f>IF(G30="Tier",
  "Tier",
  IFNA(VLOOKUP(G30,'Machine Helper Sheet'!$B$2:$D$16,3,FALSE),
    IF(ISNUMBER(VLOOKUP(G30,$A$2:$I$200,9,FALSE)),
      VLOOKUP(G30,$A$2:$I$200,8,FALSE)+VLOOKUP(G30,$A$2:$I$200,9,FALSE),
      0
    )
  )
)</f>
        <v>Tier</v>
      </c>
      <c r="I30" s="4" t="s">
        <v>282</v>
      </c>
    </row>
    <row r="31">
      <c r="A31" s="1" t="s">
        <v>312</v>
      </c>
      <c r="B31" s="4">
        <v>1.0</v>
      </c>
      <c r="C31" s="4">
        <v>1.0</v>
      </c>
      <c r="D31" s="4">
        <v>1.0</v>
      </c>
      <c r="E31" s="4" t="s">
        <v>280</v>
      </c>
      <c r="F31" s="4" t="s">
        <v>277</v>
      </c>
      <c r="G31" s="4" t="s">
        <v>281</v>
      </c>
      <c r="H31" s="4" t="str">
        <f>IF(G31="Tier",
  "Tier",
  IFNA(VLOOKUP(G31,'Machine Helper Sheet'!$B$2:$D$16,3,FALSE),
    IF(ISNUMBER(VLOOKUP(G31,$A$2:$I$200,9,FALSE)),
      VLOOKUP(G31,$A$2:$I$200,8,FALSE)+VLOOKUP(G31,$A$2:$I$200,9,FALSE),
      0
    )
  )
)</f>
        <v>Tier</v>
      </c>
      <c r="I31" s="4" t="s">
        <v>282</v>
      </c>
    </row>
    <row r="32">
      <c r="A32" s="1" t="s">
        <v>313</v>
      </c>
      <c r="B32" s="4">
        <v>1.0</v>
      </c>
      <c r="C32" s="4">
        <v>1.0</v>
      </c>
      <c r="D32" s="4">
        <v>1.0</v>
      </c>
      <c r="E32" s="4" t="s">
        <v>280</v>
      </c>
      <c r="F32" s="4" t="s">
        <v>277</v>
      </c>
      <c r="G32" s="4" t="s">
        <v>281</v>
      </c>
      <c r="H32" s="4" t="str">
        <f>IF(G32="Tier",
  "Tier",
  IFNA(VLOOKUP(G32,'Machine Helper Sheet'!$B$2:$D$16,3,FALSE),
    IF(ISNUMBER(VLOOKUP(G32,$A$2:$I$200,9,FALSE)),
      VLOOKUP(G32,$A$2:$I$200,8,FALSE)+VLOOKUP(G32,$A$2:$I$200,9,FALSE),
      0
    )
  )
)</f>
        <v>Tier</v>
      </c>
      <c r="I32" s="4" t="s">
        <v>282</v>
      </c>
    </row>
    <row r="33">
      <c r="A33" s="1" t="s">
        <v>314</v>
      </c>
      <c r="B33" s="4" t="s">
        <v>286</v>
      </c>
      <c r="C33" s="4">
        <v>3.5</v>
      </c>
      <c r="D33" s="4">
        <v>0.8</v>
      </c>
      <c r="E33" s="4" t="s">
        <v>276</v>
      </c>
      <c r="F33" s="4" t="s">
        <v>277</v>
      </c>
      <c r="G33" s="4" t="s">
        <v>275</v>
      </c>
      <c r="H33" s="4">
        <f>IF(G33="Tier",
  "Tier",
  IFNA(VLOOKUP(G33,'Machine Helper Sheet'!$B$2:$D$16,3,FALSE),
    IF(ISNUMBER(VLOOKUP(G33,$A$2:$I$200,9,FALSE)),
      VLOOKUP(G33,$A$2:$I$200,8,FALSE)+VLOOKUP(G33,$A$2:$I$200,9,FALSE),
      0
    )
  )
)</f>
        <v>1405511</v>
      </c>
      <c r="I33" s="4">
        <v>1000000.0</v>
      </c>
    </row>
    <row r="34">
      <c r="A34" s="1" t="s">
        <v>315</v>
      </c>
      <c r="B34" s="4" t="s">
        <v>316</v>
      </c>
      <c r="C34" s="4" t="s">
        <v>317</v>
      </c>
      <c r="D34" s="4">
        <v>1.0</v>
      </c>
      <c r="E34" s="4" t="s">
        <v>276</v>
      </c>
      <c r="F34" s="4" t="s">
        <v>277</v>
      </c>
      <c r="G34" s="4" t="s">
        <v>275</v>
      </c>
      <c r="H34" s="4">
        <f>IF(G34="Tier",
  "Tier",
  IFNA(VLOOKUP(G34,'Machine Helper Sheet'!$B$2:$D$16,3,FALSE),
    IF(ISNUMBER(VLOOKUP(G34,$A$2:$I$200,9,FALSE)),
      VLOOKUP(G34,$A$2:$I$200,8,FALSE)+VLOOKUP(G34,$A$2:$I$200,9,FALSE),
      0
    )
  )
)</f>
        <v>1405511</v>
      </c>
      <c r="I34" s="4" t="s">
        <v>282</v>
      </c>
    </row>
    <row r="35">
      <c r="A35" s="1" t="s">
        <v>318</v>
      </c>
      <c r="B35" s="4" t="s">
        <v>319</v>
      </c>
      <c r="C35" s="4">
        <v>6.0</v>
      </c>
      <c r="D35" s="4">
        <v>1.0</v>
      </c>
      <c r="E35" s="4" t="s">
        <v>276</v>
      </c>
      <c r="F35" s="4" t="s">
        <v>277</v>
      </c>
      <c r="G35" s="4" t="s">
        <v>320</v>
      </c>
      <c r="H35" s="4">
        <f>IF(G35="Tier",
  "Tier",
  IFNA(VLOOKUP(G35,'Machine Helper Sheet'!$B$2:$D$16,3,FALSE),
    IF(ISNUMBER(VLOOKUP(G35,$A$2:$I$200,9,FALSE)),
      VLOOKUP(G35,$A$2:$I$200,8,FALSE)+VLOOKUP(G35,$A$2:$I$200,9,FALSE),
      0
    )
  )
)</f>
        <v>105511</v>
      </c>
      <c r="I35" s="4">
        <v>40000.0</v>
      </c>
    </row>
    <row r="36">
      <c r="A36" s="1" t="s">
        <v>321</v>
      </c>
      <c r="B36" s="4" t="s">
        <v>322</v>
      </c>
      <c r="C36" s="4">
        <v>2.25</v>
      </c>
      <c r="D36" s="4">
        <v>0.9</v>
      </c>
      <c r="E36" s="4" t="s">
        <v>276</v>
      </c>
      <c r="F36" s="4" t="s">
        <v>277</v>
      </c>
      <c r="G36" s="4" t="s">
        <v>320</v>
      </c>
      <c r="H36" s="4">
        <f>IF(G36="Tier",
  "Tier",
  IFNA(VLOOKUP(G36,'Machine Helper Sheet'!$B$2:$D$16,3,FALSE),
    IF(ISNUMBER(VLOOKUP(G36,$A$2:$I$200,9,FALSE)),
      VLOOKUP(G36,$A$2:$I$200,8,FALSE)+VLOOKUP(G36,$A$2:$I$200,9,FALSE),
      0
    )
  )
)</f>
        <v>105511</v>
      </c>
      <c r="I36" s="4">
        <v>25000.0</v>
      </c>
    </row>
    <row r="37">
      <c r="A37" s="1" t="s">
        <v>323</v>
      </c>
      <c r="B37" s="4" t="s">
        <v>324</v>
      </c>
      <c r="C37" s="4">
        <v>3.0</v>
      </c>
      <c r="D37" s="4">
        <v>0.75</v>
      </c>
      <c r="E37" s="4" t="s">
        <v>276</v>
      </c>
      <c r="F37" s="4" t="s">
        <v>277</v>
      </c>
      <c r="G37" s="4" t="s">
        <v>275</v>
      </c>
      <c r="H37" s="4">
        <f>IF(G37="Tier",
  "Tier",
  IFNA(VLOOKUP(G37,'Machine Helper Sheet'!$B$2:$D$16,3,FALSE),
    IF(ISNUMBER(VLOOKUP(G37,$A$2:$I$200,9,FALSE)),
      VLOOKUP(G37,$A$2:$I$200,8,FALSE)+VLOOKUP(G37,$A$2:$I$200,9,FALSE),
      0
    )
  )
)</f>
        <v>1405511</v>
      </c>
      <c r="I37" s="4" t="s">
        <v>282</v>
      </c>
    </row>
    <row r="38">
      <c r="A38" s="1" t="s">
        <v>325</v>
      </c>
      <c r="B38" s="4">
        <v>24.0</v>
      </c>
      <c r="C38" s="4">
        <v>1.0</v>
      </c>
      <c r="D38" s="4">
        <v>0.75</v>
      </c>
      <c r="E38" s="4" t="s">
        <v>276</v>
      </c>
      <c r="F38" s="4" t="s">
        <v>277</v>
      </c>
      <c r="G38" s="4" t="s">
        <v>275</v>
      </c>
      <c r="H38" s="4">
        <f>IF(G38="Tier",
  "Tier",
  IFNA(VLOOKUP(G38,'Machine Helper Sheet'!$B$2:$D$16,3,FALSE),
    IF(ISNUMBER(VLOOKUP(G38,$A$2:$I$200,9,FALSE)),
      VLOOKUP(G38,$A$2:$I$200,8,FALSE)+VLOOKUP(G38,$A$2:$I$200,9,FALSE),
      0
    )
  )
)</f>
        <v>1405511</v>
      </c>
      <c r="I38" s="4">
        <v>20000.0</v>
      </c>
    </row>
    <row r="39">
      <c r="A39" s="1" t="s">
        <v>326</v>
      </c>
      <c r="B39" s="4" t="s">
        <v>319</v>
      </c>
      <c r="C39" s="4">
        <v>3.0</v>
      </c>
      <c r="D39" s="4">
        <v>0.75</v>
      </c>
      <c r="E39" s="4" t="s">
        <v>276</v>
      </c>
      <c r="F39" s="4" t="s">
        <v>277</v>
      </c>
      <c r="G39" s="4" t="s">
        <v>275</v>
      </c>
      <c r="H39" s="4">
        <f>IF(G39="Tier",
  "Tier",
  IFNA(VLOOKUP(G39,'Machine Helper Sheet'!$B$2:$D$16,3,FALSE),
    IF(ISNUMBER(VLOOKUP(G39,$A$2:$I$200,9,FALSE)),
      VLOOKUP(G39,$A$2:$I$200,8,FALSE)+VLOOKUP(G39,$A$2:$I$200,9,FALSE),
      0
    )
  )
)</f>
        <v>1405511</v>
      </c>
      <c r="I39" s="4">
        <v>130000.0</v>
      </c>
    </row>
    <row r="40">
      <c r="A40" s="1" t="s">
        <v>327</v>
      </c>
      <c r="B40" s="4">
        <v>4.0</v>
      </c>
      <c r="C40" s="4">
        <v>3.5</v>
      </c>
      <c r="D40" s="4">
        <v>1.0</v>
      </c>
      <c r="E40" s="4" t="s">
        <v>276</v>
      </c>
      <c r="F40" s="4" t="s">
        <v>277</v>
      </c>
      <c r="G40" s="4" t="s">
        <v>275</v>
      </c>
      <c r="H40" s="4">
        <f>IF(G40="Tier",
  "Tier",
  IFNA(VLOOKUP(G40,'Machine Helper Sheet'!$B$2:$D$16,3,FALSE),
    IF(ISNUMBER(VLOOKUP(G40,$A$2:$I$200,9,FALSE)),
      VLOOKUP(G40,$A$2:$I$200,8,FALSE)+VLOOKUP(G40,$A$2:$I$200,9,FALSE),
      0
    )
  )
)</f>
        <v>1405511</v>
      </c>
      <c r="I40" s="4" t="s">
        <v>282</v>
      </c>
    </row>
    <row r="41">
      <c r="A41" s="1" t="s">
        <v>328</v>
      </c>
      <c r="B41" s="4">
        <v>12.0</v>
      </c>
      <c r="C41" s="4">
        <v>3.5</v>
      </c>
      <c r="D41" s="4">
        <v>1.0</v>
      </c>
      <c r="E41" s="4" t="s">
        <v>276</v>
      </c>
      <c r="F41" s="4" t="s">
        <v>277</v>
      </c>
      <c r="G41" s="4" t="s">
        <v>275</v>
      </c>
      <c r="H41" s="4">
        <f>IF(G41="Tier",
  "Tier",
  IFNA(VLOOKUP(G41,'Machine Helper Sheet'!$B$2:$D$16,3,FALSE),
    IF(ISNUMBER(VLOOKUP(G41,$A$2:$I$200,9,FALSE)),
      VLOOKUP(G41,$A$2:$I$200,8,FALSE)+VLOOKUP(G41,$A$2:$I$200,9,FALSE),
      0
    )
  )
)</f>
        <v>1405511</v>
      </c>
      <c r="I41" s="4" t="s">
        <v>282</v>
      </c>
    </row>
    <row r="42">
      <c r="A42" s="1" t="s">
        <v>329</v>
      </c>
      <c r="B42" s="4" t="s">
        <v>319</v>
      </c>
      <c r="C42" s="4">
        <v>2.0</v>
      </c>
      <c r="D42" s="4">
        <v>0.15</v>
      </c>
      <c r="E42" s="4" t="s">
        <v>276</v>
      </c>
      <c r="F42" s="4" t="s">
        <v>277</v>
      </c>
      <c r="G42" s="4" t="s">
        <v>275</v>
      </c>
      <c r="H42" s="4">
        <f>IF(G42="Tier",
  "Tier",
  IFNA(VLOOKUP(G42,'Machine Helper Sheet'!$B$2:$D$16,3,FALSE),
    IF(ISNUMBER(VLOOKUP(G42,$A$2:$I$200,9,FALSE)),
      VLOOKUP(G42,$A$2:$I$200,8,FALSE)+VLOOKUP(G42,$A$2:$I$200,9,FALSE),
      0
    )
  )
)</f>
        <v>1405511</v>
      </c>
      <c r="I42" s="4" t="s">
        <v>330</v>
      </c>
    </row>
    <row r="43">
      <c r="A43" s="1" t="s">
        <v>331</v>
      </c>
      <c r="B43" s="4" t="s">
        <v>332</v>
      </c>
      <c r="C43" s="4">
        <v>2.0</v>
      </c>
      <c r="D43" s="4">
        <v>0.15</v>
      </c>
      <c r="E43" s="4" t="s">
        <v>276</v>
      </c>
      <c r="F43" s="4" t="s">
        <v>277</v>
      </c>
      <c r="G43" s="4" t="s">
        <v>275</v>
      </c>
      <c r="H43" s="4">
        <f>IF(G43="Tier",
  "Tier",
  IFNA(VLOOKUP(G43,'Machine Helper Sheet'!$B$2:$D$16,3,FALSE),
    IF(ISNUMBER(VLOOKUP(G43,$A$2:$I$200,9,FALSE)),
      VLOOKUP(G43,$A$2:$I$200,8,FALSE)+VLOOKUP(G43,$A$2:$I$200,9,FALSE),
      0
    )
  )
)</f>
        <v>1405511</v>
      </c>
      <c r="I43" s="4" t="s">
        <v>330</v>
      </c>
    </row>
    <row r="44">
      <c r="A44" s="1" t="s">
        <v>333</v>
      </c>
      <c r="B44" s="4" t="s">
        <v>286</v>
      </c>
      <c r="C44" s="4">
        <v>2.8</v>
      </c>
      <c r="D44" s="4">
        <v>0.9</v>
      </c>
      <c r="E44" s="4" t="s">
        <v>276</v>
      </c>
      <c r="F44" s="4" t="s">
        <v>277</v>
      </c>
      <c r="G44" s="4" t="s">
        <v>278</v>
      </c>
      <c r="H44" s="4">
        <f>IF(G44="Tier",
  "Tier",
  IFNA(VLOOKUP(G44,'Machine Helper Sheet'!$B$2:$D$16,3,FALSE),
    IF(ISNUMBER(VLOOKUP(G44,$A$2:$I$200,9,FALSE)),
      VLOOKUP(G44,$A$2:$I$200,8,FALSE)+VLOOKUP(G44,$A$2:$I$200,9,FALSE),
      0
    )
  )
)</f>
        <v>1105511</v>
      </c>
      <c r="I44" s="4">
        <v>200000.0</v>
      </c>
    </row>
    <row r="45">
      <c r="A45" s="1" t="s">
        <v>334</v>
      </c>
      <c r="B45" s="4" t="s">
        <v>319</v>
      </c>
      <c r="C45" s="4">
        <v>3.5</v>
      </c>
      <c r="D45" s="4">
        <v>1.0</v>
      </c>
      <c r="E45" s="4" t="s">
        <v>276</v>
      </c>
      <c r="F45" s="4" t="s">
        <v>277</v>
      </c>
      <c r="G45" s="4" t="s">
        <v>278</v>
      </c>
      <c r="H45" s="4">
        <f>IF(G45="Tier",
  "Tier",
  IFNA(VLOOKUP(G45,'Machine Helper Sheet'!$B$2:$D$16,3,FALSE),
    IF(ISNUMBER(VLOOKUP(G45,$A$2:$I$200,9,FALSE)),
      VLOOKUP(G45,$A$2:$I$200,8,FALSE)+VLOOKUP(G45,$A$2:$I$200,9,FALSE),
      0
    )
  )
)</f>
        <v>1105511</v>
      </c>
      <c r="I45" s="4">
        <v>230000.0</v>
      </c>
    </row>
    <row r="46">
      <c r="A46" s="1" t="s">
        <v>335</v>
      </c>
      <c r="B46" s="4" t="s">
        <v>332</v>
      </c>
      <c r="C46" s="4">
        <v>2.2</v>
      </c>
      <c r="D46" s="4">
        <v>0.9</v>
      </c>
      <c r="E46" s="4" t="s">
        <v>276</v>
      </c>
      <c r="F46" s="4" t="s">
        <v>277</v>
      </c>
      <c r="G46" s="4" t="s">
        <v>275</v>
      </c>
      <c r="H46" s="4">
        <f>IF(G46="Tier",
  "Tier",
  IFNA(VLOOKUP(G46,'Machine Helper Sheet'!$B$2:$D$16,3,FALSE),
    IF(ISNUMBER(VLOOKUP(G46,$A$2:$I$200,9,FALSE)),
      VLOOKUP(G46,$A$2:$I$200,8,FALSE)+VLOOKUP(G46,$A$2:$I$200,9,FALSE),
      0
    )
  )
)</f>
        <v>1405511</v>
      </c>
      <c r="I46" s="4">
        <v>300000.0</v>
      </c>
    </row>
    <row r="47">
      <c r="A47" s="1" t="s">
        <v>336</v>
      </c>
      <c r="B47" s="4" t="s">
        <v>332</v>
      </c>
      <c r="C47" s="4">
        <v>2.0</v>
      </c>
      <c r="D47" s="4">
        <v>1.0</v>
      </c>
      <c r="E47" s="4" t="s">
        <v>276</v>
      </c>
      <c r="F47" s="4" t="s">
        <v>277</v>
      </c>
      <c r="G47" s="4" t="s">
        <v>275</v>
      </c>
      <c r="H47" s="4">
        <f>IF(G47="Tier",
  "Tier",
  IFNA(VLOOKUP(G47,'Machine Helper Sheet'!$B$2:$D$16,3,FALSE),
    IF(ISNUMBER(VLOOKUP(G47,$A$2:$I$200,9,FALSE)),
      VLOOKUP(G47,$A$2:$I$200,8,FALSE)+VLOOKUP(G47,$A$2:$I$200,9,FALSE),
      0
    )
  )
)</f>
        <v>1405511</v>
      </c>
      <c r="I47" s="4">
        <v>310000.0</v>
      </c>
    </row>
    <row r="48">
      <c r="A48" s="1" t="s">
        <v>337</v>
      </c>
      <c r="B48" s="4">
        <v>1.0</v>
      </c>
      <c r="C48" s="4">
        <v>32.0</v>
      </c>
      <c r="D48" s="4">
        <v>1.0</v>
      </c>
      <c r="E48" s="4" t="s">
        <v>276</v>
      </c>
      <c r="F48" s="4" t="s">
        <v>277</v>
      </c>
      <c r="G48" s="4" t="s">
        <v>284</v>
      </c>
      <c r="H48" s="4">
        <f>IF(G48="Tier",
  "Tier",
  IFNA(VLOOKUP(G48,'Machine Helper Sheet'!$B$2:$D$16,3,FALSE),
    IF(ISNUMBER(VLOOKUP(G48,$A$2:$I$200,9,FALSE)),
      VLOOKUP(G48,$A$2:$I$200,8,FALSE)+VLOOKUP(G48,$A$2:$I$200,9,FALSE),
      0
    )
  )
)</f>
        <v>11105511</v>
      </c>
      <c r="I48" s="4">
        <v>6670000.0</v>
      </c>
    </row>
    <row r="49">
      <c r="A49" s="1" t="s">
        <v>338</v>
      </c>
      <c r="B49" s="4" t="s">
        <v>286</v>
      </c>
      <c r="C49" s="4">
        <v>1.6</v>
      </c>
      <c r="D49" s="4">
        <v>1.0</v>
      </c>
      <c r="E49" s="4" t="s">
        <v>276</v>
      </c>
      <c r="F49" s="4" t="s">
        <v>277</v>
      </c>
      <c r="G49" s="4" t="s">
        <v>320</v>
      </c>
      <c r="H49" s="4">
        <f>IF(G49="Tier",
  "Tier",
  IFNA(VLOOKUP(G49,'Machine Helper Sheet'!$B$2:$D$16,3,FALSE),
    IF(ISNUMBER(VLOOKUP(G49,$A$2:$I$200,9,FALSE)),
      VLOOKUP(G49,$A$2:$I$200,8,FALSE)+VLOOKUP(G49,$A$2:$I$200,9,FALSE),
      0
    )
  )
)</f>
        <v>105511</v>
      </c>
      <c r="I49" s="4" t="s">
        <v>282</v>
      </c>
    </row>
    <row r="50">
      <c r="A50" s="1" t="s">
        <v>339</v>
      </c>
      <c r="B50" s="4" t="s">
        <v>332</v>
      </c>
      <c r="C50" s="4">
        <v>1.6</v>
      </c>
      <c r="D50" s="4">
        <v>1.0</v>
      </c>
      <c r="E50" s="4" t="s">
        <v>276</v>
      </c>
      <c r="F50" s="4" t="s">
        <v>277</v>
      </c>
      <c r="G50" s="4" t="s">
        <v>275</v>
      </c>
      <c r="H50" s="4">
        <f>IF(G50="Tier",
  "Tier",
  IFNA(VLOOKUP(G50,'Machine Helper Sheet'!$B$2:$D$16,3,FALSE),
    IF(ISNUMBER(VLOOKUP(G50,$A$2:$I$200,9,FALSE)),
      VLOOKUP(G50,$A$2:$I$200,8,FALSE)+VLOOKUP(G50,$A$2:$I$200,9,FALSE),
      0
    )
  )
)</f>
        <v>1405511</v>
      </c>
      <c r="I50" s="4" t="s">
        <v>282</v>
      </c>
    </row>
    <row r="51">
      <c r="A51" s="1" t="s">
        <v>340</v>
      </c>
      <c r="B51" s="4" t="s">
        <v>332</v>
      </c>
      <c r="C51" s="4">
        <v>3.5</v>
      </c>
      <c r="D51" s="4">
        <v>1.0</v>
      </c>
      <c r="E51" s="4" t="s">
        <v>276</v>
      </c>
      <c r="F51" s="4" t="s">
        <v>277</v>
      </c>
      <c r="G51" s="4" t="s">
        <v>278</v>
      </c>
      <c r="H51" s="4">
        <f>IF(G51="Tier",
  "Tier",
  IFNA(VLOOKUP(G51,'Machine Helper Sheet'!$B$2:$D$16,3,FALSE),
    IF(ISNUMBER(VLOOKUP(G51,$A$2:$I$200,9,FALSE)),
      VLOOKUP(G51,$A$2:$I$200,8,FALSE)+VLOOKUP(G51,$A$2:$I$200,9,FALSE),
      0
    )
  )
)</f>
        <v>1105511</v>
      </c>
      <c r="I51" s="4">
        <v>250000.0</v>
      </c>
    </row>
    <row r="52">
      <c r="A52" s="1" t="s">
        <v>341</v>
      </c>
      <c r="B52" s="4" t="s">
        <v>324</v>
      </c>
      <c r="C52" s="4">
        <v>6.0</v>
      </c>
      <c r="D52" s="4">
        <v>0.75</v>
      </c>
      <c r="E52" s="4" t="s">
        <v>276</v>
      </c>
      <c r="F52" s="4" t="s">
        <v>277</v>
      </c>
      <c r="G52" s="4" t="s">
        <v>275</v>
      </c>
      <c r="H52" s="4">
        <f>IF(G52="Tier",
  "Tier",
  IFNA(VLOOKUP(G52,'Machine Helper Sheet'!$B$2:$D$16,3,FALSE),
    IF(ISNUMBER(VLOOKUP(G52,$A$2:$I$200,9,FALSE)),
      VLOOKUP(G52,$A$2:$I$200,8,FALSE)+VLOOKUP(G52,$A$2:$I$200,9,FALSE),
      0
    )
  )
)</f>
        <v>1405511</v>
      </c>
      <c r="I52" s="4" t="s">
        <v>282</v>
      </c>
    </row>
    <row r="53">
      <c r="A53" s="1" t="s">
        <v>342</v>
      </c>
      <c r="B53" s="4" t="s">
        <v>332</v>
      </c>
      <c r="C53" s="4">
        <v>3.0</v>
      </c>
      <c r="D53" s="4">
        <v>0.75</v>
      </c>
      <c r="E53" s="4" t="s">
        <v>276</v>
      </c>
      <c r="F53" s="4" t="s">
        <v>277</v>
      </c>
      <c r="G53" s="4" t="s">
        <v>275</v>
      </c>
      <c r="H53" s="4">
        <f>IF(G53="Tier",
  "Tier",
  IFNA(VLOOKUP(G53,'Machine Helper Sheet'!$B$2:$D$16,3,FALSE),
    IF(ISNUMBER(VLOOKUP(G53,$A$2:$I$200,9,FALSE)),
      VLOOKUP(G53,$A$2:$I$200,8,FALSE)+VLOOKUP(G53,$A$2:$I$200,9,FALSE),
      0
    )
  )
)</f>
        <v>1405511</v>
      </c>
      <c r="I53" s="4" t="s">
        <v>282</v>
      </c>
    </row>
    <row r="54">
      <c r="A54" s="1" t="s">
        <v>343</v>
      </c>
      <c r="B54" s="4" t="s">
        <v>319</v>
      </c>
      <c r="C54" s="4">
        <v>5.0</v>
      </c>
      <c r="D54" s="4">
        <v>0.75</v>
      </c>
      <c r="E54" s="4" t="s">
        <v>276</v>
      </c>
      <c r="F54" s="4" t="s">
        <v>277</v>
      </c>
      <c r="G54" s="4" t="s">
        <v>275</v>
      </c>
      <c r="H54" s="4">
        <f>IF(G54="Tier",
  "Tier",
  IFNA(VLOOKUP(G54,'Machine Helper Sheet'!$B$2:$D$16,3,FALSE),
    IF(ISNUMBER(VLOOKUP(G54,$A$2:$I$200,9,FALSE)),
      VLOOKUP(G54,$A$2:$I$200,8,FALSE)+VLOOKUP(G54,$A$2:$I$200,9,FALSE),
      0
    )
  )
)</f>
        <v>1405511</v>
      </c>
      <c r="I54" s="4">
        <v>3000.0</v>
      </c>
    </row>
    <row r="55">
      <c r="A55" s="1" t="s">
        <v>344</v>
      </c>
      <c r="B55" s="4" t="s">
        <v>332</v>
      </c>
      <c r="C55" s="4">
        <v>2.5</v>
      </c>
      <c r="D55" s="4">
        <v>0.8</v>
      </c>
      <c r="E55" s="4" t="s">
        <v>276</v>
      </c>
      <c r="F55" s="4" t="s">
        <v>277</v>
      </c>
      <c r="G55" s="4" t="s">
        <v>320</v>
      </c>
      <c r="H55" s="4">
        <f>IF(G55="Tier",
  "Tier",
  IFNA(VLOOKUP(G55,'Machine Helper Sheet'!$B$2:$D$16,3,FALSE),
    IF(ISNUMBER(VLOOKUP(G55,$A$2:$I$200,9,FALSE)),
      VLOOKUP(G55,$A$2:$I$200,8,FALSE)+VLOOKUP(G55,$A$2:$I$200,9,FALSE),
      0
    )
  )
)</f>
        <v>105511</v>
      </c>
      <c r="I55" s="4" t="s">
        <v>282</v>
      </c>
    </row>
    <row r="56">
      <c r="A56" s="1" t="s">
        <v>345</v>
      </c>
      <c r="B56" s="4" t="s">
        <v>319</v>
      </c>
      <c r="C56" s="4">
        <v>5.0</v>
      </c>
      <c r="D56" s="4">
        <v>1.0</v>
      </c>
      <c r="E56" s="4" t="s">
        <v>276</v>
      </c>
      <c r="F56" s="4" t="s">
        <v>277</v>
      </c>
      <c r="G56" s="4" t="s">
        <v>320</v>
      </c>
      <c r="H56" s="4">
        <f>IF(G56="Tier",
  "Tier",
  IFNA(VLOOKUP(G56,'Machine Helper Sheet'!$B$2:$D$16,3,FALSE),
    IF(ISNUMBER(VLOOKUP(G56,$A$2:$I$200,9,FALSE)),
      VLOOKUP(G56,$A$2:$I$200,8,FALSE)+VLOOKUP(G56,$A$2:$I$200,9,FALSE),
      0
    )
  )
)</f>
        <v>105511</v>
      </c>
      <c r="I56" s="4" t="s">
        <v>282</v>
      </c>
    </row>
    <row r="57">
      <c r="A57" s="1" t="s">
        <v>346</v>
      </c>
      <c r="B57" s="4" t="s">
        <v>319</v>
      </c>
      <c r="C57" s="4">
        <v>3.0</v>
      </c>
      <c r="D57" s="4">
        <v>0.75</v>
      </c>
      <c r="E57" s="4" t="s">
        <v>276</v>
      </c>
      <c r="F57" s="4" t="s">
        <v>277</v>
      </c>
      <c r="G57" s="4" t="s">
        <v>278</v>
      </c>
      <c r="H57" s="4">
        <f>IF(G57="Tier",
  "Tier",
  IFNA(VLOOKUP(G57,'Machine Helper Sheet'!$B$2:$D$16,3,FALSE),
    IF(ISNUMBER(VLOOKUP(G57,$A$2:$I$200,9,FALSE)),
      VLOOKUP(G57,$A$2:$I$200,8,FALSE)+VLOOKUP(G57,$A$2:$I$200,9,FALSE),
      0
    )
  )
)</f>
        <v>1105511</v>
      </c>
      <c r="I57" s="4" t="s">
        <v>282</v>
      </c>
    </row>
    <row r="58">
      <c r="A58" s="1" t="s">
        <v>347</v>
      </c>
      <c r="B58" s="4">
        <v>1.0</v>
      </c>
      <c r="C58" s="4">
        <v>1.0</v>
      </c>
      <c r="D58" s="4">
        <v>1.0</v>
      </c>
      <c r="E58" s="4" t="s">
        <v>276</v>
      </c>
      <c r="F58" s="4" t="s">
        <v>277</v>
      </c>
      <c r="G58" s="4" t="s">
        <v>281</v>
      </c>
      <c r="H58" s="4" t="str">
        <f>IF(G58="Tier",
  "Tier",
  IFNA(VLOOKUP(G58,'Machine Helper Sheet'!$B$2:$D$16,3,FALSE),
    IF(ISNUMBER(VLOOKUP(G58,$A$2:$I$200,9,FALSE)),
      VLOOKUP(G58,$A$2:$I$200,8,FALSE)+VLOOKUP(G58,$A$2:$I$200,9,FALSE),
      0
    )
  )
)</f>
        <v>Tier</v>
      </c>
      <c r="I58" s="4" t="s">
        <v>282</v>
      </c>
    </row>
    <row r="59">
      <c r="A59" s="1" t="s">
        <v>348</v>
      </c>
      <c r="B59" s="4">
        <v>1.0</v>
      </c>
      <c r="C59" s="4">
        <v>1.0</v>
      </c>
      <c r="D59" s="4">
        <v>1.0</v>
      </c>
      <c r="E59" s="4" t="s">
        <v>280</v>
      </c>
      <c r="F59" s="4" t="s">
        <v>277</v>
      </c>
      <c r="G59" s="4" t="s">
        <v>281</v>
      </c>
      <c r="H59" s="4" t="str">
        <f>IF(G59="Tier",
  "Tier",
  IFNA(VLOOKUP(G59,'Machine Helper Sheet'!$B$2:$D$16,3,FALSE),
    IF(ISNUMBER(VLOOKUP(G59,$A$2:$I$200,9,FALSE)),
      VLOOKUP(G59,$A$2:$I$200,8,FALSE)+VLOOKUP(G59,$A$2:$I$200,9,FALSE),
      0
    )
  )
)</f>
        <v>Tier</v>
      </c>
      <c r="I59" s="4" t="s">
        <v>282</v>
      </c>
    </row>
    <row r="60">
      <c r="A60" s="1" t="s">
        <v>349</v>
      </c>
      <c r="B60" s="4">
        <v>1.0</v>
      </c>
      <c r="C60" s="4">
        <v>1.0</v>
      </c>
      <c r="D60" s="4">
        <v>1.0</v>
      </c>
      <c r="E60" s="4" t="s">
        <v>276</v>
      </c>
      <c r="F60" s="4" t="s">
        <v>277</v>
      </c>
      <c r="G60" s="4" t="s">
        <v>281</v>
      </c>
      <c r="H60" s="4" t="str">
        <f>IF(G60="Tier",
  "Tier",
  IFNA(VLOOKUP(G60,'Machine Helper Sheet'!$B$2:$D$16,3,FALSE),
    IF(ISNUMBER(VLOOKUP(G60,$A$2:$I$200,9,FALSE)),
      VLOOKUP(G60,$A$2:$I$200,8,FALSE)+VLOOKUP(G60,$A$2:$I$200,9,FALSE),
      0
    )
  )
)</f>
        <v>Tier</v>
      </c>
      <c r="I60" s="4">
        <v>4000.0</v>
      </c>
    </row>
    <row r="61">
      <c r="A61" s="1" t="s">
        <v>350</v>
      </c>
      <c r="B61" s="4">
        <v>1.0</v>
      </c>
      <c r="C61" s="4">
        <v>1.0</v>
      </c>
      <c r="D61" s="4">
        <v>1.0</v>
      </c>
      <c r="E61" s="4" t="s">
        <v>276</v>
      </c>
      <c r="F61" s="4" t="s">
        <v>277</v>
      </c>
      <c r="G61" s="4" t="s">
        <v>281</v>
      </c>
      <c r="H61" s="4" t="str">
        <f>IF(G61="Tier",
  "Tier",
  IFNA(VLOOKUP(G61,'Machine Helper Sheet'!$B$2:$D$16,3,FALSE),
    IF(ISNUMBER(VLOOKUP(G61,$A$2:$I$200,9,FALSE)),
      VLOOKUP(G61,$A$2:$I$200,8,FALSE)+VLOOKUP(G61,$A$2:$I$200,9,FALSE),
      0
    )
  )
)</f>
        <v>Tier</v>
      </c>
      <c r="I61" s="4" t="s">
        <v>282</v>
      </c>
    </row>
    <row r="62">
      <c r="A62" s="1" t="s">
        <v>351</v>
      </c>
      <c r="B62" s="4">
        <v>1.0</v>
      </c>
      <c r="C62" s="4">
        <v>1.0</v>
      </c>
      <c r="D62" s="4">
        <v>1.0</v>
      </c>
      <c r="E62" s="4" t="s">
        <v>280</v>
      </c>
      <c r="F62" s="4" t="s">
        <v>277</v>
      </c>
      <c r="G62" s="4" t="s">
        <v>281</v>
      </c>
      <c r="H62" s="4" t="str">
        <f>IF(G62="Tier",
  "Tier",
  IFNA(VLOOKUP(G62,'Machine Helper Sheet'!$B$2:$D$16,3,FALSE),
    IF(ISNUMBER(VLOOKUP(G62,$A$2:$I$200,9,FALSE)),
      VLOOKUP(G62,$A$2:$I$200,8,FALSE)+VLOOKUP(G62,$A$2:$I$200,9,FALSE),
      0
    )
  )
)</f>
        <v>Tier</v>
      </c>
      <c r="I62" s="4" t="s">
        <v>282</v>
      </c>
    </row>
    <row r="63">
      <c r="A63" s="1" t="s">
        <v>352</v>
      </c>
      <c r="B63" s="4">
        <v>1.0</v>
      </c>
      <c r="C63" s="4">
        <v>1.0</v>
      </c>
      <c r="D63" s="4">
        <v>1.0</v>
      </c>
      <c r="E63" s="4" t="s">
        <v>280</v>
      </c>
      <c r="F63" s="4" t="s">
        <v>277</v>
      </c>
      <c r="G63" s="4" t="s">
        <v>281</v>
      </c>
      <c r="H63" s="4" t="str">
        <f>IF(G63="Tier",
  "Tier",
  IFNA(VLOOKUP(G63,'Machine Helper Sheet'!$B$2:$D$16,3,FALSE),
    IF(ISNUMBER(VLOOKUP(G63,$A$2:$I$200,9,FALSE)),
      VLOOKUP(G63,$A$2:$I$200,8,FALSE)+VLOOKUP(G63,$A$2:$I$200,9,FALSE),
      0
    )
  )
)</f>
        <v>Tier</v>
      </c>
      <c r="I63" s="4" t="s">
        <v>282</v>
      </c>
    </row>
    <row r="64">
      <c r="A64" s="1" t="s">
        <v>353</v>
      </c>
      <c r="B64" s="4">
        <v>256.0</v>
      </c>
      <c r="C64" s="4">
        <v>1.0</v>
      </c>
      <c r="D64" s="4">
        <v>1.0</v>
      </c>
      <c r="E64" s="4" t="s">
        <v>276</v>
      </c>
      <c r="F64" s="4" t="s">
        <v>277</v>
      </c>
      <c r="G64" s="4" t="s">
        <v>281</v>
      </c>
      <c r="H64" s="4" t="str">
        <f>IF(G64="Tier",
  "Tier",
  IFNA(VLOOKUP(G64,'Machine Helper Sheet'!$B$2:$D$16,3,FALSE),
    IF(ISNUMBER(VLOOKUP(G64,$A$2:$I$200,9,FALSE)),
      VLOOKUP(G64,$A$2:$I$200,8,FALSE)+VLOOKUP(G64,$A$2:$I$200,9,FALSE),
      0
    )
  )
)</f>
        <v>Tier</v>
      </c>
      <c r="I64" s="4" t="s">
        <v>282</v>
      </c>
    </row>
    <row r="65">
      <c r="A65" s="1" t="s">
        <v>354</v>
      </c>
      <c r="B65" s="4">
        <v>1.0</v>
      </c>
      <c r="C65" s="4">
        <v>1.0</v>
      </c>
      <c r="D65" s="4">
        <v>1.0</v>
      </c>
      <c r="E65" s="4" t="s">
        <v>280</v>
      </c>
      <c r="F65" s="4" t="s">
        <v>277</v>
      </c>
      <c r="G65" s="4" t="s">
        <v>281</v>
      </c>
      <c r="H65" s="4" t="str">
        <f>IF(G65="Tier",
  "Tier",
  IFNA(VLOOKUP(G65,'Machine Helper Sheet'!$B$2:$D$16,3,FALSE),
    IF(ISNUMBER(VLOOKUP(G65,$A$2:$I$200,9,FALSE)),
      VLOOKUP(G65,$A$2:$I$200,8,FALSE)+VLOOKUP(G65,$A$2:$I$200,9,FALSE),
      0
    )
  )
)</f>
        <v>Tier</v>
      </c>
      <c r="I65" s="4" t="s">
        <v>282</v>
      </c>
    </row>
    <row r="66">
      <c r="A66" s="1" t="s">
        <v>355</v>
      </c>
      <c r="B66" s="4">
        <v>1.0</v>
      </c>
      <c r="C66" s="4">
        <v>1.0</v>
      </c>
      <c r="D66" s="4">
        <v>1.0</v>
      </c>
      <c r="E66" s="4" t="s">
        <v>280</v>
      </c>
      <c r="F66" s="4" t="s">
        <v>277</v>
      </c>
      <c r="G66" s="4" t="s">
        <v>281</v>
      </c>
      <c r="H66" s="4" t="str">
        <f>IF(G66="Tier",
  "Tier",
  IFNA(VLOOKUP(G66,'Machine Helper Sheet'!$B$2:$D$16,3,FALSE),
    IF(ISNUMBER(VLOOKUP(G66,$A$2:$I$200,9,FALSE)),
      VLOOKUP(G66,$A$2:$I$200,8,FALSE)+VLOOKUP(G66,$A$2:$I$200,9,FALSE),
      0
    )
  )
)</f>
        <v>Tier</v>
      </c>
      <c r="I66" s="4" t="s">
        <v>282</v>
      </c>
    </row>
    <row r="67">
      <c r="A67" s="1" t="s">
        <v>356</v>
      </c>
      <c r="B67" s="4" t="s">
        <v>286</v>
      </c>
      <c r="C67" s="4">
        <v>2.5</v>
      </c>
      <c r="D67" s="4">
        <v>1.0</v>
      </c>
      <c r="E67" s="4" t="s">
        <v>276</v>
      </c>
      <c r="F67" s="4" t="s">
        <v>277</v>
      </c>
      <c r="G67" s="4" t="s">
        <v>281</v>
      </c>
      <c r="H67" s="4" t="str">
        <f>IF(G67="Tier",
  "Tier",
  IFNA(VLOOKUP(G67,'Machine Helper Sheet'!$B$2:$D$16,3,FALSE),
    IF(ISNUMBER(VLOOKUP(G67,$A$2:$I$200,9,FALSE)),
      VLOOKUP(G67,$A$2:$I$200,8,FALSE)+VLOOKUP(G67,$A$2:$I$200,9,FALSE),
      0
    )
  )
)</f>
        <v>Tier</v>
      </c>
      <c r="I67" s="4" t="s">
        <v>282</v>
      </c>
    </row>
    <row r="68">
      <c r="A68" s="1" t="s">
        <v>357</v>
      </c>
      <c r="B68" s="4">
        <v>1.0</v>
      </c>
      <c r="C68" s="4">
        <v>1.0</v>
      </c>
      <c r="D68" s="4">
        <v>1.0</v>
      </c>
      <c r="E68" s="4" t="s">
        <v>276</v>
      </c>
      <c r="F68" s="4" t="s">
        <v>277</v>
      </c>
      <c r="G68" s="4" t="s">
        <v>281</v>
      </c>
      <c r="H68" s="4" t="str">
        <f>IF(G68="Tier",
  "Tier",
  IFNA(VLOOKUP(G68,'Machine Helper Sheet'!$B$2:$D$16,3,FALSE),
    IF(ISNUMBER(VLOOKUP(G68,$A$2:$I$200,9,FALSE)),
      VLOOKUP(G68,$A$2:$I$200,8,FALSE)+VLOOKUP(G68,$A$2:$I$200,9,FALSE),
      0
    )
  )
)</f>
        <v>Tier</v>
      </c>
      <c r="I68" s="4" t="s">
        <v>358</v>
      </c>
    </row>
    <row r="69">
      <c r="A69" s="1" t="s">
        <v>359</v>
      </c>
      <c r="B69" s="4">
        <v>1.0</v>
      </c>
      <c r="C69" s="4">
        <v>1.0</v>
      </c>
      <c r="D69" s="4">
        <v>1.0</v>
      </c>
      <c r="E69" s="4" t="s">
        <v>280</v>
      </c>
      <c r="F69" s="4" t="s">
        <v>277</v>
      </c>
      <c r="G69" s="4" t="s">
        <v>281</v>
      </c>
      <c r="H69" s="4" t="str">
        <f>IF(G69="Tier",
  "Tier",
  IFNA(VLOOKUP(G69,'Machine Helper Sheet'!$B$2:$D$16,3,FALSE),
    IF(ISNUMBER(VLOOKUP(G69,$A$2:$I$200,9,FALSE)),
      VLOOKUP(G69,$A$2:$I$200,8,FALSE)+VLOOKUP(G69,$A$2:$I$200,9,FALSE),
      0
    )
  )
)</f>
        <v>Tier</v>
      </c>
      <c r="I69" s="4" t="s">
        <v>282</v>
      </c>
    </row>
    <row r="70">
      <c r="A70" s="1" t="s">
        <v>360</v>
      </c>
      <c r="B70" s="4">
        <v>1.0</v>
      </c>
      <c r="C70" s="4">
        <v>1.0</v>
      </c>
      <c r="D70" s="4">
        <v>1.0</v>
      </c>
      <c r="E70" s="4" t="s">
        <v>280</v>
      </c>
      <c r="F70" s="4" t="s">
        <v>277</v>
      </c>
      <c r="G70" s="4" t="s">
        <v>281</v>
      </c>
      <c r="H70" s="4" t="str">
        <f>IF(G70="Tier",
  "Tier",
  IFNA(VLOOKUP(G70,'Machine Helper Sheet'!$B$2:$D$16,3,FALSE),
    IF(ISNUMBER(VLOOKUP(G70,$A$2:$I$200,9,FALSE)),
      VLOOKUP(G70,$A$2:$I$200,8,FALSE)+VLOOKUP(G70,$A$2:$I$200,9,FALSE),
      0
    )
  )
)</f>
        <v>Tier</v>
      </c>
      <c r="I70" s="4" t="s">
        <v>282</v>
      </c>
    </row>
    <row r="71">
      <c r="A71" s="1" t="s">
        <v>361</v>
      </c>
      <c r="B71" s="4">
        <v>1.0</v>
      </c>
      <c r="C71" s="4">
        <v>1.0</v>
      </c>
      <c r="D71" s="4">
        <v>1.0</v>
      </c>
      <c r="E71" s="4" t="s">
        <v>280</v>
      </c>
      <c r="F71" s="4" t="s">
        <v>277</v>
      </c>
      <c r="G71" s="4" t="s">
        <v>281</v>
      </c>
      <c r="H71" s="4" t="str">
        <f>IF(G71="Tier",
  "Tier",
  IFNA(VLOOKUP(G71,'Machine Helper Sheet'!$B$2:$D$16,3,FALSE),
    IF(ISNUMBER(VLOOKUP(G71,$A$2:$I$200,9,FALSE)),
      VLOOKUP(G71,$A$2:$I$200,8,FALSE)+VLOOKUP(G71,$A$2:$I$200,9,FALSE),
      0
    )
  )
)</f>
        <v>Tier</v>
      </c>
      <c r="I71" s="4" t="s">
        <v>282</v>
      </c>
    </row>
    <row r="72">
      <c r="A72" s="1" t="s">
        <v>362</v>
      </c>
      <c r="B72" s="4">
        <v>1.0</v>
      </c>
      <c r="C72" s="4">
        <v>1.0</v>
      </c>
      <c r="D72" s="4">
        <v>1.0</v>
      </c>
      <c r="E72" s="4" t="s">
        <v>280</v>
      </c>
      <c r="F72" s="4" t="s">
        <v>277</v>
      </c>
      <c r="G72" s="4" t="s">
        <v>281</v>
      </c>
      <c r="H72" s="4" t="str">
        <f>IF(G72="Tier",
  "Tier",
  IFNA(VLOOKUP(G72,'Machine Helper Sheet'!$B$2:$D$16,3,FALSE),
    IF(ISNUMBER(VLOOKUP(G72,$A$2:$I$200,9,FALSE)),
      VLOOKUP(G72,$A$2:$I$200,8,FALSE)+VLOOKUP(G72,$A$2:$I$200,9,FALSE),
      0
    )
  )
)</f>
        <v>Tier</v>
      </c>
      <c r="I72" s="4" t="s">
        <v>282</v>
      </c>
    </row>
    <row r="73">
      <c r="A73" s="1" t="s">
        <v>363</v>
      </c>
      <c r="B73" s="4">
        <v>1.0</v>
      </c>
      <c r="C73" s="4">
        <v>1.0</v>
      </c>
      <c r="D73" s="4">
        <v>1.0</v>
      </c>
      <c r="E73" s="4" t="s">
        <v>276</v>
      </c>
      <c r="F73" s="4" t="s">
        <v>277</v>
      </c>
      <c r="G73" s="4" t="s">
        <v>281</v>
      </c>
      <c r="H73" s="4" t="str">
        <f>IF(G73="Tier",
  "Tier",
  IFNA(VLOOKUP(G73,'Machine Helper Sheet'!$B$2:$D$16,3,FALSE),
    IF(ISNUMBER(VLOOKUP(G73,$A$2:$I$200,9,FALSE)),
      VLOOKUP(G73,$A$2:$I$200,8,FALSE)+VLOOKUP(G73,$A$2:$I$200,9,FALSE),
      0
    )
  )
)</f>
        <v>Tier</v>
      </c>
      <c r="I73" s="4" t="s">
        <v>282</v>
      </c>
    </row>
    <row r="74">
      <c r="A74" s="1" t="s">
        <v>364</v>
      </c>
      <c r="B74" s="4">
        <v>1.0</v>
      </c>
      <c r="C74" s="4">
        <v>1.0</v>
      </c>
      <c r="D74" s="4">
        <v>1.0</v>
      </c>
      <c r="E74" s="4" t="s">
        <v>280</v>
      </c>
      <c r="F74" s="4" t="s">
        <v>277</v>
      </c>
      <c r="G74" s="4" t="s">
        <v>281</v>
      </c>
      <c r="H74" s="4" t="str">
        <f>IF(G74="Tier",
  "Tier",
  IFNA(VLOOKUP(G74,'Machine Helper Sheet'!$B$2:$D$16,3,FALSE),
    IF(ISNUMBER(VLOOKUP(G74,$A$2:$I$200,9,FALSE)),
      VLOOKUP(G74,$A$2:$I$200,8,FALSE)+VLOOKUP(G74,$A$2:$I$200,9,FALSE),
      0
    )
  )
)</f>
        <v>Tier</v>
      </c>
      <c r="I74" s="4" t="s">
        <v>282</v>
      </c>
    </row>
    <row r="75">
      <c r="A75" s="1" t="s">
        <v>365</v>
      </c>
      <c r="B75" s="4">
        <v>1.0</v>
      </c>
      <c r="C75" s="4">
        <v>1.0</v>
      </c>
      <c r="D75" s="4">
        <v>1.0</v>
      </c>
      <c r="E75" s="4" t="s">
        <v>280</v>
      </c>
      <c r="F75" s="4" t="s">
        <v>277</v>
      </c>
      <c r="G75" s="4" t="s">
        <v>281</v>
      </c>
      <c r="H75" s="4" t="str">
        <f>IF(G75="Tier",
  "Tier",
  IFNA(VLOOKUP(G75,'Machine Helper Sheet'!$B$2:$D$16,3,FALSE),
    IF(ISNUMBER(VLOOKUP(G75,$A$2:$I$200,9,FALSE)),
      VLOOKUP(G75,$A$2:$I$200,8,FALSE)+VLOOKUP(G75,$A$2:$I$200,9,FALSE),
      0
    )
  )
)</f>
        <v>Tier</v>
      </c>
      <c r="I75" s="4" t="s">
        <v>282</v>
      </c>
    </row>
    <row r="76">
      <c r="A76" s="1" t="s">
        <v>366</v>
      </c>
      <c r="B76" s="4">
        <v>1.0</v>
      </c>
      <c r="C76" s="4">
        <v>1.0</v>
      </c>
      <c r="D76" s="4">
        <v>1.0</v>
      </c>
      <c r="E76" s="4" t="s">
        <v>280</v>
      </c>
      <c r="F76" s="4" t="s">
        <v>277</v>
      </c>
      <c r="G76" s="4" t="s">
        <v>281</v>
      </c>
      <c r="H76" s="4" t="str">
        <f>IF(G76="Tier",
  "Tier",
  IFNA(VLOOKUP(G76,'Machine Helper Sheet'!$B$2:$D$16,3,FALSE),
    IF(ISNUMBER(VLOOKUP(G76,$A$2:$I$200,9,FALSE)),
      VLOOKUP(G76,$A$2:$I$200,8,FALSE)+VLOOKUP(G76,$A$2:$I$200,9,FALSE),
      0
    )
  )
)</f>
        <v>Tier</v>
      </c>
      <c r="I76" s="4" t="s">
        <v>282</v>
      </c>
    </row>
    <row r="77">
      <c r="A77" s="1" t="s">
        <v>367</v>
      </c>
      <c r="B77" s="4">
        <v>1.0</v>
      </c>
      <c r="C77" s="4">
        <v>1.0</v>
      </c>
      <c r="D77" s="4">
        <v>1.0</v>
      </c>
      <c r="E77" s="4" t="s">
        <v>280</v>
      </c>
      <c r="F77" s="4" t="s">
        <v>277</v>
      </c>
      <c r="G77" s="4" t="s">
        <v>281</v>
      </c>
      <c r="H77" s="4" t="str">
        <f>IF(G77="Tier",
  "Tier",
  IFNA(VLOOKUP(G77,'Machine Helper Sheet'!$B$2:$D$16,3,FALSE),
    IF(ISNUMBER(VLOOKUP(G77,$A$2:$I$200,9,FALSE)),
      VLOOKUP(G77,$A$2:$I$200,8,FALSE)+VLOOKUP(G77,$A$2:$I$200,9,FALSE),
      0
    )
  )
)</f>
        <v>Tier</v>
      </c>
      <c r="I77" s="4" t="s">
        <v>282</v>
      </c>
    </row>
    <row r="78">
      <c r="A78" s="1" t="s">
        <v>368</v>
      </c>
      <c r="B78" s="4">
        <v>1.0</v>
      </c>
      <c r="C78" s="4">
        <v>1.0</v>
      </c>
      <c r="D78" s="4">
        <v>1.0</v>
      </c>
      <c r="E78" s="4" t="s">
        <v>280</v>
      </c>
      <c r="F78" s="4" t="s">
        <v>277</v>
      </c>
      <c r="G78" s="4" t="s">
        <v>281</v>
      </c>
      <c r="H78" s="4" t="str">
        <f>IF(G78="Tier",
  "Tier",
  IFNA(VLOOKUP(G78,'Machine Helper Sheet'!$B$2:$D$16,3,FALSE),
    IF(ISNUMBER(VLOOKUP(G78,$A$2:$I$200,9,FALSE)),
      VLOOKUP(G78,$A$2:$I$200,8,FALSE)+VLOOKUP(G78,$A$2:$I$200,9,FALSE),
      0
    )
  )
)</f>
        <v>Tier</v>
      </c>
      <c r="I78" s="4" t="s">
        <v>282</v>
      </c>
    </row>
    <row r="79">
      <c r="A79" s="1" t="s">
        <v>369</v>
      </c>
      <c r="B79" s="4">
        <v>1.0</v>
      </c>
      <c r="C79" s="4">
        <v>1.0</v>
      </c>
      <c r="D79" s="4">
        <v>1.0</v>
      </c>
      <c r="E79" s="4" t="s">
        <v>276</v>
      </c>
      <c r="F79" s="4" t="s">
        <v>277</v>
      </c>
      <c r="G79" s="4" t="s">
        <v>281</v>
      </c>
      <c r="H79" s="4" t="str">
        <f>IF(G79="Tier",
  "Tier",
  IFNA(VLOOKUP(G79,'Machine Helper Sheet'!$B$2:$D$16,3,FALSE),
    IF(ISNUMBER(VLOOKUP(G79,$A$2:$I$200,9,FALSE)),
      VLOOKUP(G79,$A$2:$I$200,8,FALSE)+VLOOKUP(G79,$A$2:$I$200,9,FALSE),
      0
    )
  )
)</f>
        <v>Tier</v>
      </c>
      <c r="I79" s="4" t="s">
        <v>282</v>
      </c>
    </row>
    <row r="80">
      <c r="A80" s="1" t="s">
        <v>370</v>
      </c>
      <c r="B80" s="4">
        <v>1.0</v>
      </c>
      <c r="C80" s="4">
        <v>1.0</v>
      </c>
      <c r="D80" s="4">
        <v>1.0</v>
      </c>
      <c r="E80" s="4" t="s">
        <v>280</v>
      </c>
      <c r="F80" s="4" t="s">
        <v>277</v>
      </c>
      <c r="G80" s="4" t="s">
        <v>281</v>
      </c>
      <c r="H80" s="4" t="str">
        <f>IF(G80="Tier",
  "Tier",
  IFNA(VLOOKUP(G80,'Machine Helper Sheet'!$B$2:$D$16,3,FALSE),
    IF(ISNUMBER(VLOOKUP(G80,$A$2:$I$200,9,FALSE)),
      VLOOKUP(G80,$A$2:$I$200,8,FALSE)+VLOOKUP(G80,$A$2:$I$200,9,FALSE),
      0
    )
  )
)</f>
        <v>Tier</v>
      </c>
      <c r="I80" s="4" t="s">
        <v>282</v>
      </c>
    </row>
    <row r="81">
      <c r="A81" s="1" t="s">
        <v>371</v>
      </c>
      <c r="B81" s="4">
        <v>1.0</v>
      </c>
      <c r="C81" s="4">
        <v>1.0</v>
      </c>
      <c r="D81" s="4">
        <v>1.0</v>
      </c>
      <c r="E81" s="4" t="s">
        <v>276</v>
      </c>
      <c r="F81" s="4" t="s">
        <v>277</v>
      </c>
      <c r="G81" s="4" t="s">
        <v>281</v>
      </c>
      <c r="H81" s="4" t="str">
        <f>IF(G81="Tier",
  "Tier",
  IFNA(VLOOKUP(G81,'Machine Helper Sheet'!$B$2:$D$16,3,FALSE),
    IF(ISNUMBER(VLOOKUP(G81,$A$2:$I$200,9,FALSE)),
      VLOOKUP(G81,$A$2:$I$200,8,FALSE)+VLOOKUP(G81,$A$2:$I$200,9,FALSE),
      0
    )
  )
)</f>
        <v>Tier</v>
      </c>
      <c r="I81" s="4" t="s">
        <v>282</v>
      </c>
    </row>
    <row r="82">
      <c r="A82" s="1" t="s">
        <v>372</v>
      </c>
      <c r="B82" s="4">
        <v>1.0</v>
      </c>
      <c r="C82" s="4">
        <v>1.0</v>
      </c>
      <c r="D82" s="4">
        <v>1.0</v>
      </c>
      <c r="E82" s="4" t="s">
        <v>280</v>
      </c>
      <c r="F82" s="4" t="s">
        <v>277</v>
      </c>
      <c r="G82" s="4" t="s">
        <v>281</v>
      </c>
      <c r="H82" s="4" t="str">
        <f>IF(G82="Tier",
  "Tier",
  IFNA(VLOOKUP(G82,'Machine Helper Sheet'!$B$2:$D$16,3,FALSE),
    IF(ISNUMBER(VLOOKUP(G82,$A$2:$I$200,9,FALSE)),
      VLOOKUP(G82,$A$2:$I$200,8,FALSE)+VLOOKUP(G82,$A$2:$I$200,9,FALSE),
      0
    )
  )
)</f>
        <v>Tier</v>
      </c>
      <c r="I82" s="4" t="s">
        <v>282</v>
      </c>
    </row>
    <row r="83">
      <c r="A83" s="1" t="s">
        <v>373</v>
      </c>
      <c r="B83" s="4" t="s">
        <v>332</v>
      </c>
      <c r="C83" s="4">
        <v>2.2</v>
      </c>
      <c r="D83" s="4">
        <v>0.9</v>
      </c>
      <c r="E83" s="4" t="s">
        <v>276</v>
      </c>
      <c r="F83" s="4" t="s">
        <v>277</v>
      </c>
      <c r="G83" s="4" t="s">
        <v>281</v>
      </c>
      <c r="H83" s="4" t="str">
        <f>IF(G83="Tier",
  "Tier",
  IFNA(VLOOKUP(G83,'Machine Helper Sheet'!$B$2:$D$16,3,FALSE),
    IF(ISNUMBER(VLOOKUP(G83,$A$2:$I$200,9,FALSE)),
      VLOOKUP(G83,$A$2:$I$200,8,FALSE)+VLOOKUP(G83,$A$2:$I$200,9,FALSE),
      0
    )
  )
)</f>
        <v>Tier</v>
      </c>
      <c r="I83" s="4" t="s">
        <v>282</v>
      </c>
    </row>
    <row r="84">
      <c r="A84" s="1" t="s">
        <v>374</v>
      </c>
      <c r="B84" s="4">
        <v>1.0</v>
      </c>
      <c r="C84" s="4">
        <v>1.0</v>
      </c>
      <c r="D84" s="4">
        <v>1.0</v>
      </c>
      <c r="E84" s="4" t="s">
        <v>280</v>
      </c>
      <c r="F84" s="4" t="s">
        <v>277</v>
      </c>
      <c r="G84" s="4" t="s">
        <v>281</v>
      </c>
      <c r="H84" s="4" t="str">
        <f>IF(G84="Tier",
  "Tier",
  IFNA(VLOOKUP(G84,'Machine Helper Sheet'!$B$2:$D$16,3,FALSE),
    IF(ISNUMBER(VLOOKUP(G84,$A$2:$I$200,9,FALSE)),
      VLOOKUP(G84,$A$2:$I$200,8,FALSE)+VLOOKUP(G84,$A$2:$I$200,9,FALSE),
      0
    )
  )
)</f>
        <v>Tier</v>
      </c>
      <c r="I84" s="4" t="s">
        <v>282</v>
      </c>
    </row>
    <row r="85">
      <c r="A85" s="1" t="s">
        <v>375</v>
      </c>
      <c r="B85" s="4">
        <v>1.0</v>
      </c>
      <c r="C85" s="4">
        <v>1.0</v>
      </c>
      <c r="D85" s="4">
        <v>1.0</v>
      </c>
      <c r="E85" s="4" t="s">
        <v>276</v>
      </c>
      <c r="F85" s="4" t="s">
        <v>277</v>
      </c>
      <c r="G85" s="4" t="s">
        <v>275</v>
      </c>
      <c r="H85" s="4">
        <f>IF(G85="Tier",
  "Tier",
  IFNA(VLOOKUP(G85,'Machine Helper Sheet'!$B$2:$D$16,3,FALSE),
    IF(ISNUMBER(VLOOKUP(G85,$A$2:$I$200,9,FALSE)),
      VLOOKUP(G85,$A$2:$I$200,8,FALSE)+VLOOKUP(G85,$A$2:$I$200,9,FALSE),
      0
    )
  )
)</f>
        <v>1405511</v>
      </c>
      <c r="I85" s="4">
        <v>5000.0</v>
      </c>
    </row>
    <row r="86">
      <c r="A86" s="1" t="s">
        <v>376</v>
      </c>
      <c r="B86" s="4" t="s">
        <v>377</v>
      </c>
      <c r="C86" s="4" t="s">
        <v>378</v>
      </c>
      <c r="D86" s="4">
        <v>1.0</v>
      </c>
      <c r="E86" s="4" t="s">
        <v>276</v>
      </c>
      <c r="F86" s="4" t="s">
        <v>277</v>
      </c>
      <c r="G86" s="4" t="s">
        <v>281</v>
      </c>
      <c r="H86" s="4" t="str">
        <f>IF(G86="Tier",
  "Tier",
  IFNA(VLOOKUP(G86,'Machine Helper Sheet'!$B$2:$D$16,3,FALSE),
    IF(ISNUMBER(VLOOKUP(G86,$A$2:$I$200,9,FALSE)),
      VLOOKUP(G86,$A$2:$I$200,8,FALSE)+VLOOKUP(G86,$A$2:$I$200,9,FALSE),
      0
    )
  )
)</f>
        <v>Tier</v>
      </c>
      <c r="I86" s="4" t="s">
        <v>282</v>
      </c>
    </row>
    <row r="87">
      <c r="A87" s="1" t="s">
        <v>379</v>
      </c>
      <c r="B87" s="4">
        <v>1.0</v>
      </c>
      <c r="C87" s="4">
        <v>1.0</v>
      </c>
      <c r="D87" s="4">
        <v>1.0</v>
      </c>
      <c r="E87" s="4" t="s">
        <v>280</v>
      </c>
      <c r="F87" s="4" t="s">
        <v>277</v>
      </c>
      <c r="G87" s="4" t="s">
        <v>281</v>
      </c>
      <c r="H87" s="4" t="str">
        <f>IF(G87="Tier",
  "Tier",
  IFNA(VLOOKUP(G87,'Machine Helper Sheet'!$B$2:$D$16,3,FALSE),
    IF(ISNUMBER(VLOOKUP(G87,$A$2:$I$200,9,FALSE)),
      VLOOKUP(G87,$A$2:$I$200,8,FALSE)+VLOOKUP(G87,$A$2:$I$200,9,FALSE),
      0
    )
  )
)</f>
        <v>Tier</v>
      </c>
      <c r="I87" s="4" t="s">
        <v>282</v>
      </c>
    </row>
    <row r="88">
      <c r="A88" s="3" t="s">
        <v>380</v>
      </c>
      <c r="B88" s="4">
        <v>1.0</v>
      </c>
      <c r="C88" s="4">
        <v>1.0</v>
      </c>
      <c r="D88" s="4">
        <v>1.0</v>
      </c>
      <c r="E88" s="4" t="s">
        <v>280</v>
      </c>
      <c r="F88" s="4" t="s">
        <v>277</v>
      </c>
      <c r="G88" s="4" t="s">
        <v>281</v>
      </c>
      <c r="H88" s="4" t="str">
        <f>IF(G88="Tier",
  "Tier",
  IFNA(VLOOKUP(G88,'Machine Helper Sheet'!$B$2:$D$16,3,FALSE),
    IF(ISNUMBER(VLOOKUP(G88,$A$2:$I$200,9,FALSE)),
      VLOOKUP(G88,$A$2:$I$200,8,FALSE)+VLOOKUP(G88,$A$2:$I$200,9,FALSE),
      0
    )
  )
)</f>
        <v>Tier</v>
      </c>
      <c r="I88" s="4" t="s">
        <v>282</v>
      </c>
    </row>
    <row r="90">
      <c r="E90" s="5"/>
      <c r="F90" s="5"/>
      <c r="G90" s="5"/>
      <c r="H90" s="5"/>
    </row>
    <row r="91">
      <c r="E91" s="5"/>
      <c r="F91" s="5"/>
      <c r="G91" s="5"/>
      <c r="H91" s="5"/>
    </row>
    <row r="92">
      <c r="E92" s="5"/>
      <c r="F92" s="5"/>
      <c r="G92" s="5"/>
      <c r="H92" s="5"/>
    </row>
    <row r="93">
      <c r="E93" s="5"/>
      <c r="F93" s="5"/>
      <c r="G93" s="5"/>
      <c r="H93" s="5"/>
    </row>
    <row r="94">
      <c r="E94" s="5"/>
      <c r="F94" s="5"/>
      <c r="G94" s="5"/>
      <c r="H94" s="5"/>
    </row>
    <row r="95">
      <c r="E95" s="5"/>
      <c r="F95" s="5"/>
      <c r="G95" s="5"/>
      <c r="H95" s="5"/>
    </row>
    <row r="96">
      <c r="E96" s="5"/>
      <c r="F96" s="5"/>
      <c r="G96" s="5"/>
      <c r="H96" s="5"/>
    </row>
    <row r="97">
      <c r="E97" s="5"/>
      <c r="F97" s="5"/>
      <c r="G97" s="5"/>
      <c r="H97" s="5"/>
    </row>
    <row r="98">
      <c r="E98" s="5"/>
      <c r="F98" s="5"/>
      <c r="G98" s="5"/>
      <c r="H98" s="5"/>
    </row>
    <row r="99">
      <c r="E99" s="5"/>
      <c r="F99" s="5"/>
      <c r="G99" s="5"/>
      <c r="H99" s="5"/>
    </row>
    <row r="100">
      <c r="E100" s="5"/>
      <c r="F100" s="5"/>
      <c r="G100" s="5"/>
      <c r="H100" s="5"/>
    </row>
    <row r="101">
      <c r="E101" s="5"/>
      <c r="F101" s="5"/>
      <c r="G101" s="5"/>
      <c r="H101" s="5"/>
    </row>
    <row r="102">
      <c r="E102" s="5"/>
      <c r="F102" s="5"/>
      <c r="G102" s="5"/>
      <c r="H102" s="5"/>
    </row>
    <row r="103">
      <c r="E103" s="5"/>
      <c r="F103" s="5"/>
      <c r="G103" s="5"/>
      <c r="H103" s="5"/>
    </row>
    <row r="104">
      <c r="E104" s="5"/>
      <c r="F104" s="5"/>
      <c r="G104" s="5"/>
      <c r="H104" s="5"/>
    </row>
    <row r="105">
      <c r="E105" s="5"/>
      <c r="F105" s="5"/>
      <c r="G105" s="5"/>
      <c r="H105" s="5"/>
    </row>
    <row r="106">
      <c r="E106" s="5"/>
      <c r="F106" s="5"/>
      <c r="G106" s="5"/>
      <c r="H106" s="5"/>
    </row>
    <row r="107">
      <c r="E107" s="5"/>
      <c r="F107" s="5"/>
      <c r="G107" s="5"/>
      <c r="H107" s="5"/>
    </row>
    <row r="108">
      <c r="E108" s="5"/>
      <c r="F108" s="5"/>
      <c r="G108" s="5"/>
      <c r="H108" s="5"/>
    </row>
    <row r="109">
      <c r="E109" s="5"/>
      <c r="F109" s="5"/>
      <c r="G109" s="5"/>
      <c r="H109" s="5"/>
    </row>
    <row r="110">
      <c r="E110" s="5"/>
      <c r="F110" s="5"/>
      <c r="G110" s="5"/>
      <c r="H110" s="5"/>
    </row>
    <row r="111">
      <c r="E111" s="5"/>
      <c r="F111" s="5"/>
      <c r="G111" s="5"/>
      <c r="H111" s="5"/>
    </row>
    <row r="112">
      <c r="E112" s="5"/>
      <c r="F112" s="5"/>
      <c r="G112" s="5"/>
      <c r="H112" s="5"/>
    </row>
    <row r="113">
      <c r="E113" s="5"/>
      <c r="F113" s="5"/>
      <c r="G113" s="5"/>
      <c r="H113" s="5"/>
    </row>
    <row r="114">
      <c r="E114" s="5"/>
      <c r="F114" s="5"/>
      <c r="G114" s="5"/>
      <c r="H114" s="5"/>
    </row>
    <row r="115">
      <c r="E115" s="5"/>
      <c r="F115" s="5"/>
      <c r="G115" s="5"/>
      <c r="H115" s="5"/>
    </row>
    <row r="116">
      <c r="E116" s="5"/>
      <c r="F116" s="5"/>
      <c r="G116" s="5"/>
      <c r="H116" s="5"/>
    </row>
    <row r="117">
      <c r="E117" s="5"/>
      <c r="F117" s="5"/>
      <c r="G117" s="5"/>
      <c r="H117" s="5"/>
    </row>
    <row r="118">
      <c r="E118" s="5"/>
      <c r="F118" s="5"/>
      <c r="G118" s="5"/>
      <c r="H118" s="5"/>
    </row>
    <row r="119">
      <c r="E119" s="5"/>
      <c r="F119" s="5"/>
      <c r="G119" s="5"/>
      <c r="H119" s="5"/>
    </row>
    <row r="120">
      <c r="E120" s="5"/>
      <c r="F120" s="5"/>
      <c r="G120" s="5"/>
      <c r="H120" s="5"/>
    </row>
    <row r="121">
      <c r="E121" s="5"/>
      <c r="F121" s="5"/>
      <c r="G121" s="5"/>
      <c r="H121" s="5"/>
    </row>
    <row r="122">
      <c r="E122" s="5"/>
      <c r="F122" s="5"/>
      <c r="G122" s="5"/>
      <c r="H122" s="5"/>
    </row>
    <row r="123">
      <c r="E123" s="5"/>
      <c r="F123" s="5"/>
      <c r="G123" s="5"/>
      <c r="H123" s="5"/>
    </row>
    <row r="124">
      <c r="E124" s="5"/>
      <c r="F124" s="5"/>
      <c r="G124" s="5"/>
      <c r="H124" s="5"/>
    </row>
    <row r="125">
      <c r="E125" s="5"/>
      <c r="F125" s="5"/>
      <c r="G125" s="5"/>
      <c r="H125" s="5"/>
    </row>
    <row r="126">
      <c r="E126" s="5"/>
      <c r="F126" s="5"/>
      <c r="G126" s="5"/>
      <c r="H126" s="5"/>
    </row>
    <row r="127">
      <c r="E127" s="5"/>
      <c r="F127" s="5"/>
      <c r="G127" s="5"/>
      <c r="H127" s="5"/>
    </row>
    <row r="128">
      <c r="E128" s="5"/>
      <c r="F128" s="5"/>
      <c r="G128" s="5"/>
      <c r="H128" s="5"/>
    </row>
    <row r="129">
      <c r="E129" s="5"/>
      <c r="F129" s="5"/>
      <c r="G129" s="5"/>
      <c r="H129" s="5"/>
    </row>
    <row r="130">
      <c r="E130" s="5"/>
      <c r="F130" s="5"/>
      <c r="G130" s="5"/>
      <c r="H130" s="5"/>
    </row>
    <row r="131">
      <c r="E131" s="5"/>
      <c r="F131" s="5"/>
      <c r="G131" s="5"/>
      <c r="H131" s="5"/>
    </row>
    <row r="132">
      <c r="E132" s="5"/>
      <c r="F132" s="5"/>
      <c r="G132" s="5"/>
      <c r="H132" s="5"/>
    </row>
    <row r="133">
      <c r="E133" s="5"/>
      <c r="F133" s="5"/>
      <c r="G133" s="5"/>
      <c r="H133" s="5"/>
    </row>
    <row r="134">
      <c r="E134" s="5"/>
      <c r="F134" s="5"/>
      <c r="G134" s="5"/>
      <c r="H134" s="5"/>
    </row>
    <row r="135">
      <c r="E135" s="5"/>
      <c r="F135" s="5"/>
      <c r="G135" s="5"/>
      <c r="H135" s="5"/>
    </row>
    <row r="136">
      <c r="E136" s="5"/>
      <c r="F136" s="5"/>
      <c r="G136" s="5"/>
      <c r="H136" s="5"/>
    </row>
    <row r="137">
      <c r="E137" s="5"/>
      <c r="F137" s="5"/>
      <c r="G137" s="5"/>
      <c r="H137" s="5"/>
    </row>
    <row r="138">
      <c r="E138" s="5"/>
      <c r="F138" s="5"/>
      <c r="G138" s="5"/>
      <c r="H138" s="5"/>
    </row>
    <row r="139">
      <c r="E139" s="5"/>
      <c r="F139" s="5"/>
      <c r="G139" s="5"/>
      <c r="H139" s="5"/>
    </row>
    <row r="140">
      <c r="E140" s="5"/>
      <c r="F140" s="5"/>
      <c r="G140" s="5"/>
      <c r="H140" s="5"/>
    </row>
    <row r="141">
      <c r="E141" s="5"/>
      <c r="F141" s="5"/>
      <c r="G141" s="5"/>
      <c r="H141" s="5"/>
    </row>
    <row r="142">
      <c r="E142" s="5"/>
      <c r="F142" s="5"/>
      <c r="G142" s="5"/>
      <c r="H142" s="5"/>
    </row>
    <row r="143">
      <c r="E143" s="5"/>
      <c r="F143" s="5"/>
      <c r="G143" s="5"/>
      <c r="H143" s="5"/>
    </row>
    <row r="144">
      <c r="E144" s="5"/>
      <c r="F144" s="5"/>
      <c r="G144" s="5"/>
      <c r="H144" s="5"/>
    </row>
    <row r="145">
      <c r="E145" s="5"/>
      <c r="F145" s="5"/>
      <c r="G145" s="5"/>
      <c r="H145" s="5"/>
    </row>
    <row r="146">
      <c r="E146" s="5"/>
      <c r="F146" s="5"/>
      <c r="G146" s="5"/>
      <c r="H146" s="5"/>
    </row>
    <row r="147">
      <c r="E147" s="5"/>
      <c r="F147" s="5"/>
      <c r="G147" s="5"/>
      <c r="H147" s="5"/>
    </row>
    <row r="148">
      <c r="E148" s="5"/>
      <c r="F148" s="5"/>
      <c r="G148" s="5"/>
      <c r="H148" s="5"/>
    </row>
    <row r="149">
      <c r="E149" s="5"/>
      <c r="F149" s="5"/>
      <c r="G149" s="5"/>
      <c r="H149" s="5"/>
    </row>
    <row r="150">
      <c r="E150" s="5"/>
      <c r="F150" s="5"/>
      <c r="G150" s="5"/>
      <c r="H150" s="5"/>
    </row>
    <row r="151">
      <c r="E151" s="5"/>
      <c r="F151" s="5"/>
      <c r="G151" s="5"/>
      <c r="H151" s="5"/>
    </row>
    <row r="152">
      <c r="E152" s="5"/>
      <c r="F152" s="5"/>
      <c r="G152" s="5"/>
      <c r="H152" s="5"/>
    </row>
    <row r="153">
      <c r="E153" s="5"/>
      <c r="F153" s="5"/>
      <c r="G153" s="5"/>
      <c r="H153" s="5"/>
    </row>
    <row r="154">
      <c r="E154" s="5"/>
      <c r="F154" s="5"/>
      <c r="G154" s="5"/>
      <c r="H154" s="5"/>
    </row>
    <row r="155">
      <c r="E155" s="5"/>
      <c r="F155" s="5"/>
      <c r="G155" s="5"/>
      <c r="H155" s="5"/>
    </row>
    <row r="156">
      <c r="E156" s="5"/>
      <c r="F156" s="5"/>
      <c r="G156" s="5"/>
      <c r="H156" s="5"/>
    </row>
    <row r="157">
      <c r="E157" s="5"/>
      <c r="F157" s="5"/>
      <c r="G157" s="5"/>
      <c r="H157" s="5"/>
    </row>
    <row r="158">
      <c r="E158" s="5"/>
      <c r="F158" s="5"/>
      <c r="G158" s="5"/>
      <c r="H158" s="5"/>
    </row>
    <row r="159">
      <c r="E159" s="5"/>
      <c r="F159" s="5"/>
      <c r="G159" s="5"/>
      <c r="H159" s="5"/>
    </row>
    <row r="160">
      <c r="E160" s="5"/>
      <c r="F160" s="5"/>
      <c r="G160" s="5"/>
      <c r="H160" s="5"/>
    </row>
    <row r="161">
      <c r="E161" s="5"/>
      <c r="F161" s="5"/>
      <c r="G161" s="5"/>
      <c r="H161" s="5"/>
    </row>
    <row r="162">
      <c r="E162" s="5"/>
      <c r="F162" s="5"/>
      <c r="G162" s="5"/>
      <c r="H162" s="5"/>
    </row>
    <row r="163">
      <c r="E163" s="5"/>
      <c r="F163" s="5"/>
      <c r="G163" s="5"/>
      <c r="H163" s="5"/>
    </row>
    <row r="164">
      <c r="E164" s="5"/>
      <c r="F164" s="5"/>
      <c r="G164" s="5"/>
      <c r="H164" s="5"/>
    </row>
    <row r="165">
      <c r="E165" s="5"/>
      <c r="F165" s="5"/>
      <c r="G165" s="5"/>
      <c r="H165" s="5"/>
    </row>
    <row r="166">
      <c r="E166" s="5"/>
      <c r="F166" s="5"/>
      <c r="G166" s="5"/>
      <c r="H166" s="5"/>
    </row>
    <row r="167">
      <c r="E167" s="5"/>
      <c r="F167" s="5"/>
      <c r="G167" s="5"/>
      <c r="H167" s="5"/>
    </row>
    <row r="168">
      <c r="E168" s="5"/>
      <c r="F168" s="5"/>
      <c r="G168" s="5"/>
      <c r="H168" s="5"/>
    </row>
    <row r="169">
      <c r="E169" s="5"/>
      <c r="F169" s="5"/>
      <c r="G169" s="5"/>
      <c r="H169" s="5"/>
    </row>
    <row r="170">
      <c r="E170" s="5"/>
      <c r="F170" s="5"/>
      <c r="G170" s="5"/>
      <c r="H170" s="5"/>
    </row>
    <row r="171">
      <c r="E171" s="5"/>
      <c r="F171" s="5"/>
      <c r="G171" s="5"/>
      <c r="H171" s="5"/>
    </row>
    <row r="172">
      <c r="E172" s="5"/>
      <c r="F172" s="5"/>
      <c r="G172" s="5"/>
      <c r="H172" s="5"/>
    </row>
    <row r="173">
      <c r="E173" s="5"/>
      <c r="F173" s="5"/>
      <c r="G173" s="5"/>
      <c r="H173" s="5"/>
    </row>
    <row r="174">
      <c r="E174" s="5"/>
      <c r="F174" s="5"/>
      <c r="G174" s="5"/>
      <c r="H174" s="5"/>
    </row>
    <row r="175">
      <c r="E175" s="5"/>
      <c r="F175" s="5"/>
      <c r="G175" s="5"/>
      <c r="H175" s="5"/>
    </row>
    <row r="176">
      <c r="E176" s="5"/>
      <c r="F176" s="5"/>
      <c r="G176" s="5"/>
      <c r="H176" s="5"/>
    </row>
    <row r="177">
      <c r="E177" s="5"/>
      <c r="F177" s="5"/>
      <c r="G177" s="5"/>
      <c r="H177" s="5"/>
    </row>
    <row r="178">
      <c r="E178" s="5"/>
      <c r="F178" s="5"/>
      <c r="G178" s="5"/>
      <c r="H178" s="5"/>
    </row>
    <row r="179">
      <c r="E179" s="5"/>
      <c r="F179" s="5"/>
      <c r="G179" s="5"/>
      <c r="H179" s="5"/>
    </row>
    <row r="180">
      <c r="E180" s="5"/>
      <c r="F180" s="5"/>
      <c r="G180" s="5"/>
      <c r="H180" s="5"/>
    </row>
    <row r="181">
      <c r="E181" s="5"/>
      <c r="F181" s="5"/>
      <c r="G181" s="5"/>
      <c r="H181" s="5"/>
    </row>
    <row r="182">
      <c r="E182" s="5"/>
      <c r="F182" s="5"/>
      <c r="G182" s="5"/>
      <c r="H182" s="5"/>
    </row>
    <row r="183">
      <c r="E183" s="5"/>
      <c r="F183" s="5"/>
      <c r="G183" s="5"/>
      <c r="H183" s="5"/>
    </row>
    <row r="184">
      <c r="E184" s="5"/>
      <c r="F184" s="5"/>
      <c r="G184" s="5"/>
      <c r="H184" s="5"/>
    </row>
    <row r="185">
      <c r="E185" s="5"/>
      <c r="F185" s="5"/>
      <c r="G185" s="5"/>
      <c r="H185" s="5"/>
    </row>
    <row r="186">
      <c r="E186" s="5"/>
      <c r="F186" s="5"/>
      <c r="G186" s="5"/>
      <c r="H186" s="5"/>
    </row>
    <row r="187">
      <c r="E187" s="5"/>
      <c r="F187" s="5"/>
      <c r="G187" s="5"/>
      <c r="H187" s="5"/>
    </row>
    <row r="188">
      <c r="E188" s="5"/>
      <c r="F188" s="5"/>
      <c r="G188" s="5"/>
      <c r="H188" s="5"/>
    </row>
    <row r="189">
      <c r="E189" s="5"/>
      <c r="F189" s="5"/>
      <c r="G189" s="5"/>
      <c r="H189" s="5"/>
    </row>
    <row r="190">
      <c r="E190" s="5"/>
      <c r="F190" s="5"/>
      <c r="G190" s="5"/>
      <c r="H190" s="5"/>
    </row>
    <row r="191">
      <c r="E191" s="5"/>
      <c r="F191" s="5"/>
      <c r="G191" s="5"/>
      <c r="H191" s="5"/>
    </row>
    <row r="192">
      <c r="E192" s="5"/>
      <c r="F192" s="5"/>
      <c r="G192" s="5"/>
      <c r="H192" s="5"/>
    </row>
    <row r="193">
      <c r="E193" s="5"/>
      <c r="F193" s="5"/>
      <c r="G193" s="5"/>
      <c r="H193" s="5"/>
    </row>
    <row r="194">
      <c r="E194" s="5"/>
      <c r="F194" s="5"/>
      <c r="G194" s="5"/>
      <c r="H194" s="5"/>
    </row>
    <row r="195">
      <c r="E195" s="5"/>
      <c r="F195" s="5"/>
      <c r="G195" s="5"/>
      <c r="H195" s="5"/>
    </row>
    <row r="196">
      <c r="E196" s="5"/>
      <c r="F196" s="5"/>
      <c r="G196" s="5"/>
      <c r="H196" s="5"/>
    </row>
    <row r="197">
      <c r="E197" s="5"/>
      <c r="F197" s="5"/>
      <c r="G197" s="5"/>
      <c r="H197" s="5"/>
    </row>
    <row r="198">
      <c r="E198" s="5"/>
      <c r="F198" s="5"/>
      <c r="G198" s="5"/>
      <c r="H198" s="5"/>
    </row>
    <row r="199">
      <c r="E199" s="5"/>
      <c r="F199" s="5"/>
      <c r="G199" s="5"/>
      <c r="H199" s="5"/>
    </row>
    <row r="200">
      <c r="E200" s="5"/>
      <c r="F200" s="5"/>
      <c r="G200" s="5"/>
      <c r="H200" s="5"/>
    </row>
    <row r="201">
      <c r="E201" s="5"/>
      <c r="F201" s="5"/>
      <c r="G201" s="5"/>
      <c r="H201" s="5"/>
    </row>
    <row r="202">
      <c r="E202" s="5"/>
      <c r="F202" s="5"/>
      <c r="G202" s="5"/>
      <c r="H202" s="5"/>
    </row>
    <row r="203">
      <c r="E203" s="5"/>
      <c r="F203" s="5"/>
      <c r="G203" s="5"/>
      <c r="H203" s="5"/>
    </row>
    <row r="204">
      <c r="E204" s="5"/>
      <c r="F204" s="5"/>
      <c r="G204" s="5"/>
      <c r="H204" s="5"/>
    </row>
    <row r="205">
      <c r="E205" s="5"/>
      <c r="F205" s="5"/>
      <c r="G205" s="5"/>
      <c r="H205" s="5"/>
    </row>
    <row r="206">
      <c r="E206" s="5"/>
      <c r="F206" s="5"/>
      <c r="G206" s="5"/>
      <c r="H206" s="5"/>
    </row>
    <row r="207">
      <c r="E207" s="5"/>
      <c r="F207" s="5"/>
      <c r="G207" s="5"/>
      <c r="H207" s="5"/>
    </row>
    <row r="208">
      <c r="E208" s="5"/>
      <c r="F208" s="5"/>
      <c r="G208" s="5"/>
      <c r="H208" s="5"/>
    </row>
    <row r="209">
      <c r="E209" s="5"/>
      <c r="F209" s="5"/>
      <c r="G209" s="5"/>
      <c r="H209" s="5"/>
    </row>
    <row r="210">
      <c r="E210" s="5"/>
      <c r="F210" s="5"/>
      <c r="G210" s="5"/>
      <c r="H210" s="5"/>
    </row>
    <row r="211">
      <c r="E211" s="5"/>
      <c r="F211" s="5"/>
      <c r="G211" s="5"/>
      <c r="H211" s="5"/>
    </row>
    <row r="212">
      <c r="E212" s="5"/>
      <c r="F212" s="5"/>
      <c r="G212" s="5"/>
      <c r="H212" s="5"/>
    </row>
    <row r="213">
      <c r="E213" s="5"/>
      <c r="F213" s="5"/>
      <c r="G213" s="5"/>
      <c r="H213" s="5"/>
    </row>
    <row r="214">
      <c r="E214" s="5"/>
      <c r="F214" s="5"/>
      <c r="G214" s="5"/>
      <c r="H214" s="5"/>
    </row>
    <row r="215">
      <c r="E215" s="5"/>
      <c r="F215" s="5"/>
      <c r="G215" s="5"/>
      <c r="H215" s="5"/>
    </row>
    <row r="216">
      <c r="E216" s="5"/>
      <c r="F216" s="5"/>
      <c r="G216" s="5"/>
      <c r="H216" s="5"/>
    </row>
    <row r="217">
      <c r="E217" s="5"/>
      <c r="F217" s="5"/>
      <c r="G217" s="5"/>
      <c r="H217" s="5"/>
    </row>
    <row r="218">
      <c r="E218" s="5"/>
      <c r="F218" s="5"/>
      <c r="G218" s="5"/>
      <c r="H218" s="5"/>
    </row>
    <row r="219">
      <c r="E219" s="5"/>
      <c r="F219" s="5"/>
      <c r="G219" s="5"/>
      <c r="H219" s="5"/>
    </row>
    <row r="220">
      <c r="E220" s="5"/>
      <c r="F220" s="5"/>
      <c r="G220" s="5"/>
      <c r="H220" s="5"/>
    </row>
    <row r="221">
      <c r="E221" s="5"/>
      <c r="F221" s="5"/>
      <c r="G221" s="5"/>
      <c r="H221" s="5"/>
    </row>
    <row r="222">
      <c r="E222" s="5"/>
      <c r="F222" s="5"/>
      <c r="G222" s="5"/>
      <c r="H222" s="5"/>
    </row>
    <row r="223">
      <c r="E223" s="5"/>
      <c r="F223" s="5"/>
      <c r="G223" s="5"/>
      <c r="H223" s="5"/>
    </row>
    <row r="224">
      <c r="E224" s="5"/>
      <c r="F224" s="5"/>
      <c r="G224" s="5"/>
      <c r="H224" s="5"/>
    </row>
    <row r="225">
      <c r="E225" s="5"/>
      <c r="F225" s="5"/>
      <c r="G225" s="5"/>
      <c r="H225" s="5"/>
    </row>
    <row r="226">
      <c r="E226" s="5"/>
      <c r="F226" s="5"/>
      <c r="G226" s="5"/>
      <c r="H226" s="5"/>
    </row>
    <row r="227">
      <c r="E227" s="5"/>
      <c r="F227" s="5"/>
      <c r="G227" s="5"/>
      <c r="H227" s="5"/>
    </row>
    <row r="228">
      <c r="E228" s="5"/>
      <c r="F228" s="5"/>
      <c r="G228" s="5"/>
      <c r="H228" s="5"/>
    </row>
    <row r="229">
      <c r="E229" s="5"/>
      <c r="F229" s="5"/>
      <c r="G229" s="5"/>
      <c r="H229" s="5"/>
    </row>
    <row r="230">
      <c r="E230" s="5"/>
      <c r="F230" s="5"/>
      <c r="G230" s="5"/>
      <c r="H230" s="5"/>
    </row>
    <row r="231">
      <c r="E231" s="5"/>
      <c r="F231" s="5"/>
      <c r="G231" s="5"/>
      <c r="H231" s="5"/>
    </row>
    <row r="232">
      <c r="E232" s="5"/>
      <c r="F232" s="5"/>
      <c r="G232" s="5"/>
      <c r="H232" s="5"/>
    </row>
    <row r="233">
      <c r="E233" s="5"/>
      <c r="F233" s="5"/>
      <c r="G233" s="5"/>
      <c r="H233" s="5"/>
    </row>
    <row r="234">
      <c r="E234" s="5"/>
      <c r="F234" s="5"/>
      <c r="G234" s="5"/>
      <c r="H234" s="5"/>
    </row>
    <row r="235">
      <c r="E235" s="5"/>
      <c r="F235" s="5"/>
      <c r="G235" s="5"/>
      <c r="H235" s="5"/>
    </row>
    <row r="236">
      <c r="E236" s="5"/>
      <c r="F236" s="5"/>
      <c r="G236" s="5"/>
      <c r="H236" s="5"/>
    </row>
    <row r="237">
      <c r="E237" s="5"/>
      <c r="F237" s="5"/>
      <c r="G237" s="5"/>
      <c r="H237" s="5"/>
    </row>
    <row r="238">
      <c r="E238" s="5"/>
      <c r="F238" s="5"/>
      <c r="G238" s="5"/>
      <c r="H238" s="5"/>
    </row>
    <row r="239">
      <c r="E239" s="5"/>
      <c r="F239" s="5"/>
      <c r="G239" s="5"/>
      <c r="H239" s="5"/>
    </row>
    <row r="240">
      <c r="E240" s="5"/>
      <c r="F240" s="5"/>
      <c r="G240" s="5"/>
      <c r="H240" s="5"/>
    </row>
    <row r="241">
      <c r="E241" s="5"/>
      <c r="F241" s="5"/>
      <c r="G241" s="5"/>
      <c r="H241" s="5"/>
    </row>
    <row r="242">
      <c r="E242" s="5"/>
      <c r="F242" s="5"/>
      <c r="G242" s="5"/>
      <c r="H242" s="5"/>
    </row>
    <row r="243">
      <c r="E243" s="5"/>
      <c r="F243" s="5"/>
      <c r="G243" s="5"/>
      <c r="H243" s="5"/>
    </row>
    <row r="244">
      <c r="E244" s="5"/>
      <c r="F244" s="5"/>
      <c r="G244" s="5"/>
      <c r="H244" s="5"/>
    </row>
    <row r="245">
      <c r="E245" s="5"/>
      <c r="F245" s="5"/>
      <c r="G245" s="5"/>
      <c r="H245" s="5"/>
    </row>
    <row r="246">
      <c r="E246" s="5"/>
      <c r="F246" s="5"/>
      <c r="G246" s="5"/>
      <c r="H246" s="5"/>
    </row>
    <row r="247">
      <c r="E247" s="5"/>
      <c r="F247" s="5"/>
      <c r="G247" s="5"/>
      <c r="H247" s="5"/>
    </row>
    <row r="248">
      <c r="E248" s="5"/>
      <c r="F248" s="5"/>
      <c r="G248" s="5"/>
      <c r="H248" s="5"/>
    </row>
    <row r="249">
      <c r="E249" s="5"/>
      <c r="F249" s="5"/>
      <c r="G249" s="5"/>
      <c r="H249" s="5"/>
    </row>
    <row r="250">
      <c r="E250" s="5"/>
      <c r="F250" s="5"/>
      <c r="G250" s="5"/>
      <c r="H250" s="5"/>
    </row>
    <row r="251">
      <c r="E251" s="5"/>
      <c r="F251" s="5"/>
      <c r="G251" s="5"/>
      <c r="H251" s="5"/>
    </row>
    <row r="252">
      <c r="E252" s="5"/>
      <c r="F252" s="5"/>
      <c r="G252" s="5"/>
      <c r="H252" s="5"/>
    </row>
    <row r="253">
      <c r="E253" s="5"/>
      <c r="F253" s="5"/>
      <c r="G253" s="5"/>
      <c r="H253" s="5"/>
    </row>
    <row r="254">
      <c r="E254" s="5"/>
      <c r="F254" s="5"/>
      <c r="G254" s="5"/>
      <c r="H254" s="5"/>
    </row>
    <row r="255">
      <c r="E255" s="5"/>
      <c r="F255" s="5"/>
      <c r="G255" s="5"/>
      <c r="H255" s="5"/>
    </row>
    <row r="256">
      <c r="E256" s="5"/>
      <c r="F256" s="5"/>
      <c r="G256" s="5"/>
      <c r="H256" s="5"/>
    </row>
    <row r="257">
      <c r="E257" s="5"/>
      <c r="F257" s="5"/>
      <c r="G257" s="5"/>
      <c r="H257" s="5"/>
    </row>
    <row r="258">
      <c r="E258" s="5"/>
      <c r="F258" s="5"/>
      <c r="G258" s="5"/>
      <c r="H258" s="5"/>
    </row>
    <row r="259">
      <c r="E259" s="5"/>
      <c r="F259" s="5"/>
      <c r="G259" s="5"/>
      <c r="H259" s="5"/>
    </row>
    <row r="260">
      <c r="E260" s="5"/>
      <c r="F260" s="5"/>
      <c r="G260" s="5"/>
      <c r="H260" s="5"/>
    </row>
    <row r="261">
      <c r="E261" s="5"/>
      <c r="F261" s="5"/>
      <c r="G261" s="5"/>
      <c r="H261" s="5"/>
    </row>
    <row r="262">
      <c r="E262" s="5"/>
      <c r="F262" s="5"/>
      <c r="G262" s="5"/>
      <c r="H262" s="5"/>
    </row>
    <row r="263">
      <c r="E263" s="5"/>
      <c r="F263" s="5"/>
      <c r="G263" s="5"/>
      <c r="H263" s="5"/>
    </row>
    <row r="264">
      <c r="E264" s="5"/>
      <c r="F264" s="5"/>
      <c r="G264" s="5"/>
      <c r="H264" s="5"/>
    </row>
    <row r="265">
      <c r="E265" s="5"/>
      <c r="F265" s="5"/>
      <c r="G265" s="5"/>
      <c r="H265" s="5"/>
    </row>
    <row r="266">
      <c r="E266" s="5"/>
      <c r="F266" s="5"/>
      <c r="G266" s="5"/>
      <c r="H266" s="5"/>
    </row>
    <row r="267">
      <c r="E267" s="5"/>
      <c r="F267" s="5"/>
      <c r="G267" s="5"/>
      <c r="H267" s="5"/>
    </row>
    <row r="268">
      <c r="E268" s="5"/>
      <c r="F268" s="5"/>
      <c r="G268" s="5"/>
      <c r="H268" s="5"/>
    </row>
    <row r="269">
      <c r="E269" s="5"/>
      <c r="F269" s="5"/>
      <c r="G269" s="5"/>
      <c r="H269" s="5"/>
    </row>
    <row r="270">
      <c r="E270" s="5"/>
      <c r="F270" s="5"/>
      <c r="G270" s="5"/>
      <c r="H270" s="5"/>
    </row>
    <row r="271">
      <c r="E271" s="5"/>
      <c r="F271" s="5"/>
      <c r="G271" s="5"/>
      <c r="H271" s="5"/>
    </row>
    <row r="272">
      <c r="E272" s="5"/>
      <c r="F272" s="5"/>
      <c r="G272" s="5"/>
      <c r="H272" s="5"/>
    </row>
    <row r="273">
      <c r="E273" s="5"/>
      <c r="F273" s="5"/>
      <c r="G273" s="5"/>
      <c r="H273" s="5"/>
    </row>
    <row r="274">
      <c r="E274" s="5"/>
      <c r="F274" s="5"/>
      <c r="G274" s="5"/>
      <c r="H274" s="5"/>
    </row>
    <row r="275">
      <c r="E275" s="5"/>
      <c r="F275" s="5"/>
      <c r="G275" s="5"/>
      <c r="H275" s="5"/>
    </row>
    <row r="276">
      <c r="E276" s="5"/>
      <c r="F276" s="5"/>
      <c r="G276" s="5"/>
      <c r="H276" s="5"/>
    </row>
    <row r="277">
      <c r="E277" s="5"/>
      <c r="F277" s="5"/>
      <c r="G277" s="5"/>
      <c r="H277" s="5"/>
    </row>
    <row r="278">
      <c r="E278" s="5"/>
      <c r="F278" s="5"/>
      <c r="G278" s="5"/>
      <c r="H278" s="5"/>
    </row>
    <row r="279">
      <c r="E279" s="5"/>
      <c r="F279" s="5"/>
      <c r="G279" s="5"/>
      <c r="H279" s="5"/>
    </row>
    <row r="280">
      <c r="E280" s="5"/>
      <c r="F280" s="5"/>
      <c r="G280" s="5"/>
      <c r="H280" s="5"/>
    </row>
    <row r="281">
      <c r="E281" s="5"/>
      <c r="F281" s="5"/>
      <c r="G281" s="5"/>
      <c r="H281" s="5"/>
    </row>
    <row r="282">
      <c r="E282" s="5"/>
      <c r="F282" s="5"/>
      <c r="G282" s="5"/>
      <c r="H282" s="5"/>
    </row>
    <row r="283">
      <c r="E283" s="5"/>
      <c r="F283" s="5"/>
      <c r="G283" s="5"/>
      <c r="H283" s="5"/>
    </row>
    <row r="284">
      <c r="E284" s="5"/>
      <c r="F284" s="5"/>
      <c r="G284" s="5"/>
      <c r="H284" s="5"/>
    </row>
    <row r="285">
      <c r="E285" s="5"/>
      <c r="F285" s="5"/>
      <c r="G285" s="5"/>
      <c r="H285" s="5"/>
    </row>
    <row r="286">
      <c r="E286" s="5"/>
      <c r="F286" s="5"/>
      <c r="G286" s="5"/>
      <c r="H286" s="5"/>
    </row>
    <row r="287">
      <c r="E287" s="5"/>
      <c r="F287" s="5"/>
      <c r="G287" s="5"/>
      <c r="H287" s="5"/>
    </row>
    <row r="288">
      <c r="E288" s="5"/>
      <c r="F288" s="5"/>
      <c r="G288" s="5"/>
      <c r="H288" s="5"/>
    </row>
    <row r="289">
      <c r="E289" s="5"/>
      <c r="F289" s="5"/>
      <c r="G289" s="5"/>
      <c r="H289" s="5"/>
    </row>
    <row r="290">
      <c r="E290" s="5"/>
      <c r="F290" s="5"/>
      <c r="G290" s="5"/>
      <c r="H290" s="5"/>
    </row>
    <row r="291">
      <c r="E291" s="5"/>
      <c r="F291" s="5"/>
      <c r="G291" s="5"/>
      <c r="H291" s="5"/>
    </row>
    <row r="292">
      <c r="E292" s="5"/>
      <c r="F292" s="5"/>
      <c r="G292" s="5"/>
      <c r="H292" s="5"/>
    </row>
    <row r="293">
      <c r="E293" s="5"/>
      <c r="F293" s="5"/>
      <c r="G293" s="5"/>
      <c r="H293" s="5"/>
    </row>
    <row r="294">
      <c r="E294" s="5"/>
      <c r="F294" s="5"/>
      <c r="G294" s="5"/>
      <c r="H294" s="5"/>
    </row>
    <row r="295">
      <c r="E295" s="5"/>
      <c r="F295" s="5"/>
      <c r="G295" s="5"/>
      <c r="H295" s="5"/>
    </row>
    <row r="296">
      <c r="E296" s="5"/>
      <c r="F296" s="5"/>
      <c r="G296" s="5"/>
      <c r="H296" s="5"/>
    </row>
    <row r="297">
      <c r="E297" s="5"/>
      <c r="F297" s="5"/>
      <c r="G297" s="5"/>
      <c r="H297" s="5"/>
    </row>
    <row r="298">
      <c r="E298" s="5"/>
      <c r="F298" s="5"/>
      <c r="G298" s="5"/>
      <c r="H298" s="5"/>
    </row>
    <row r="299">
      <c r="E299" s="5"/>
      <c r="F299" s="5"/>
      <c r="G299" s="5"/>
      <c r="H299" s="5"/>
    </row>
    <row r="300">
      <c r="E300" s="5"/>
      <c r="F300" s="5"/>
      <c r="G300" s="5"/>
      <c r="H300" s="5"/>
    </row>
    <row r="301">
      <c r="E301" s="5"/>
      <c r="F301" s="5"/>
      <c r="G301" s="5"/>
      <c r="H301" s="5"/>
    </row>
    <row r="302">
      <c r="E302" s="5"/>
      <c r="F302" s="5"/>
      <c r="G302" s="5"/>
      <c r="H302" s="5"/>
    </row>
    <row r="303">
      <c r="E303" s="5"/>
      <c r="F303" s="5"/>
      <c r="G303" s="5"/>
      <c r="H303" s="5"/>
    </row>
    <row r="304">
      <c r="E304" s="5"/>
      <c r="F304" s="5"/>
      <c r="G304" s="5"/>
      <c r="H304" s="5"/>
    </row>
    <row r="305">
      <c r="E305" s="5"/>
      <c r="F305" s="5"/>
      <c r="G305" s="5"/>
      <c r="H305" s="5"/>
    </row>
    <row r="306">
      <c r="E306" s="5"/>
      <c r="F306" s="5"/>
      <c r="G306" s="5"/>
      <c r="H306" s="5"/>
    </row>
    <row r="307">
      <c r="E307" s="5"/>
      <c r="F307" s="5"/>
      <c r="G307" s="5"/>
      <c r="H307" s="5"/>
    </row>
    <row r="308">
      <c r="E308" s="5"/>
      <c r="F308" s="5"/>
      <c r="G308" s="5"/>
      <c r="H308" s="5"/>
    </row>
    <row r="309">
      <c r="E309" s="5"/>
      <c r="F309" s="5"/>
      <c r="G309" s="5"/>
      <c r="H309" s="5"/>
    </row>
    <row r="310">
      <c r="E310" s="5"/>
      <c r="F310" s="5"/>
      <c r="G310" s="5"/>
      <c r="H310" s="5"/>
    </row>
    <row r="311">
      <c r="E311" s="5"/>
      <c r="F311" s="5"/>
      <c r="G311" s="5"/>
      <c r="H311" s="5"/>
    </row>
    <row r="312">
      <c r="E312" s="5"/>
      <c r="F312" s="5"/>
      <c r="G312" s="5"/>
      <c r="H312" s="5"/>
    </row>
    <row r="313">
      <c r="E313" s="5"/>
      <c r="F313" s="5"/>
      <c r="G313" s="5"/>
      <c r="H313" s="5"/>
    </row>
    <row r="314">
      <c r="E314" s="5"/>
      <c r="F314" s="5"/>
      <c r="G314" s="5"/>
      <c r="H314" s="5"/>
    </row>
    <row r="315">
      <c r="E315" s="5"/>
      <c r="F315" s="5"/>
      <c r="G315" s="5"/>
      <c r="H315" s="5"/>
    </row>
    <row r="316">
      <c r="E316" s="5"/>
      <c r="F316" s="5"/>
      <c r="G316" s="5"/>
      <c r="H316" s="5"/>
    </row>
    <row r="317">
      <c r="E317" s="5"/>
      <c r="F317" s="5"/>
      <c r="G317" s="5"/>
      <c r="H317" s="5"/>
    </row>
    <row r="318">
      <c r="E318" s="5"/>
      <c r="F318" s="5"/>
      <c r="G318" s="5"/>
      <c r="H318" s="5"/>
    </row>
    <row r="319">
      <c r="E319" s="5"/>
      <c r="F319" s="5"/>
      <c r="G319" s="5"/>
      <c r="H319" s="5"/>
    </row>
    <row r="320">
      <c r="E320" s="5"/>
      <c r="F320" s="5"/>
      <c r="G320" s="5"/>
      <c r="H320" s="5"/>
    </row>
    <row r="321">
      <c r="E321" s="5"/>
      <c r="F321" s="5"/>
      <c r="G321" s="5"/>
      <c r="H321" s="5"/>
    </row>
    <row r="322">
      <c r="E322" s="5"/>
      <c r="F322" s="5"/>
      <c r="G322" s="5"/>
      <c r="H322" s="5"/>
    </row>
    <row r="323">
      <c r="E323" s="5"/>
      <c r="F323" s="5"/>
      <c r="G323" s="5"/>
      <c r="H323" s="5"/>
    </row>
    <row r="324">
      <c r="E324" s="5"/>
      <c r="F324" s="5"/>
      <c r="G324" s="5"/>
      <c r="H324" s="5"/>
    </row>
    <row r="325">
      <c r="E325" s="5"/>
      <c r="F325" s="5"/>
      <c r="G325" s="5"/>
      <c r="H325" s="5"/>
    </row>
    <row r="326">
      <c r="E326" s="5"/>
      <c r="F326" s="5"/>
      <c r="G326" s="5"/>
      <c r="H326" s="5"/>
    </row>
    <row r="327">
      <c r="E327" s="5"/>
      <c r="F327" s="5"/>
      <c r="G327" s="5"/>
      <c r="H327" s="5"/>
    </row>
    <row r="328">
      <c r="E328" s="5"/>
      <c r="F328" s="5"/>
      <c r="G328" s="5"/>
      <c r="H328" s="5"/>
    </row>
    <row r="329">
      <c r="E329" s="5"/>
      <c r="F329" s="5"/>
      <c r="G329" s="5"/>
      <c r="H329" s="5"/>
    </row>
    <row r="330">
      <c r="E330" s="5"/>
      <c r="F330" s="5"/>
      <c r="G330" s="5"/>
      <c r="H330" s="5"/>
    </row>
    <row r="331">
      <c r="E331" s="5"/>
      <c r="F331" s="5"/>
      <c r="G331" s="5"/>
      <c r="H331" s="5"/>
    </row>
    <row r="332">
      <c r="E332" s="5"/>
      <c r="F332" s="5"/>
      <c r="G332" s="5"/>
      <c r="H332" s="5"/>
    </row>
    <row r="333">
      <c r="E333" s="5"/>
      <c r="F333" s="5"/>
      <c r="G333" s="5"/>
      <c r="H333" s="5"/>
    </row>
    <row r="334">
      <c r="E334" s="5"/>
      <c r="F334" s="5"/>
      <c r="G334" s="5"/>
      <c r="H334" s="5"/>
    </row>
    <row r="335">
      <c r="E335" s="5"/>
      <c r="F335" s="5"/>
      <c r="G335" s="5"/>
      <c r="H335" s="5"/>
    </row>
    <row r="336">
      <c r="E336" s="5"/>
      <c r="F336" s="5"/>
      <c r="G336" s="5"/>
      <c r="H336" s="5"/>
    </row>
    <row r="337">
      <c r="E337" s="5"/>
      <c r="F337" s="5"/>
      <c r="G337" s="5"/>
      <c r="H337" s="5"/>
    </row>
    <row r="338">
      <c r="E338" s="5"/>
      <c r="F338" s="5"/>
      <c r="G338" s="5"/>
      <c r="H338" s="5"/>
    </row>
    <row r="339">
      <c r="E339" s="5"/>
      <c r="F339" s="5"/>
      <c r="G339" s="5"/>
      <c r="H339" s="5"/>
    </row>
    <row r="340">
      <c r="E340" s="5"/>
      <c r="F340" s="5"/>
      <c r="G340" s="5"/>
      <c r="H340" s="5"/>
    </row>
    <row r="341">
      <c r="E341" s="5"/>
      <c r="F341" s="5"/>
      <c r="G341" s="5"/>
      <c r="H341" s="5"/>
    </row>
    <row r="342">
      <c r="E342" s="5"/>
      <c r="F342" s="5"/>
      <c r="G342" s="5"/>
      <c r="H342" s="5"/>
    </row>
    <row r="343">
      <c r="E343" s="5"/>
      <c r="F343" s="5"/>
      <c r="G343" s="5"/>
      <c r="H343" s="5"/>
    </row>
    <row r="344">
      <c r="E344" s="5"/>
      <c r="F344" s="5"/>
      <c r="G344" s="5"/>
      <c r="H344" s="5"/>
    </row>
    <row r="345">
      <c r="E345" s="5"/>
      <c r="F345" s="5"/>
      <c r="G345" s="5"/>
      <c r="H345" s="5"/>
    </row>
    <row r="346">
      <c r="E346" s="5"/>
      <c r="F346" s="5"/>
      <c r="G346" s="5"/>
      <c r="H346" s="5"/>
    </row>
    <row r="347">
      <c r="E347" s="5"/>
      <c r="F347" s="5"/>
      <c r="G347" s="5"/>
      <c r="H347" s="5"/>
    </row>
    <row r="348">
      <c r="E348" s="5"/>
      <c r="F348" s="5"/>
      <c r="G348" s="5"/>
      <c r="H348" s="5"/>
    </row>
    <row r="349">
      <c r="E349" s="5"/>
      <c r="F349" s="5"/>
      <c r="G349" s="5"/>
      <c r="H349" s="5"/>
    </row>
    <row r="350">
      <c r="E350" s="5"/>
      <c r="F350" s="5"/>
      <c r="G350" s="5"/>
      <c r="H350" s="5"/>
    </row>
    <row r="351">
      <c r="E351" s="5"/>
      <c r="F351" s="5"/>
      <c r="G351" s="5"/>
      <c r="H351" s="5"/>
    </row>
    <row r="352">
      <c r="E352" s="5"/>
      <c r="F352" s="5"/>
      <c r="G352" s="5"/>
      <c r="H352" s="5"/>
    </row>
    <row r="353">
      <c r="E353" s="5"/>
      <c r="F353" s="5"/>
      <c r="G353" s="5"/>
      <c r="H353" s="5"/>
    </row>
    <row r="354">
      <c r="E354" s="5"/>
      <c r="F354" s="5"/>
      <c r="G354" s="5"/>
      <c r="H354" s="5"/>
    </row>
    <row r="355">
      <c r="E355" s="5"/>
      <c r="F355" s="5"/>
      <c r="G355" s="5"/>
      <c r="H355" s="5"/>
    </row>
    <row r="356">
      <c r="E356" s="5"/>
      <c r="F356" s="5"/>
      <c r="G356" s="5"/>
      <c r="H356" s="5"/>
    </row>
    <row r="357">
      <c r="E357" s="5"/>
      <c r="F357" s="5"/>
      <c r="G357" s="5"/>
      <c r="H357" s="5"/>
    </row>
    <row r="358">
      <c r="E358" s="5"/>
      <c r="F358" s="5"/>
      <c r="G358" s="5"/>
      <c r="H358" s="5"/>
    </row>
    <row r="359">
      <c r="E359" s="5"/>
      <c r="F359" s="5"/>
      <c r="G359" s="5"/>
      <c r="H359" s="5"/>
    </row>
    <row r="360">
      <c r="E360" s="5"/>
      <c r="F360" s="5"/>
      <c r="G360" s="5"/>
      <c r="H360" s="5"/>
    </row>
    <row r="361">
      <c r="E361" s="5"/>
      <c r="F361" s="5"/>
      <c r="G361" s="5"/>
      <c r="H361" s="5"/>
    </row>
    <row r="362">
      <c r="E362" s="5"/>
      <c r="F362" s="5"/>
      <c r="G362" s="5"/>
      <c r="H362" s="5"/>
    </row>
    <row r="363">
      <c r="E363" s="5"/>
      <c r="F363" s="5"/>
      <c r="G363" s="5"/>
      <c r="H363" s="5"/>
    </row>
    <row r="364">
      <c r="E364" s="5"/>
      <c r="F364" s="5"/>
      <c r="G364" s="5"/>
      <c r="H364" s="5"/>
    </row>
    <row r="365">
      <c r="E365" s="5"/>
      <c r="F365" s="5"/>
      <c r="G365" s="5"/>
      <c r="H365" s="5"/>
    </row>
    <row r="366">
      <c r="E366" s="5"/>
      <c r="F366" s="5"/>
      <c r="G366" s="5"/>
      <c r="H366" s="5"/>
    </row>
    <row r="367">
      <c r="E367" s="5"/>
      <c r="F367" s="5"/>
      <c r="G367" s="5"/>
      <c r="H367" s="5"/>
    </row>
    <row r="368">
      <c r="E368" s="5"/>
      <c r="F368" s="5"/>
      <c r="G368" s="5"/>
      <c r="H368" s="5"/>
    </row>
    <row r="369">
      <c r="E369" s="5"/>
      <c r="F369" s="5"/>
      <c r="G369" s="5"/>
      <c r="H369" s="5"/>
    </row>
    <row r="370">
      <c r="E370" s="5"/>
      <c r="F370" s="5"/>
      <c r="G370" s="5"/>
      <c r="H370" s="5"/>
    </row>
    <row r="371">
      <c r="E371" s="5"/>
      <c r="F371" s="5"/>
      <c r="G371" s="5"/>
      <c r="H371" s="5"/>
    </row>
    <row r="372">
      <c r="E372" s="5"/>
      <c r="F372" s="5"/>
      <c r="G372" s="5"/>
      <c r="H372" s="5"/>
    </row>
    <row r="373">
      <c r="E373" s="5"/>
      <c r="F373" s="5"/>
      <c r="G373" s="5"/>
      <c r="H373" s="5"/>
    </row>
    <row r="374">
      <c r="E374" s="5"/>
      <c r="F374" s="5"/>
      <c r="G374" s="5"/>
      <c r="H374" s="5"/>
    </row>
    <row r="375">
      <c r="E375" s="5"/>
      <c r="F375" s="5"/>
      <c r="G375" s="5"/>
      <c r="H375" s="5"/>
    </row>
    <row r="376">
      <c r="E376" s="5"/>
      <c r="F376" s="5"/>
      <c r="G376" s="5"/>
      <c r="H376" s="5"/>
    </row>
    <row r="377">
      <c r="E377" s="5"/>
      <c r="F377" s="5"/>
      <c r="G377" s="5"/>
      <c r="H377" s="5"/>
    </row>
    <row r="378">
      <c r="E378" s="5"/>
      <c r="F378" s="5"/>
      <c r="G378" s="5"/>
      <c r="H378" s="5"/>
    </row>
    <row r="379">
      <c r="E379" s="5"/>
      <c r="F379" s="5"/>
      <c r="G379" s="5"/>
      <c r="H379" s="5"/>
    </row>
    <row r="380">
      <c r="E380" s="5"/>
      <c r="F380" s="5"/>
      <c r="G380" s="5"/>
      <c r="H380" s="5"/>
    </row>
    <row r="381">
      <c r="E381" s="5"/>
      <c r="F381" s="5"/>
      <c r="G381" s="5"/>
      <c r="H381" s="5"/>
    </row>
    <row r="382">
      <c r="E382" s="5"/>
      <c r="F382" s="5"/>
      <c r="G382" s="5"/>
      <c r="H382" s="5"/>
    </row>
    <row r="383">
      <c r="E383" s="5"/>
      <c r="F383" s="5"/>
      <c r="G383" s="5"/>
      <c r="H383" s="5"/>
    </row>
    <row r="384">
      <c r="E384" s="5"/>
      <c r="F384" s="5"/>
      <c r="G384" s="5"/>
      <c r="H384" s="5"/>
    </row>
    <row r="385">
      <c r="E385" s="5"/>
      <c r="F385" s="5"/>
      <c r="G385" s="5"/>
      <c r="H385" s="5"/>
    </row>
    <row r="386">
      <c r="E386" s="5"/>
      <c r="F386" s="5"/>
      <c r="G386" s="5"/>
      <c r="H386" s="5"/>
    </row>
    <row r="387">
      <c r="E387" s="5"/>
      <c r="F387" s="5"/>
      <c r="G387" s="5"/>
      <c r="H387" s="5"/>
    </row>
    <row r="388">
      <c r="E388" s="5"/>
      <c r="F388" s="5"/>
      <c r="G388" s="5"/>
      <c r="H388" s="5"/>
    </row>
    <row r="389">
      <c r="E389" s="5"/>
      <c r="F389" s="5"/>
      <c r="G389" s="5"/>
      <c r="H389" s="5"/>
    </row>
    <row r="390">
      <c r="E390" s="5"/>
      <c r="F390" s="5"/>
      <c r="G390" s="5"/>
      <c r="H390" s="5"/>
    </row>
    <row r="391">
      <c r="E391" s="5"/>
      <c r="F391" s="5"/>
      <c r="G391" s="5"/>
      <c r="H391" s="5"/>
    </row>
    <row r="392">
      <c r="E392" s="5"/>
      <c r="F392" s="5"/>
      <c r="G392" s="5"/>
      <c r="H392" s="5"/>
    </row>
    <row r="393">
      <c r="E393" s="5"/>
      <c r="F393" s="5"/>
      <c r="G393" s="5"/>
      <c r="H393" s="5"/>
    </row>
    <row r="394">
      <c r="E394" s="5"/>
      <c r="F394" s="5"/>
      <c r="G394" s="5"/>
      <c r="H394" s="5"/>
    </row>
    <row r="395">
      <c r="E395" s="5"/>
      <c r="F395" s="5"/>
      <c r="G395" s="5"/>
      <c r="H395" s="5"/>
    </row>
    <row r="396">
      <c r="E396" s="5"/>
      <c r="F396" s="5"/>
      <c r="G396" s="5"/>
      <c r="H396" s="5"/>
    </row>
    <row r="397">
      <c r="E397" s="5"/>
      <c r="F397" s="5"/>
      <c r="G397" s="5"/>
      <c r="H397" s="5"/>
    </row>
    <row r="398">
      <c r="E398" s="5"/>
      <c r="F398" s="5"/>
      <c r="G398" s="5"/>
      <c r="H398" s="5"/>
    </row>
    <row r="399">
      <c r="E399" s="5"/>
      <c r="F399" s="5"/>
      <c r="G399" s="5"/>
      <c r="H399" s="5"/>
    </row>
    <row r="400">
      <c r="E400" s="5"/>
      <c r="F400" s="5"/>
      <c r="G400" s="5"/>
      <c r="H400" s="5"/>
    </row>
    <row r="401">
      <c r="E401" s="5"/>
      <c r="F401" s="5"/>
      <c r="G401" s="5"/>
      <c r="H401" s="5"/>
    </row>
    <row r="402">
      <c r="E402" s="5"/>
      <c r="F402" s="5"/>
      <c r="G402" s="5"/>
      <c r="H402" s="5"/>
    </row>
    <row r="403">
      <c r="E403" s="5"/>
      <c r="F403" s="5"/>
      <c r="G403" s="5"/>
      <c r="H403" s="5"/>
    </row>
    <row r="404">
      <c r="E404" s="5"/>
      <c r="F404" s="5"/>
      <c r="G404" s="5"/>
      <c r="H404" s="5"/>
    </row>
    <row r="405">
      <c r="E405" s="5"/>
      <c r="F405" s="5"/>
      <c r="G405" s="5"/>
      <c r="H405" s="5"/>
    </row>
    <row r="406">
      <c r="E406" s="5"/>
      <c r="F406" s="5"/>
      <c r="G406" s="5"/>
      <c r="H406" s="5"/>
    </row>
    <row r="407">
      <c r="E407" s="5"/>
      <c r="F407" s="5"/>
      <c r="G407" s="5"/>
      <c r="H407" s="5"/>
    </row>
    <row r="408">
      <c r="E408" s="5"/>
      <c r="F408" s="5"/>
      <c r="G408" s="5"/>
      <c r="H408" s="5"/>
    </row>
    <row r="409">
      <c r="E409" s="5"/>
      <c r="F409" s="5"/>
      <c r="G409" s="5"/>
      <c r="H409" s="5"/>
    </row>
    <row r="410">
      <c r="E410" s="5"/>
      <c r="F410" s="5"/>
      <c r="G410" s="5"/>
      <c r="H410" s="5"/>
    </row>
    <row r="411">
      <c r="E411" s="5"/>
      <c r="F411" s="5"/>
      <c r="G411" s="5"/>
      <c r="H411" s="5"/>
    </row>
    <row r="412">
      <c r="E412" s="5"/>
      <c r="F412" s="5"/>
      <c r="G412" s="5"/>
      <c r="H412" s="5"/>
    </row>
    <row r="413">
      <c r="E413" s="5"/>
      <c r="F413" s="5"/>
      <c r="G413" s="5"/>
      <c r="H413" s="5"/>
    </row>
    <row r="414">
      <c r="E414" s="5"/>
      <c r="F414" s="5"/>
      <c r="G414" s="5"/>
      <c r="H414" s="5"/>
    </row>
    <row r="415">
      <c r="E415" s="5"/>
      <c r="F415" s="5"/>
      <c r="G415" s="5"/>
      <c r="H415" s="5"/>
    </row>
    <row r="416">
      <c r="E416" s="5"/>
      <c r="F416" s="5"/>
      <c r="G416" s="5"/>
      <c r="H416" s="5"/>
    </row>
    <row r="417">
      <c r="E417" s="5"/>
      <c r="F417" s="5"/>
      <c r="G417" s="5"/>
      <c r="H417" s="5"/>
    </row>
    <row r="418">
      <c r="E418" s="5"/>
      <c r="F418" s="5"/>
      <c r="G418" s="5"/>
      <c r="H418" s="5"/>
    </row>
    <row r="419">
      <c r="E419" s="5"/>
      <c r="F419" s="5"/>
      <c r="G419" s="5"/>
      <c r="H419" s="5"/>
    </row>
    <row r="420">
      <c r="E420" s="5"/>
      <c r="F420" s="5"/>
      <c r="G420" s="5"/>
      <c r="H420" s="5"/>
    </row>
    <row r="421">
      <c r="E421" s="5"/>
      <c r="F421" s="5"/>
      <c r="G421" s="5"/>
      <c r="H421" s="5"/>
    </row>
    <row r="422">
      <c r="E422" s="5"/>
      <c r="F422" s="5"/>
      <c r="G422" s="5"/>
      <c r="H422" s="5"/>
    </row>
    <row r="423">
      <c r="E423" s="5"/>
      <c r="F423" s="5"/>
      <c r="G423" s="5"/>
      <c r="H423" s="5"/>
    </row>
    <row r="424">
      <c r="E424" s="5"/>
      <c r="F424" s="5"/>
      <c r="G424" s="5"/>
      <c r="H424" s="5"/>
    </row>
    <row r="425">
      <c r="E425" s="5"/>
      <c r="F425" s="5"/>
      <c r="G425" s="5"/>
      <c r="H425" s="5"/>
    </row>
    <row r="426">
      <c r="E426" s="5"/>
      <c r="F426" s="5"/>
      <c r="G426" s="5"/>
      <c r="H426" s="5"/>
    </row>
    <row r="427">
      <c r="E427" s="5"/>
      <c r="F427" s="5"/>
      <c r="G427" s="5"/>
      <c r="H427" s="5"/>
    </row>
    <row r="428">
      <c r="E428" s="5"/>
      <c r="F428" s="5"/>
      <c r="G428" s="5"/>
      <c r="H428" s="5"/>
    </row>
    <row r="429">
      <c r="E429" s="5"/>
      <c r="F429" s="5"/>
      <c r="G429" s="5"/>
      <c r="H429" s="5"/>
    </row>
    <row r="430">
      <c r="E430" s="5"/>
      <c r="F430" s="5"/>
      <c r="G430" s="5"/>
      <c r="H430" s="5"/>
    </row>
    <row r="431">
      <c r="E431" s="5"/>
      <c r="F431" s="5"/>
      <c r="G431" s="5"/>
      <c r="H431" s="5"/>
    </row>
    <row r="432">
      <c r="E432" s="5"/>
      <c r="F432" s="5"/>
      <c r="G432" s="5"/>
      <c r="H432" s="5"/>
    </row>
    <row r="433">
      <c r="E433" s="5"/>
      <c r="F433" s="5"/>
      <c r="G433" s="5"/>
      <c r="H433" s="5"/>
    </row>
    <row r="434">
      <c r="E434" s="5"/>
      <c r="F434" s="5"/>
      <c r="G434" s="5"/>
      <c r="H434" s="5"/>
    </row>
    <row r="435">
      <c r="E435" s="5"/>
      <c r="F435" s="5"/>
      <c r="G435" s="5"/>
      <c r="H435" s="5"/>
    </row>
    <row r="436">
      <c r="E436" s="5"/>
      <c r="F436" s="5"/>
      <c r="G436" s="5"/>
      <c r="H436" s="5"/>
    </row>
    <row r="437">
      <c r="E437" s="5"/>
      <c r="F437" s="5"/>
      <c r="G437" s="5"/>
      <c r="H437" s="5"/>
    </row>
    <row r="438">
      <c r="E438" s="5"/>
      <c r="F438" s="5"/>
      <c r="G438" s="5"/>
      <c r="H438" s="5"/>
    </row>
    <row r="439">
      <c r="E439" s="5"/>
      <c r="F439" s="5"/>
      <c r="G439" s="5"/>
      <c r="H439" s="5"/>
    </row>
    <row r="440">
      <c r="E440" s="5"/>
      <c r="F440" s="5"/>
      <c r="G440" s="5"/>
      <c r="H440" s="5"/>
    </row>
    <row r="441">
      <c r="E441" s="5"/>
      <c r="F441" s="5"/>
      <c r="G441" s="5"/>
      <c r="H441" s="5"/>
    </row>
    <row r="442">
      <c r="E442" s="5"/>
      <c r="F442" s="5"/>
      <c r="G442" s="5"/>
      <c r="H442" s="5"/>
    </row>
    <row r="443">
      <c r="E443" s="5"/>
      <c r="F443" s="5"/>
      <c r="G443" s="5"/>
      <c r="H443" s="5"/>
    </row>
    <row r="444">
      <c r="E444" s="5"/>
      <c r="F444" s="5"/>
      <c r="G444" s="5"/>
      <c r="H444" s="5"/>
    </row>
    <row r="445">
      <c r="E445" s="5"/>
      <c r="F445" s="5"/>
      <c r="G445" s="5"/>
      <c r="H445" s="5"/>
    </row>
    <row r="446">
      <c r="E446" s="5"/>
      <c r="F446" s="5"/>
      <c r="G446" s="5"/>
      <c r="H446" s="5"/>
    </row>
    <row r="447">
      <c r="E447" s="5"/>
      <c r="F447" s="5"/>
      <c r="G447" s="5"/>
      <c r="H447" s="5"/>
    </row>
    <row r="448">
      <c r="E448" s="5"/>
      <c r="F448" s="5"/>
      <c r="G448" s="5"/>
      <c r="H448" s="5"/>
    </row>
    <row r="449">
      <c r="E449" s="5"/>
      <c r="F449" s="5"/>
      <c r="G449" s="5"/>
      <c r="H449" s="5"/>
    </row>
    <row r="450">
      <c r="E450" s="5"/>
      <c r="F450" s="5"/>
      <c r="G450" s="5"/>
      <c r="H450" s="5"/>
    </row>
    <row r="451">
      <c r="E451" s="5"/>
      <c r="F451" s="5"/>
      <c r="G451" s="5"/>
      <c r="H451" s="5"/>
    </row>
    <row r="452">
      <c r="E452" s="5"/>
      <c r="F452" s="5"/>
      <c r="G452" s="5"/>
      <c r="H452" s="5"/>
    </row>
    <row r="453">
      <c r="E453" s="5"/>
      <c r="F453" s="5"/>
      <c r="G453" s="5"/>
      <c r="H453" s="5"/>
    </row>
    <row r="454">
      <c r="E454" s="5"/>
      <c r="F454" s="5"/>
      <c r="G454" s="5"/>
      <c r="H454" s="5"/>
    </row>
    <row r="455">
      <c r="E455" s="5"/>
      <c r="F455" s="5"/>
      <c r="G455" s="5"/>
      <c r="H455" s="5"/>
    </row>
    <row r="456">
      <c r="E456" s="5"/>
      <c r="F456" s="5"/>
      <c r="G456" s="5"/>
      <c r="H456" s="5"/>
    </row>
    <row r="457">
      <c r="E457" s="5"/>
      <c r="F457" s="5"/>
      <c r="G457" s="5"/>
      <c r="H457" s="5"/>
    </row>
    <row r="458">
      <c r="E458" s="5"/>
      <c r="F458" s="5"/>
      <c r="G458" s="5"/>
      <c r="H458" s="5"/>
    </row>
    <row r="459">
      <c r="E459" s="5"/>
      <c r="F459" s="5"/>
      <c r="G459" s="5"/>
      <c r="H459" s="5"/>
    </row>
    <row r="460">
      <c r="E460" s="5"/>
      <c r="F460" s="5"/>
      <c r="G460" s="5"/>
      <c r="H460" s="5"/>
    </row>
    <row r="461">
      <c r="E461" s="5"/>
      <c r="F461" s="5"/>
      <c r="G461" s="5"/>
      <c r="H461" s="5"/>
    </row>
    <row r="462">
      <c r="E462" s="5"/>
      <c r="F462" s="5"/>
      <c r="G462" s="5"/>
      <c r="H462" s="5"/>
    </row>
    <row r="463">
      <c r="E463" s="5"/>
      <c r="F463" s="5"/>
      <c r="G463" s="5"/>
      <c r="H463" s="5"/>
    </row>
    <row r="464">
      <c r="E464" s="5"/>
      <c r="F464" s="5"/>
      <c r="G464" s="5"/>
      <c r="H464" s="5"/>
    </row>
    <row r="465">
      <c r="E465" s="5"/>
      <c r="F465" s="5"/>
      <c r="G465" s="5"/>
      <c r="H465" s="5"/>
    </row>
    <row r="466">
      <c r="E466" s="5"/>
      <c r="F466" s="5"/>
      <c r="G466" s="5"/>
      <c r="H466" s="5"/>
    </row>
    <row r="467">
      <c r="E467" s="5"/>
      <c r="F467" s="5"/>
      <c r="G467" s="5"/>
      <c r="H467" s="5"/>
    </row>
    <row r="468">
      <c r="E468" s="5"/>
      <c r="F468" s="5"/>
      <c r="G468" s="5"/>
      <c r="H468" s="5"/>
    </row>
    <row r="469">
      <c r="E469" s="5"/>
      <c r="F469" s="5"/>
      <c r="G469" s="5"/>
      <c r="H469" s="5"/>
    </row>
    <row r="470">
      <c r="E470" s="5"/>
      <c r="F470" s="5"/>
      <c r="G470" s="5"/>
      <c r="H470" s="5"/>
    </row>
    <row r="471">
      <c r="E471" s="5"/>
      <c r="F471" s="5"/>
      <c r="G471" s="5"/>
      <c r="H471" s="5"/>
    </row>
    <row r="472">
      <c r="E472" s="5"/>
      <c r="F472" s="5"/>
      <c r="G472" s="5"/>
      <c r="H472" s="5"/>
    </row>
    <row r="473">
      <c r="E473" s="5"/>
      <c r="F473" s="5"/>
      <c r="G473" s="5"/>
      <c r="H473" s="5"/>
    </row>
    <row r="474">
      <c r="E474" s="5"/>
      <c r="F474" s="5"/>
      <c r="G474" s="5"/>
      <c r="H474" s="5"/>
    </row>
    <row r="475">
      <c r="E475" s="5"/>
      <c r="F475" s="5"/>
      <c r="G475" s="5"/>
      <c r="H475" s="5"/>
    </row>
    <row r="476">
      <c r="E476" s="5"/>
      <c r="F476" s="5"/>
      <c r="G476" s="5"/>
      <c r="H476" s="5"/>
    </row>
    <row r="477">
      <c r="E477" s="5"/>
      <c r="F477" s="5"/>
      <c r="G477" s="5"/>
      <c r="H477" s="5"/>
    </row>
    <row r="478">
      <c r="E478" s="5"/>
      <c r="F478" s="5"/>
      <c r="G478" s="5"/>
      <c r="H478" s="5"/>
    </row>
    <row r="479">
      <c r="E479" s="5"/>
      <c r="F479" s="5"/>
      <c r="G479" s="5"/>
      <c r="H479" s="5"/>
    </row>
    <row r="480">
      <c r="E480" s="5"/>
      <c r="F480" s="5"/>
      <c r="G480" s="5"/>
      <c r="H480" s="5"/>
    </row>
    <row r="481">
      <c r="E481" s="5"/>
      <c r="F481" s="5"/>
      <c r="G481" s="5"/>
      <c r="H481" s="5"/>
    </row>
    <row r="482">
      <c r="E482" s="5"/>
      <c r="F482" s="5"/>
      <c r="G482" s="5"/>
      <c r="H482" s="5"/>
    </row>
    <row r="483">
      <c r="E483" s="5"/>
      <c r="F483" s="5"/>
      <c r="G483" s="5"/>
      <c r="H483" s="5"/>
    </row>
    <row r="484">
      <c r="E484" s="5"/>
      <c r="F484" s="5"/>
      <c r="G484" s="5"/>
      <c r="H484" s="5"/>
    </row>
    <row r="485">
      <c r="E485" s="5"/>
      <c r="F485" s="5"/>
      <c r="G485" s="5"/>
      <c r="H485" s="5"/>
    </row>
    <row r="486">
      <c r="E486" s="5"/>
      <c r="F486" s="5"/>
      <c r="G486" s="5"/>
      <c r="H486" s="5"/>
    </row>
    <row r="487">
      <c r="E487" s="5"/>
      <c r="F487" s="5"/>
      <c r="G487" s="5"/>
      <c r="H487" s="5"/>
    </row>
    <row r="488">
      <c r="E488" s="5"/>
      <c r="F488" s="5"/>
      <c r="G488" s="5"/>
      <c r="H488" s="5"/>
    </row>
    <row r="489">
      <c r="E489" s="5"/>
      <c r="F489" s="5"/>
      <c r="G489" s="5"/>
      <c r="H489" s="5"/>
    </row>
    <row r="490">
      <c r="E490" s="5"/>
      <c r="F490" s="5"/>
      <c r="G490" s="5"/>
      <c r="H490" s="5"/>
    </row>
    <row r="491">
      <c r="E491" s="5"/>
      <c r="F491" s="5"/>
      <c r="G491" s="5"/>
      <c r="H491" s="5"/>
    </row>
    <row r="492">
      <c r="E492" s="5"/>
      <c r="F492" s="5"/>
      <c r="G492" s="5"/>
      <c r="H492" s="5"/>
    </row>
    <row r="493">
      <c r="E493" s="5"/>
      <c r="F493" s="5"/>
      <c r="G493" s="5"/>
      <c r="H493" s="5"/>
    </row>
    <row r="494">
      <c r="E494" s="5"/>
      <c r="F494" s="5"/>
      <c r="G494" s="5"/>
      <c r="H494" s="5"/>
    </row>
    <row r="495">
      <c r="E495" s="5"/>
      <c r="F495" s="5"/>
      <c r="G495" s="5"/>
      <c r="H495" s="5"/>
    </row>
    <row r="496">
      <c r="E496" s="5"/>
      <c r="F496" s="5"/>
      <c r="G496" s="5"/>
      <c r="H496" s="5"/>
    </row>
    <row r="497">
      <c r="E497" s="5"/>
      <c r="F497" s="5"/>
      <c r="G497" s="5"/>
      <c r="H497" s="5"/>
    </row>
    <row r="498">
      <c r="E498" s="5"/>
      <c r="F498" s="5"/>
      <c r="G498" s="5"/>
      <c r="H498" s="5"/>
    </row>
    <row r="499">
      <c r="E499" s="5"/>
      <c r="F499" s="5"/>
      <c r="G499" s="5"/>
      <c r="H499" s="5"/>
    </row>
    <row r="500">
      <c r="E500" s="5"/>
      <c r="F500" s="5"/>
      <c r="G500" s="5"/>
      <c r="H500" s="5"/>
    </row>
    <row r="501">
      <c r="E501" s="5"/>
      <c r="F501" s="5"/>
      <c r="G501" s="5"/>
      <c r="H501" s="5"/>
    </row>
    <row r="502">
      <c r="E502" s="5"/>
      <c r="F502" s="5"/>
      <c r="G502" s="5"/>
      <c r="H502" s="5"/>
    </row>
    <row r="503">
      <c r="E503" s="5"/>
      <c r="F503" s="5"/>
      <c r="G503" s="5"/>
      <c r="H503" s="5"/>
    </row>
    <row r="504">
      <c r="E504" s="5"/>
      <c r="F504" s="5"/>
      <c r="G504" s="5"/>
      <c r="H504" s="5"/>
    </row>
    <row r="505">
      <c r="E505" s="5"/>
      <c r="F505" s="5"/>
      <c r="G505" s="5"/>
      <c r="H505" s="5"/>
    </row>
    <row r="506">
      <c r="E506" s="5"/>
      <c r="F506" s="5"/>
      <c r="G506" s="5"/>
      <c r="H506" s="5"/>
    </row>
    <row r="507">
      <c r="E507" s="5"/>
      <c r="F507" s="5"/>
      <c r="G507" s="5"/>
      <c r="H507" s="5"/>
    </row>
    <row r="508">
      <c r="E508" s="5"/>
      <c r="F508" s="5"/>
      <c r="G508" s="5"/>
      <c r="H508" s="5"/>
    </row>
    <row r="509">
      <c r="E509" s="5"/>
      <c r="F509" s="5"/>
      <c r="G509" s="5"/>
      <c r="H509" s="5"/>
    </row>
    <row r="510">
      <c r="E510" s="5"/>
      <c r="F510" s="5"/>
      <c r="G510" s="5"/>
      <c r="H510" s="5"/>
    </row>
    <row r="511">
      <c r="E511" s="5"/>
      <c r="F511" s="5"/>
      <c r="G511" s="5"/>
      <c r="H511" s="5"/>
    </row>
    <row r="512">
      <c r="E512" s="5"/>
      <c r="F512" s="5"/>
      <c r="G512" s="5"/>
      <c r="H512" s="5"/>
    </row>
    <row r="513">
      <c r="E513" s="5"/>
      <c r="F513" s="5"/>
      <c r="G513" s="5"/>
      <c r="H513" s="5"/>
    </row>
    <row r="514">
      <c r="E514" s="5"/>
      <c r="F514" s="5"/>
      <c r="G514" s="5"/>
      <c r="H514" s="5"/>
    </row>
    <row r="515">
      <c r="E515" s="5"/>
      <c r="F515" s="5"/>
      <c r="G515" s="5"/>
      <c r="H515" s="5"/>
    </row>
    <row r="516">
      <c r="E516" s="5"/>
      <c r="F516" s="5"/>
      <c r="G516" s="5"/>
      <c r="H516" s="5"/>
    </row>
    <row r="517">
      <c r="E517" s="5"/>
      <c r="F517" s="5"/>
      <c r="G517" s="5"/>
      <c r="H517" s="5"/>
    </row>
    <row r="518">
      <c r="E518" s="5"/>
      <c r="F518" s="5"/>
      <c r="G518" s="5"/>
      <c r="H518" s="5"/>
    </row>
    <row r="519">
      <c r="E519" s="5"/>
      <c r="F519" s="5"/>
      <c r="G519" s="5"/>
      <c r="H519" s="5"/>
    </row>
    <row r="520">
      <c r="E520" s="5"/>
      <c r="F520" s="5"/>
      <c r="G520" s="5"/>
      <c r="H520" s="5"/>
    </row>
    <row r="521">
      <c r="E521" s="5"/>
      <c r="F521" s="5"/>
      <c r="G521" s="5"/>
      <c r="H521" s="5"/>
    </row>
    <row r="522">
      <c r="E522" s="5"/>
      <c r="F522" s="5"/>
      <c r="G522" s="5"/>
      <c r="H522" s="5"/>
    </row>
    <row r="523">
      <c r="E523" s="5"/>
      <c r="F523" s="5"/>
      <c r="G523" s="5"/>
      <c r="H523" s="5"/>
    </row>
    <row r="524">
      <c r="E524" s="5"/>
      <c r="F524" s="5"/>
      <c r="G524" s="5"/>
      <c r="H524" s="5"/>
    </row>
    <row r="525">
      <c r="E525" s="5"/>
      <c r="F525" s="5"/>
      <c r="G525" s="5"/>
      <c r="H525" s="5"/>
    </row>
    <row r="526">
      <c r="E526" s="5"/>
      <c r="F526" s="5"/>
      <c r="G526" s="5"/>
      <c r="H526" s="5"/>
    </row>
    <row r="527">
      <c r="E527" s="5"/>
      <c r="F527" s="5"/>
      <c r="G527" s="5"/>
      <c r="H527" s="5"/>
    </row>
    <row r="528">
      <c r="E528" s="5"/>
      <c r="F528" s="5"/>
      <c r="G528" s="5"/>
      <c r="H528" s="5"/>
    </row>
    <row r="529">
      <c r="E529" s="5"/>
      <c r="F529" s="5"/>
      <c r="G529" s="5"/>
      <c r="H529" s="5"/>
    </row>
    <row r="530">
      <c r="E530" s="5"/>
      <c r="F530" s="5"/>
      <c r="G530" s="5"/>
      <c r="H530" s="5"/>
    </row>
    <row r="531">
      <c r="E531" s="5"/>
      <c r="F531" s="5"/>
      <c r="G531" s="5"/>
      <c r="H531" s="5"/>
    </row>
    <row r="532">
      <c r="E532" s="5"/>
      <c r="F532" s="5"/>
      <c r="G532" s="5"/>
      <c r="H532" s="5"/>
    </row>
    <row r="533">
      <c r="E533" s="5"/>
      <c r="F533" s="5"/>
      <c r="G533" s="5"/>
      <c r="H533" s="5"/>
    </row>
    <row r="534">
      <c r="E534" s="5"/>
      <c r="F534" s="5"/>
      <c r="G534" s="5"/>
      <c r="H534" s="5"/>
    </row>
    <row r="535">
      <c r="E535" s="5"/>
      <c r="F535" s="5"/>
      <c r="G535" s="5"/>
      <c r="H535" s="5"/>
    </row>
    <row r="536">
      <c r="E536" s="5"/>
      <c r="F536" s="5"/>
      <c r="G536" s="5"/>
      <c r="H536" s="5"/>
    </row>
    <row r="537">
      <c r="E537" s="5"/>
      <c r="F537" s="5"/>
      <c r="G537" s="5"/>
      <c r="H537" s="5"/>
    </row>
    <row r="538">
      <c r="E538" s="5"/>
      <c r="F538" s="5"/>
      <c r="G538" s="5"/>
      <c r="H538" s="5"/>
    </row>
    <row r="539">
      <c r="E539" s="5"/>
      <c r="F539" s="5"/>
      <c r="G539" s="5"/>
      <c r="H539" s="5"/>
    </row>
    <row r="540">
      <c r="E540" s="5"/>
      <c r="F540" s="5"/>
      <c r="G540" s="5"/>
      <c r="H540" s="5"/>
    </row>
    <row r="541">
      <c r="E541" s="5"/>
      <c r="F541" s="5"/>
      <c r="G541" s="5"/>
      <c r="H541" s="5"/>
    </row>
    <row r="542">
      <c r="E542" s="5"/>
      <c r="F542" s="5"/>
      <c r="G542" s="5"/>
      <c r="H542" s="5"/>
    </row>
    <row r="543">
      <c r="E543" s="5"/>
      <c r="F543" s="5"/>
      <c r="G543" s="5"/>
      <c r="H543" s="5"/>
    </row>
    <row r="544">
      <c r="E544" s="5"/>
      <c r="F544" s="5"/>
      <c r="G544" s="5"/>
      <c r="H544" s="5"/>
    </row>
    <row r="545">
      <c r="E545" s="5"/>
      <c r="F545" s="5"/>
      <c r="G545" s="5"/>
      <c r="H545" s="5"/>
    </row>
    <row r="546">
      <c r="E546" s="5"/>
      <c r="F546" s="5"/>
      <c r="G546" s="5"/>
      <c r="H546" s="5"/>
    </row>
    <row r="547">
      <c r="E547" s="5"/>
      <c r="F547" s="5"/>
      <c r="G547" s="5"/>
      <c r="H547" s="5"/>
    </row>
    <row r="548">
      <c r="E548" s="5"/>
      <c r="F548" s="5"/>
      <c r="G548" s="5"/>
      <c r="H548" s="5"/>
    </row>
    <row r="549">
      <c r="E549" s="5"/>
      <c r="F549" s="5"/>
      <c r="G549" s="5"/>
      <c r="H549" s="5"/>
    </row>
    <row r="550">
      <c r="E550" s="5"/>
      <c r="F550" s="5"/>
      <c r="G550" s="5"/>
      <c r="H550" s="5"/>
    </row>
    <row r="551">
      <c r="E551" s="5"/>
      <c r="F551" s="5"/>
      <c r="G551" s="5"/>
      <c r="H551" s="5"/>
    </row>
    <row r="552">
      <c r="E552" s="5"/>
      <c r="F552" s="5"/>
      <c r="G552" s="5"/>
      <c r="H552" s="5"/>
    </row>
    <row r="553">
      <c r="E553" s="5"/>
      <c r="F553" s="5"/>
      <c r="G553" s="5"/>
      <c r="H553" s="5"/>
    </row>
    <row r="554">
      <c r="E554" s="5"/>
      <c r="F554" s="5"/>
      <c r="G554" s="5"/>
      <c r="H554" s="5"/>
    </row>
    <row r="555">
      <c r="E555" s="5"/>
      <c r="F555" s="5"/>
      <c r="G555" s="5"/>
      <c r="H555" s="5"/>
    </row>
    <row r="556">
      <c r="E556" s="5"/>
      <c r="F556" s="5"/>
      <c r="G556" s="5"/>
      <c r="H556" s="5"/>
    </row>
    <row r="557">
      <c r="E557" s="5"/>
      <c r="F557" s="5"/>
      <c r="G557" s="5"/>
      <c r="H557" s="5"/>
    </row>
    <row r="558">
      <c r="E558" s="5"/>
      <c r="F558" s="5"/>
      <c r="G558" s="5"/>
      <c r="H558" s="5"/>
    </row>
    <row r="559">
      <c r="E559" s="5"/>
      <c r="F559" s="5"/>
      <c r="G559" s="5"/>
      <c r="H559" s="5"/>
    </row>
    <row r="560">
      <c r="E560" s="5"/>
      <c r="F560" s="5"/>
      <c r="G560" s="5"/>
      <c r="H560" s="5"/>
    </row>
    <row r="561">
      <c r="E561" s="5"/>
      <c r="F561" s="5"/>
      <c r="G561" s="5"/>
      <c r="H561" s="5"/>
    </row>
    <row r="562">
      <c r="E562" s="5"/>
      <c r="F562" s="5"/>
      <c r="G562" s="5"/>
      <c r="H562" s="5"/>
    </row>
    <row r="563">
      <c r="E563" s="5"/>
      <c r="F563" s="5"/>
      <c r="G563" s="5"/>
      <c r="H563" s="5"/>
    </row>
    <row r="564">
      <c r="E564" s="5"/>
      <c r="F564" s="5"/>
      <c r="G564" s="5"/>
      <c r="H564" s="5"/>
    </row>
    <row r="565">
      <c r="E565" s="5"/>
      <c r="F565" s="5"/>
      <c r="G565" s="5"/>
      <c r="H565" s="5"/>
    </row>
    <row r="566">
      <c r="E566" s="5"/>
      <c r="F566" s="5"/>
      <c r="G566" s="5"/>
      <c r="H566" s="5"/>
    </row>
    <row r="567">
      <c r="E567" s="5"/>
      <c r="F567" s="5"/>
      <c r="G567" s="5"/>
      <c r="H567" s="5"/>
    </row>
    <row r="568">
      <c r="E568" s="5"/>
      <c r="F568" s="5"/>
      <c r="G568" s="5"/>
      <c r="H568" s="5"/>
    </row>
    <row r="569">
      <c r="E569" s="5"/>
      <c r="F569" s="5"/>
      <c r="G569" s="5"/>
      <c r="H569" s="5"/>
    </row>
    <row r="570">
      <c r="E570" s="5"/>
      <c r="F570" s="5"/>
      <c r="G570" s="5"/>
      <c r="H570" s="5"/>
    </row>
    <row r="571">
      <c r="E571" s="5"/>
      <c r="F571" s="5"/>
      <c r="G571" s="5"/>
      <c r="H571" s="5"/>
    </row>
    <row r="572">
      <c r="E572" s="5"/>
      <c r="F572" s="5"/>
      <c r="G572" s="5"/>
      <c r="H572" s="5"/>
    </row>
    <row r="573">
      <c r="E573" s="5"/>
      <c r="F573" s="5"/>
      <c r="G573" s="5"/>
      <c r="H573" s="5"/>
    </row>
    <row r="574">
      <c r="E574" s="5"/>
      <c r="F574" s="5"/>
      <c r="G574" s="5"/>
      <c r="H574" s="5"/>
    </row>
    <row r="575">
      <c r="E575" s="5"/>
      <c r="F575" s="5"/>
      <c r="G575" s="5"/>
      <c r="H575" s="5"/>
    </row>
    <row r="576">
      <c r="E576" s="5"/>
      <c r="F576" s="5"/>
      <c r="G576" s="5"/>
      <c r="H576" s="5"/>
    </row>
    <row r="577">
      <c r="E577" s="5"/>
      <c r="F577" s="5"/>
      <c r="G577" s="5"/>
      <c r="H577" s="5"/>
    </row>
    <row r="578">
      <c r="E578" s="5"/>
      <c r="F578" s="5"/>
      <c r="G578" s="5"/>
      <c r="H578" s="5"/>
    </row>
    <row r="579">
      <c r="E579" s="5"/>
      <c r="F579" s="5"/>
      <c r="G579" s="5"/>
      <c r="H579" s="5"/>
    </row>
    <row r="580">
      <c r="E580" s="5"/>
      <c r="F580" s="5"/>
      <c r="G580" s="5"/>
      <c r="H580" s="5"/>
    </row>
    <row r="581">
      <c r="E581" s="5"/>
      <c r="F581" s="5"/>
      <c r="G581" s="5"/>
      <c r="H581" s="5"/>
    </row>
    <row r="582">
      <c r="E582" s="5"/>
      <c r="F582" s="5"/>
      <c r="G582" s="5"/>
      <c r="H582" s="5"/>
    </row>
    <row r="583">
      <c r="E583" s="5"/>
      <c r="F583" s="5"/>
      <c r="G583" s="5"/>
      <c r="H583" s="5"/>
    </row>
    <row r="584">
      <c r="E584" s="5"/>
      <c r="F584" s="5"/>
      <c r="G584" s="5"/>
      <c r="H584" s="5"/>
    </row>
    <row r="585">
      <c r="E585" s="5"/>
      <c r="F585" s="5"/>
      <c r="G585" s="5"/>
      <c r="H585" s="5"/>
    </row>
    <row r="586">
      <c r="E586" s="5"/>
      <c r="F586" s="5"/>
      <c r="G586" s="5"/>
      <c r="H586" s="5"/>
    </row>
    <row r="587">
      <c r="E587" s="5"/>
      <c r="F587" s="5"/>
      <c r="G587" s="5"/>
      <c r="H587" s="5"/>
    </row>
    <row r="588">
      <c r="E588" s="5"/>
      <c r="F588" s="5"/>
      <c r="G588" s="5"/>
      <c r="H588" s="5"/>
    </row>
    <row r="589">
      <c r="E589" s="5"/>
      <c r="F589" s="5"/>
      <c r="G589" s="5"/>
      <c r="H589" s="5"/>
    </row>
    <row r="590">
      <c r="E590" s="5"/>
      <c r="F590" s="5"/>
      <c r="G590" s="5"/>
      <c r="H590" s="5"/>
    </row>
    <row r="591">
      <c r="E591" s="5"/>
      <c r="F591" s="5"/>
      <c r="G591" s="5"/>
      <c r="H591" s="5"/>
    </row>
    <row r="592">
      <c r="E592" s="5"/>
      <c r="F592" s="5"/>
      <c r="G592" s="5"/>
      <c r="H592" s="5"/>
    </row>
    <row r="593">
      <c r="E593" s="5"/>
      <c r="F593" s="5"/>
      <c r="G593" s="5"/>
      <c r="H593" s="5"/>
    </row>
    <row r="594">
      <c r="E594" s="5"/>
      <c r="F594" s="5"/>
      <c r="G594" s="5"/>
      <c r="H594" s="5"/>
    </row>
    <row r="595">
      <c r="E595" s="5"/>
      <c r="F595" s="5"/>
      <c r="G595" s="5"/>
      <c r="H595" s="5"/>
    </row>
    <row r="596">
      <c r="E596" s="5"/>
      <c r="F596" s="5"/>
      <c r="G596" s="5"/>
      <c r="H596" s="5"/>
    </row>
    <row r="597">
      <c r="E597" s="5"/>
      <c r="F597" s="5"/>
      <c r="G597" s="5"/>
      <c r="H597" s="5"/>
    </row>
    <row r="598">
      <c r="E598" s="5"/>
      <c r="F598" s="5"/>
      <c r="G598" s="5"/>
      <c r="H598" s="5"/>
    </row>
    <row r="599">
      <c r="E599" s="5"/>
      <c r="F599" s="5"/>
      <c r="G599" s="5"/>
      <c r="H599" s="5"/>
    </row>
    <row r="600">
      <c r="E600" s="5"/>
      <c r="F600" s="5"/>
      <c r="G600" s="5"/>
      <c r="H600" s="5"/>
    </row>
    <row r="601">
      <c r="E601" s="5"/>
      <c r="F601" s="5"/>
      <c r="G601" s="5"/>
      <c r="H601" s="5"/>
    </row>
    <row r="602">
      <c r="E602" s="5"/>
      <c r="F602" s="5"/>
      <c r="G602" s="5"/>
      <c r="H602" s="5"/>
    </row>
    <row r="603">
      <c r="E603" s="5"/>
      <c r="F603" s="5"/>
      <c r="G603" s="5"/>
      <c r="H603" s="5"/>
    </row>
    <row r="604">
      <c r="E604" s="5"/>
      <c r="F604" s="5"/>
      <c r="G604" s="5"/>
      <c r="H604" s="5"/>
    </row>
    <row r="605">
      <c r="E605" s="5"/>
      <c r="F605" s="5"/>
      <c r="G605" s="5"/>
      <c r="H605" s="5"/>
    </row>
    <row r="606">
      <c r="E606" s="5"/>
      <c r="F606" s="5"/>
      <c r="G606" s="5"/>
      <c r="H606" s="5"/>
    </row>
    <row r="607">
      <c r="E607" s="5"/>
      <c r="F607" s="5"/>
      <c r="G607" s="5"/>
      <c r="H607" s="5"/>
    </row>
    <row r="608">
      <c r="E608" s="5"/>
      <c r="F608" s="5"/>
      <c r="G608" s="5"/>
      <c r="H608" s="5"/>
    </row>
    <row r="609">
      <c r="E609" s="5"/>
      <c r="F609" s="5"/>
      <c r="G609" s="5"/>
      <c r="H609" s="5"/>
    </row>
    <row r="610">
      <c r="E610" s="5"/>
      <c r="F610" s="5"/>
      <c r="G610" s="5"/>
      <c r="H610" s="5"/>
    </row>
    <row r="611">
      <c r="E611" s="5"/>
      <c r="F611" s="5"/>
      <c r="G611" s="5"/>
      <c r="H611" s="5"/>
    </row>
    <row r="612">
      <c r="E612" s="5"/>
      <c r="F612" s="5"/>
      <c r="G612" s="5"/>
      <c r="H612" s="5"/>
    </row>
    <row r="613">
      <c r="E613" s="5"/>
      <c r="F613" s="5"/>
      <c r="G613" s="5"/>
      <c r="H613" s="5"/>
    </row>
    <row r="614">
      <c r="E614" s="5"/>
      <c r="F614" s="5"/>
      <c r="G614" s="5"/>
      <c r="H614" s="5"/>
    </row>
    <row r="615">
      <c r="E615" s="5"/>
      <c r="F615" s="5"/>
      <c r="G615" s="5"/>
      <c r="H615" s="5"/>
    </row>
    <row r="616">
      <c r="E616" s="5"/>
      <c r="F616" s="5"/>
      <c r="G616" s="5"/>
      <c r="H616" s="5"/>
    </row>
    <row r="617">
      <c r="E617" s="5"/>
      <c r="F617" s="5"/>
      <c r="G617" s="5"/>
      <c r="H617" s="5"/>
    </row>
    <row r="618">
      <c r="E618" s="5"/>
      <c r="F618" s="5"/>
      <c r="G618" s="5"/>
      <c r="H618" s="5"/>
    </row>
    <row r="619">
      <c r="E619" s="5"/>
      <c r="F619" s="5"/>
      <c r="G619" s="5"/>
      <c r="H619" s="5"/>
    </row>
    <row r="620">
      <c r="E620" s="5"/>
      <c r="F620" s="5"/>
      <c r="G620" s="5"/>
      <c r="H620" s="5"/>
    </row>
    <row r="621">
      <c r="E621" s="5"/>
      <c r="F621" s="5"/>
      <c r="G621" s="5"/>
      <c r="H621" s="5"/>
    </row>
    <row r="622">
      <c r="E622" s="5"/>
      <c r="F622" s="5"/>
      <c r="G622" s="5"/>
      <c r="H622" s="5"/>
    </row>
    <row r="623">
      <c r="E623" s="5"/>
      <c r="F623" s="5"/>
      <c r="G623" s="5"/>
      <c r="H623" s="5"/>
    </row>
    <row r="624">
      <c r="E624" s="5"/>
      <c r="F624" s="5"/>
      <c r="G624" s="5"/>
      <c r="H624" s="5"/>
    </row>
    <row r="625">
      <c r="E625" s="5"/>
      <c r="F625" s="5"/>
      <c r="G625" s="5"/>
      <c r="H625" s="5"/>
    </row>
    <row r="626">
      <c r="E626" s="5"/>
      <c r="F626" s="5"/>
      <c r="G626" s="5"/>
      <c r="H626" s="5"/>
    </row>
    <row r="627">
      <c r="E627" s="5"/>
      <c r="F627" s="5"/>
      <c r="G627" s="5"/>
      <c r="H627" s="5"/>
    </row>
    <row r="628">
      <c r="E628" s="5"/>
      <c r="F628" s="5"/>
      <c r="G628" s="5"/>
      <c r="H628" s="5"/>
    </row>
    <row r="629">
      <c r="E629" s="5"/>
      <c r="F629" s="5"/>
      <c r="G629" s="5"/>
      <c r="H629" s="5"/>
    </row>
    <row r="630">
      <c r="E630" s="5"/>
      <c r="F630" s="5"/>
      <c r="G630" s="5"/>
      <c r="H630" s="5"/>
    </row>
    <row r="631">
      <c r="E631" s="5"/>
      <c r="F631" s="5"/>
      <c r="G631" s="5"/>
      <c r="H631" s="5"/>
    </row>
    <row r="632">
      <c r="E632" s="5"/>
      <c r="F632" s="5"/>
      <c r="G632" s="5"/>
      <c r="H632" s="5"/>
    </row>
    <row r="633">
      <c r="E633" s="5"/>
      <c r="F633" s="5"/>
      <c r="G633" s="5"/>
      <c r="H633" s="5"/>
    </row>
    <row r="634">
      <c r="E634" s="5"/>
      <c r="F634" s="5"/>
      <c r="G634" s="5"/>
      <c r="H634" s="5"/>
    </row>
    <row r="635">
      <c r="E635" s="5"/>
      <c r="F635" s="5"/>
      <c r="G635" s="5"/>
      <c r="H635" s="5"/>
    </row>
    <row r="636">
      <c r="E636" s="5"/>
      <c r="F636" s="5"/>
      <c r="G636" s="5"/>
      <c r="H636" s="5"/>
    </row>
    <row r="637">
      <c r="E637" s="5"/>
      <c r="F637" s="5"/>
      <c r="G637" s="5"/>
      <c r="H637" s="5"/>
    </row>
    <row r="638">
      <c r="E638" s="5"/>
      <c r="F638" s="5"/>
      <c r="G638" s="5"/>
      <c r="H638" s="5"/>
    </row>
    <row r="639">
      <c r="E639" s="5"/>
      <c r="F639" s="5"/>
      <c r="G639" s="5"/>
      <c r="H639" s="5"/>
    </row>
    <row r="640">
      <c r="E640" s="5"/>
      <c r="F640" s="5"/>
      <c r="G640" s="5"/>
      <c r="H640" s="5"/>
    </row>
    <row r="641">
      <c r="E641" s="5"/>
      <c r="F641" s="5"/>
      <c r="G641" s="5"/>
      <c r="H641" s="5"/>
    </row>
    <row r="642">
      <c r="E642" s="5"/>
      <c r="F642" s="5"/>
      <c r="G642" s="5"/>
      <c r="H642" s="5"/>
    </row>
    <row r="643">
      <c r="E643" s="5"/>
      <c r="F643" s="5"/>
      <c r="G643" s="5"/>
      <c r="H643" s="5"/>
    </row>
    <row r="644">
      <c r="E644" s="5"/>
      <c r="F644" s="5"/>
      <c r="G644" s="5"/>
      <c r="H644" s="5"/>
    </row>
    <row r="645">
      <c r="E645" s="5"/>
      <c r="F645" s="5"/>
      <c r="G645" s="5"/>
      <c r="H645" s="5"/>
    </row>
    <row r="646">
      <c r="E646" s="5"/>
      <c r="F646" s="5"/>
      <c r="G646" s="5"/>
      <c r="H646" s="5"/>
    </row>
    <row r="647">
      <c r="E647" s="5"/>
      <c r="F647" s="5"/>
      <c r="G647" s="5"/>
      <c r="H647" s="5"/>
    </row>
    <row r="648">
      <c r="E648" s="5"/>
      <c r="F648" s="5"/>
      <c r="G648" s="5"/>
      <c r="H648" s="5"/>
    </row>
    <row r="649">
      <c r="E649" s="5"/>
      <c r="F649" s="5"/>
      <c r="G649" s="5"/>
      <c r="H649" s="5"/>
    </row>
    <row r="650">
      <c r="E650" s="5"/>
      <c r="F650" s="5"/>
      <c r="G650" s="5"/>
      <c r="H650" s="5"/>
    </row>
    <row r="651">
      <c r="E651" s="5"/>
      <c r="F651" s="5"/>
      <c r="G651" s="5"/>
      <c r="H651" s="5"/>
    </row>
    <row r="652">
      <c r="E652" s="5"/>
      <c r="F652" s="5"/>
      <c r="G652" s="5"/>
      <c r="H652" s="5"/>
    </row>
    <row r="653">
      <c r="E653" s="5"/>
      <c r="F653" s="5"/>
      <c r="G653" s="5"/>
      <c r="H653" s="5"/>
    </row>
    <row r="654">
      <c r="E654" s="5"/>
      <c r="F654" s="5"/>
      <c r="G654" s="5"/>
      <c r="H654" s="5"/>
    </row>
    <row r="655">
      <c r="E655" s="5"/>
      <c r="F655" s="5"/>
      <c r="G655" s="5"/>
      <c r="H655" s="5"/>
    </row>
    <row r="656">
      <c r="E656" s="5"/>
      <c r="F656" s="5"/>
      <c r="G656" s="5"/>
      <c r="H656" s="5"/>
    </row>
    <row r="657">
      <c r="E657" s="5"/>
      <c r="F657" s="5"/>
      <c r="G657" s="5"/>
      <c r="H657" s="5"/>
    </row>
    <row r="658">
      <c r="E658" s="5"/>
      <c r="F658" s="5"/>
      <c r="G658" s="5"/>
      <c r="H658" s="5"/>
    </row>
    <row r="659">
      <c r="E659" s="5"/>
      <c r="F659" s="5"/>
      <c r="G659" s="5"/>
      <c r="H659" s="5"/>
    </row>
    <row r="660">
      <c r="E660" s="5"/>
      <c r="F660" s="5"/>
      <c r="G660" s="5"/>
      <c r="H660" s="5"/>
    </row>
    <row r="661">
      <c r="E661" s="5"/>
      <c r="F661" s="5"/>
      <c r="G661" s="5"/>
      <c r="H661" s="5"/>
    </row>
    <row r="662">
      <c r="E662" s="5"/>
      <c r="F662" s="5"/>
      <c r="G662" s="5"/>
      <c r="H662" s="5"/>
    </row>
    <row r="663">
      <c r="E663" s="5"/>
      <c r="F663" s="5"/>
      <c r="G663" s="5"/>
      <c r="H663" s="5"/>
    </row>
    <row r="664">
      <c r="E664" s="5"/>
      <c r="F664" s="5"/>
      <c r="G664" s="5"/>
      <c r="H664" s="5"/>
    </row>
    <row r="665">
      <c r="E665" s="5"/>
      <c r="F665" s="5"/>
      <c r="G665" s="5"/>
      <c r="H665" s="5"/>
    </row>
    <row r="666">
      <c r="E666" s="5"/>
      <c r="F666" s="5"/>
      <c r="G666" s="5"/>
      <c r="H666" s="5"/>
    </row>
    <row r="667">
      <c r="E667" s="5"/>
      <c r="F667" s="5"/>
      <c r="G667" s="5"/>
      <c r="H667" s="5"/>
    </row>
    <row r="668">
      <c r="E668" s="5"/>
      <c r="F668" s="5"/>
      <c r="G668" s="5"/>
      <c r="H668" s="5"/>
    </row>
    <row r="669">
      <c r="E669" s="5"/>
      <c r="F669" s="5"/>
      <c r="G669" s="5"/>
      <c r="H669" s="5"/>
    </row>
    <row r="670">
      <c r="E670" s="5"/>
      <c r="F670" s="5"/>
      <c r="G670" s="5"/>
      <c r="H670" s="5"/>
    </row>
    <row r="671">
      <c r="E671" s="5"/>
      <c r="F671" s="5"/>
      <c r="G671" s="5"/>
      <c r="H671" s="5"/>
    </row>
    <row r="672">
      <c r="E672" s="5"/>
      <c r="F672" s="5"/>
      <c r="G672" s="5"/>
      <c r="H672" s="5"/>
    </row>
    <row r="673">
      <c r="E673" s="5"/>
      <c r="F673" s="5"/>
      <c r="G673" s="5"/>
      <c r="H673" s="5"/>
    </row>
    <row r="674">
      <c r="E674" s="5"/>
      <c r="F674" s="5"/>
      <c r="G674" s="5"/>
      <c r="H674" s="5"/>
    </row>
    <row r="675">
      <c r="E675" s="5"/>
      <c r="F675" s="5"/>
      <c r="G675" s="5"/>
      <c r="H675" s="5"/>
    </row>
    <row r="676">
      <c r="E676" s="5"/>
      <c r="F676" s="5"/>
      <c r="G676" s="5"/>
      <c r="H676" s="5"/>
    </row>
    <row r="677">
      <c r="E677" s="5"/>
      <c r="F677" s="5"/>
      <c r="G677" s="5"/>
      <c r="H677" s="5"/>
    </row>
    <row r="678">
      <c r="E678" s="5"/>
      <c r="F678" s="5"/>
      <c r="G678" s="5"/>
      <c r="H678" s="5"/>
    </row>
    <row r="679">
      <c r="E679" s="5"/>
      <c r="F679" s="5"/>
      <c r="G679" s="5"/>
      <c r="H679" s="5"/>
    </row>
    <row r="680">
      <c r="E680" s="5"/>
      <c r="F680" s="5"/>
      <c r="G680" s="5"/>
      <c r="H680" s="5"/>
    </row>
    <row r="681">
      <c r="E681" s="5"/>
      <c r="F681" s="5"/>
      <c r="G681" s="5"/>
      <c r="H681" s="5"/>
    </row>
    <row r="682">
      <c r="E682" s="5"/>
      <c r="F682" s="5"/>
      <c r="G682" s="5"/>
      <c r="H682" s="5"/>
    </row>
    <row r="683">
      <c r="E683" s="5"/>
      <c r="F683" s="5"/>
      <c r="G683" s="5"/>
      <c r="H683" s="5"/>
    </row>
    <row r="684">
      <c r="E684" s="5"/>
      <c r="F684" s="5"/>
      <c r="G684" s="5"/>
      <c r="H684" s="5"/>
    </row>
    <row r="685">
      <c r="E685" s="5"/>
      <c r="F685" s="5"/>
      <c r="G685" s="5"/>
      <c r="H685" s="5"/>
    </row>
    <row r="686">
      <c r="E686" s="5"/>
      <c r="F686" s="5"/>
      <c r="G686" s="5"/>
      <c r="H686" s="5"/>
    </row>
    <row r="687">
      <c r="E687" s="5"/>
      <c r="F687" s="5"/>
      <c r="G687" s="5"/>
      <c r="H687" s="5"/>
    </row>
    <row r="688">
      <c r="E688" s="5"/>
      <c r="F688" s="5"/>
      <c r="G688" s="5"/>
      <c r="H688" s="5"/>
    </row>
    <row r="689">
      <c r="E689" s="5"/>
      <c r="F689" s="5"/>
      <c r="G689" s="5"/>
      <c r="H689" s="5"/>
    </row>
    <row r="690">
      <c r="E690" s="5"/>
      <c r="F690" s="5"/>
      <c r="G690" s="5"/>
      <c r="H690" s="5"/>
    </row>
    <row r="691">
      <c r="E691" s="5"/>
      <c r="F691" s="5"/>
      <c r="G691" s="5"/>
      <c r="H691" s="5"/>
    </row>
    <row r="692">
      <c r="E692" s="5"/>
      <c r="F692" s="5"/>
      <c r="G692" s="5"/>
      <c r="H692" s="5"/>
    </row>
    <row r="693">
      <c r="E693" s="5"/>
      <c r="F693" s="5"/>
      <c r="G693" s="5"/>
      <c r="H693" s="5"/>
    </row>
    <row r="694">
      <c r="E694" s="5"/>
      <c r="F694" s="5"/>
      <c r="G694" s="5"/>
      <c r="H694" s="5"/>
    </row>
    <row r="695">
      <c r="E695" s="5"/>
      <c r="F695" s="5"/>
      <c r="G695" s="5"/>
      <c r="H695" s="5"/>
    </row>
    <row r="696">
      <c r="E696" s="5"/>
      <c r="F696" s="5"/>
      <c r="G696" s="5"/>
      <c r="H696" s="5"/>
    </row>
    <row r="697">
      <c r="E697" s="5"/>
      <c r="F697" s="5"/>
      <c r="G697" s="5"/>
      <c r="H697" s="5"/>
    </row>
    <row r="698">
      <c r="E698" s="5"/>
      <c r="F698" s="5"/>
      <c r="G698" s="5"/>
      <c r="H698" s="5"/>
    </row>
    <row r="699">
      <c r="E699" s="5"/>
      <c r="F699" s="5"/>
      <c r="G699" s="5"/>
      <c r="H699" s="5"/>
    </row>
    <row r="700">
      <c r="E700" s="5"/>
      <c r="F700" s="5"/>
      <c r="G700" s="5"/>
      <c r="H700" s="5"/>
    </row>
    <row r="701">
      <c r="E701" s="5"/>
      <c r="F701" s="5"/>
      <c r="G701" s="5"/>
      <c r="H701" s="5"/>
    </row>
    <row r="702">
      <c r="E702" s="5"/>
      <c r="F702" s="5"/>
      <c r="G702" s="5"/>
      <c r="H702" s="5"/>
    </row>
    <row r="703">
      <c r="E703" s="5"/>
      <c r="F703" s="5"/>
      <c r="G703" s="5"/>
      <c r="H703" s="5"/>
    </row>
    <row r="704">
      <c r="E704" s="5"/>
      <c r="F704" s="5"/>
      <c r="G704" s="5"/>
      <c r="H704" s="5"/>
    </row>
    <row r="705">
      <c r="E705" s="5"/>
      <c r="F705" s="5"/>
      <c r="G705" s="5"/>
      <c r="H705" s="5"/>
    </row>
    <row r="706">
      <c r="E706" s="5"/>
      <c r="F706" s="5"/>
      <c r="G706" s="5"/>
      <c r="H706" s="5"/>
    </row>
    <row r="707">
      <c r="E707" s="5"/>
      <c r="F707" s="5"/>
      <c r="G707" s="5"/>
      <c r="H707" s="5"/>
    </row>
    <row r="708">
      <c r="E708" s="5"/>
      <c r="F708" s="5"/>
      <c r="G708" s="5"/>
      <c r="H708" s="5"/>
    </row>
    <row r="709">
      <c r="E709" s="5"/>
      <c r="F709" s="5"/>
      <c r="G709" s="5"/>
      <c r="H709" s="5"/>
    </row>
    <row r="710">
      <c r="E710" s="5"/>
      <c r="F710" s="5"/>
      <c r="G710" s="5"/>
      <c r="H710" s="5"/>
    </row>
    <row r="711">
      <c r="E711" s="5"/>
      <c r="F711" s="5"/>
      <c r="G711" s="5"/>
      <c r="H711" s="5"/>
    </row>
    <row r="712">
      <c r="E712" s="5"/>
      <c r="F712" s="5"/>
      <c r="G712" s="5"/>
      <c r="H712" s="5"/>
    </row>
    <row r="713">
      <c r="E713" s="5"/>
      <c r="F713" s="5"/>
      <c r="G713" s="5"/>
      <c r="H713" s="5"/>
    </row>
    <row r="714">
      <c r="E714" s="5"/>
      <c r="F714" s="5"/>
      <c r="G714" s="5"/>
      <c r="H714" s="5"/>
    </row>
    <row r="715">
      <c r="E715" s="5"/>
      <c r="F715" s="5"/>
      <c r="G715" s="5"/>
      <c r="H715" s="5"/>
    </row>
    <row r="716">
      <c r="E716" s="5"/>
      <c r="F716" s="5"/>
      <c r="G716" s="5"/>
      <c r="H716" s="5"/>
    </row>
    <row r="717">
      <c r="E717" s="5"/>
      <c r="F717" s="5"/>
      <c r="G717" s="5"/>
      <c r="H717" s="5"/>
    </row>
    <row r="718">
      <c r="E718" s="5"/>
      <c r="F718" s="5"/>
      <c r="G718" s="5"/>
      <c r="H718" s="5"/>
    </row>
    <row r="719">
      <c r="E719" s="5"/>
      <c r="F719" s="5"/>
      <c r="G719" s="5"/>
      <c r="H719" s="5"/>
    </row>
    <row r="720">
      <c r="E720" s="5"/>
      <c r="F720" s="5"/>
      <c r="G720" s="5"/>
      <c r="H720" s="5"/>
    </row>
    <row r="721">
      <c r="E721" s="5"/>
      <c r="F721" s="5"/>
      <c r="G721" s="5"/>
      <c r="H721" s="5"/>
    </row>
    <row r="722">
      <c r="E722" s="5"/>
      <c r="F722" s="5"/>
      <c r="G722" s="5"/>
      <c r="H722" s="5"/>
    </row>
    <row r="723">
      <c r="E723" s="5"/>
      <c r="F723" s="5"/>
      <c r="G723" s="5"/>
      <c r="H723" s="5"/>
    </row>
    <row r="724">
      <c r="E724" s="5"/>
      <c r="F724" s="5"/>
      <c r="G724" s="5"/>
      <c r="H724" s="5"/>
    </row>
    <row r="725">
      <c r="E725" s="5"/>
      <c r="F725" s="5"/>
      <c r="G725" s="5"/>
      <c r="H725" s="5"/>
    </row>
    <row r="726">
      <c r="E726" s="5"/>
      <c r="F726" s="5"/>
      <c r="G726" s="5"/>
      <c r="H726" s="5"/>
    </row>
    <row r="727">
      <c r="E727" s="5"/>
      <c r="F727" s="5"/>
      <c r="G727" s="5"/>
      <c r="H727" s="5"/>
    </row>
    <row r="728">
      <c r="E728" s="5"/>
      <c r="F728" s="5"/>
      <c r="G728" s="5"/>
      <c r="H728" s="5"/>
    </row>
    <row r="729">
      <c r="E729" s="5"/>
      <c r="F729" s="5"/>
      <c r="G729" s="5"/>
      <c r="H729" s="5"/>
    </row>
    <row r="730">
      <c r="E730" s="5"/>
      <c r="F730" s="5"/>
      <c r="G730" s="5"/>
      <c r="H730" s="5"/>
    </row>
    <row r="731">
      <c r="E731" s="5"/>
      <c r="F731" s="5"/>
      <c r="G731" s="5"/>
      <c r="H731" s="5"/>
    </row>
    <row r="732">
      <c r="E732" s="5"/>
      <c r="F732" s="5"/>
      <c r="G732" s="5"/>
      <c r="H732" s="5"/>
    </row>
    <row r="733">
      <c r="E733" s="5"/>
      <c r="F733" s="5"/>
      <c r="G733" s="5"/>
      <c r="H733" s="5"/>
    </row>
    <row r="734">
      <c r="E734" s="5"/>
      <c r="F734" s="5"/>
      <c r="G734" s="5"/>
      <c r="H734" s="5"/>
    </row>
    <row r="735">
      <c r="E735" s="5"/>
      <c r="F735" s="5"/>
      <c r="G735" s="5"/>
      <c r="H735" s="5"/>
    </row>
    <row r="736">
      <c r="E736" s="5"/>
      <c r="F736" s="5"/>
      <c r="G736" s="5"/>
      <c r="H736" s="5"/>
    </row>
    <row r="737">
      <c r="E737" s="5"/>
      <c r="F737" s="5"/>
      <c r="G737" s="5"/>
      <c r="H737" s="5"/>
    </row>
    <row r="738">
      <c r="E738" s="5"/>
      <c r="F738" s="5"/>
      <c r="G738" s="5"/>
      <c r="H738" s="5"/>
    </row>
    <row r="739">
      <c r="E739" s="5"/>
      <c r="F739" s="5"/>
      <c r="G739" s="5"/>
      <c r="H739" s="5"/>
    </row>
    <row r="740">
      <c r="E740" s="5"/>
      <c r="F740" s="5"/>
      <c r="G740" s="5"/>
      <c r="H740" s="5"/>
    </row>
    <row r="741">
      <c r="E741" s="5"/>
      <c r="F741" s="5"/>
      <c r="G741" s="5"/>
      <c r="H741" s="5"/>
    </row>
    <row r="742">
      <c r="E742" s="5"/>
      <c r="F742" s="5"/>
      <c r="G742" s="5"/>
      <c r="H742" s="5"/>
    </row>
    <row r="743">
      <c r="E743" s="5"/>
      <c r="F743" s="5"/>
      <c r="G743" s="5"/>
      <c r="H743" s="5"/>
    </row>
    <row r="744">
      <c r="E744" s="5"/>
      <c r="F744" s="5"/>
      <c r="G744" s="5"/>
      <c r="H744" s="5"/>
    </row>
    <row r="745">
      <c r="E745" s="5"/>
      <c r="F745" s="5"/>
      <c r="G745" s="5"/>
      <c r="H745" s="5"/>
    </row>
    <row r="746">
      <c r="E746" s="5"/>
      <c r="F746" s="5"/>
      <c r="G746" s="5"/>
      <c r="H746" s="5"/>
    </row>
    <row r="747">
      <c r="E747" s="5"/>
      <c r="F747" s="5"/>
      <c r="G747" s="5"/>
      <c r="H747" s="5"/>
    </row>
    <row r="748">
      <c r="E748" s="5"/>
      <c r="F748" s="5"/>
      <c r="G748" s="5"/>
      <c r="H748" s="5"/>
    </row>
    <row r="749">
      <c r="E749" s="5"/>
      <c r="F749" s="5"/>
      <c r="G749" s="5"/>
      <c r="H749" s="5"/>
    </row>
    <row r="750">
      <c r="E750" s="5"/>
      <c r="F750" s="5"/>
      <c r="G750" s="5"/>
      <c r="H750" s="5"/>
    </row>
    <row r="751">
      <c r="E751" s="5"/>
      <c r="F751" s="5"/>
      <c r="G751" s="5"/>
      <c r="H751" s="5"/>
    </row>
    <row r="752">
      <c r="E752" s="5"/>
      <c r="F752" s="5"/>
      <c r="G752" s="5"/>
      <c r="H752" s="5"/>
    </row>
    <row r="753">
      <c r="E753" s="5"/>
      <c r="F753" s="5"/>
      <c r="G753" s="5"/>
      <c r="H753" s="5"/>
    </row>
    <row r="754">
      <c r="E754" s="5"/>
      <c r="F754" s="5"/>
      <c r="G754" s="5"/>
      <c r="H754" s="5"/>
    </row>
    <row r="755">
      <c r="E755" s="5"/>
      <c r="F755" s="5"/>
      <c r="G755" s="5"/>
      <c r="H755" s="5"/>
    </row>
    <row r="756">
      <c r="E756" s="5"/>
      <c r="F756" s="5"/>
      <c r="G756" s="5"/>
      <c r="H756" s="5"/>
    </row>
    <row r="757">
      <c r="E757" s="5"/>
      <c r="F757" s="5"/>
      <c r="G757" s="5"/>
      <c r="H757" s="5"/>
    </row>
    <row r="758">
      <c r="E758" s="5"/>
      <c r="F758" s="5"/>
      <c r="G758" s="5"/>
      <c r="H758" s="5"/>
    </row>
    <row r="759">
      <c r="E759" s="5"/>
      <c r="F759" s="5"/>
      <c r="G759" s="5"/>
      <c r="H759" s="5"/>
    </row>
    <row r="760">
      <c r="E760" s="5"/>
      <c r="F760" s="5"/>
      <c r="G760" s="5"/>
      <c r="H760" s="5"/>
    </row>
    <row r="761">
      <c r="E761" s="5"/>
      <c r="F761" s="5"/>
      <c r="G761" s="5"/>
      <c r="H761" s="5"/>
    </row>
    <row r="762">
      <c r="E762" s="5"/>
      <c r="F762" s="5"/>
      <c r="G762" s="5"/>
      <c r="H762" s="5"/>
    </row>
    <row r="763">
      <c r="E763" s="5"/>
      <c r="F763" s="5"/>
      <c r="G763" s="5"/>
      <c r="H763" s="5"/>
    </row>
    <row r="764">
      <c r="E764" s="5"/>
      <c r="F764" s="5"/>
      <c r="G764" s="5"/>
      <c r="H764" s="5"/>
    </row>
    <row r="765">
      <c r="E765" s="5"/>
      <c r="F765" s="5"/>
      <c r="G765" s="5"/>
      <c r="H765" s="5"/>
    </row>
    <row r="766">
      <c r="E766" s="5"/>
      <c r="F766" s="5"/>
      <c r="G766" s="5"/>
      <c r="H766" s="5"/>
    </row>
    <row r="767">
      <c r="E767" s="5"/>
      <c r="F767" s="5"/>
      <c r="G767" s="5"/>
      <c r="H767" s="5"/>
    </row>
    <row r="768">
      <c r="E768" s="5"/>
      <c r="F768" s="5"/>
      <c r="G768" s="5"/>
      <c r="H768" s="5"/>
    </row>
    <row r="769">
      <c r="E769" s="5"/>
      <c r="F769" s="5"/>
      <c r="G769" s="5"/>
      <c r="H769" s="5"/>
    </row>
    <row r="770">
      <c r="E770" s="5"/>
      <c r="F770" s="5"/>
      <c r="G770" s="5"/>
      <c r="H770" s="5"/>
    </row>
    <row r="771">
      <c r="E771" s="5"/>
      <c r="F771" s="5"/>
      <c r="G771" s="5"/>
      <c r="H771" s="5"/>
    </row>
    <row r="772">
      <c r="E772" s="5"/>
      <c r="F772" s="5"/>
      <c r="G772" s="5"/>
      <c r="H772" s="5"/>
    </row>
    <row r="773">
      <c r="E773" s="5"/>
      <c r="F773" s="5"/>
      <c r="G773" s="5"/>
      <c r="H773" s="5"/>
    </row>
    <row r="774">
      <c r="E774" s="5"/>
      <c r="F774" s="5"/>
      <c r="G774" s="5"/>
      <c r="H774" s="5"/>
    </row>
    <row r="775">
      <c r="E775" s="5"/>
      <c r="F775" s="5"/>
      <c r="G775" s="5"/>
      <c r="H775" s="5"/>
    </row>
    <row r="776">
      <c r="E776" s="5"/>
      <c r="F776" s="5"/>
      <c r="G776" s="5"/>
      <c r="H776" s="5"/>
    </row>
    <row r="777">
      <c r="E777" s="5"/>
      <c r="F777" s="5"/>
      <c r="G777" s="5"/>
      <c r="H777" s="5"/>
    </row>
    <row r="778">
      <c r="E778" s="5"/>
      <c r="F778" s="5"/>
      <c r="G778" s="5"/>
      <c r="H778" s="5"/>
    </row>
    <row r="779">
      <c r="E779" s="5"/>
      <c r="F779" s="5"/>
      <c r="G779" s="5"/>
      <c r="H779" s="5"/>
    </row>
    <row r="780">
      <c r="E780" s="5"/>
      <c r="F780" s="5"/>
      <c r="G780" s="5"/>
      <c r="H780" s="5"/>
    </row>
    <row r="781">
      <c r="E781" s="5"/>
      <c r="F781" s="5"/>
      <c r="G781" s="5"/>
      <c r="H781" s="5"/>
    </row>
    <row r="782">
      <c r="E782" s="5"/>
      <c r="F782" s="5"/>
      <c r="G782" s="5"/>
      <c r="H782" s="5"/>
    </row>
    <row r="783">
      <c r="E783" s="5"/>
      <c r="F783" s="5"/>
      <c r="G783" s="5"/>
      <c r="H783" s="5"/>
    </row>
    <row r="784">
      <c r="E784" s="5"/>
      <c r="F784" s="5"/>
      <c r="G784" s="5"/>
      <c r="H784" s="5"/>
    </row>
    <row r="785">
      <c r="E785" s="5"/>
      <c r="F785" s="5"/>
      <c r="G785" s="5"/>
      <c r="H785" s="5"/>
    </row>
    <row r="786">
      <c r="E786" s="5"/>
      <c r="F786" s="5"/>
      <c r="G786" s="5"/>
      <c r="H786" s="5"/>
    </row>
    <row r="787">
      <c r="E787" s="5"/>
      <c r="F787" s="5"/>
      <c r="G787" s="5"/>
      <c r="H787" s="5"/>
    </row>
    <row r="788">
      <c r="E788" s="5"/>
      <c r="F788" s="5"/>
      <c r="G788" s="5"/>
      <c r="H788" s="5"/>
    </row>
    <row r="789">
      <c r="E789" s="5"/>
      <c r="F789" s="5"/>
      <c r="G789" s="5"/>
      <c r="H789" s="5"/>
    </row>
    <row r="790">
      <c r="E790" s="5"/>
      <c r="F790" s="5"/>
      <c r="G790" s="5"/>
      <c r="H790" s="5"/>
    </row>
    <row r="791">
      <c r="E791" s="5"/>
      <c r="F791" s="5"/>
      <c r="G791" s="5"/>
      <c r="H791" s="5"/>
    </row>
    <row r="792">
      <c r="E792" s="5"/>
      <c r="F792" s="5"/>
      <c r="G792" s="5"/>
      <c r="H792" s="5"/>
    </row>
    <row r="793">
      <c r="E793" s="5"/>
      <c r="F793" s="5"/>
      <c r="G793" s="5"/>
      <c r="H793" s="5"/>
    </row>
    <row r="794">
      <c r="E794" s="5"/>
      <c r="F794" s="5"/>
      <c r="G794" s="5"/>
      <c r="H794" s="5"/>
    </row>
    <row r="795">
      <c r="E795" s="5"/>
      <c r="F795" s="5"/>
      <c r="G795" s="5"/>
      <c r="H795" s="5"/>
    </row>
    <row r="796">
      <c r="E796" s="5"/>
      <c r="F796" s="5"/>
      <c r="G796" s="5"/>
      <c r="H796" s="5"/>
    </row>
    <row r="797">
      <c r="E797" s="5"/>
      <c r="F797" s="5"/>
      <c r="G797" s="5"/>
      <c r="H797" s="5"/>
    </row>
    <row r="798">
      <c r="E798" s="5"/>
      <c r="F798" s="5"/>
      <c r="G798" s="5"/>
      <c r="H798" s="5"/>
    </row>
    <row r="799">
      <c r="E799" s="5"/>
      <c r="F799" s="5"/>
      <c r="G799" s="5"/>
      <c r="H799" s="5"/>
    </row>
    <row r="800">
      <c r="E800" s="5"/>
      <c r="F800" s="5"/>
      <c r="G800" s="5"/>
      <c r="H800" s="5"/>
    </row>
    <row r="801">
      <c r="E801" s="5"/>
      <c r="F801" s="5"/>
      <c r="G801" s="5"/>
      <c r="H801" s="5"/>
    </row>
    <row r="802">
      <c r="E802" s="5"/>
      <c r="F802" s="5"/>
      <c r="G802" s="5"/>
      <c r="H802" s="5"/>
    </row>
    <row r="803">
      <c r="E803" s="5"/>
      <c r="F803" s="5"/>
      <c r="G803" s="5"/>
      <c r="H803" s="5"/>
    </row>
    <row r="804">
      <c r="E804" s="5"/>
      <c r="F804" s="5"/>
      <c r="G804" s="5"/>
      <c r="H804" s="5"/>
    </row>
    <row r="805">
      <c r="E805" s="5"/>
      <c r="F805" s="5"/>
      <c r="G805" s="5"/>
      <c r="H805" s="5"/>
    </row>
    <row r="806">
      <c r="E806" s="5"/>
      <c r="F806" s="5"/>
      <c r="G806" s="5"/>
      <c r="H806" s="5"/>
    </row>
    <row r="807">
      <c r="E807" s="5"/>
      <c r="F807" s="5"/>
      <c r="G807" s="5"/>
      <c r="H807" s="5"/>
    </row>
    <row r="808">
      <c r="E808" s="5"/>
      <c r="F808" s="5"/>
      <c r="G808" s="5"/>
      <c r="H808" s="5"/>
    </row>
    <row r="809">
      <c r="E809" s="5"/>
      <c r="F809" s="5"/>
      <c r="G809" s="5"/>
      <c r="H809" s="5"/>
    </row>
    <row r="810">
      <c r="E810" s="5"/>
      <c r="F810" s="5"/>
      <c r="G810" s="5"/>
      <c r="H810" s="5"/>
    </row>
    <row r="811">
      <c r="E811" s="5"/>
      <c r="F811" s="5"/>
      <c r="G811" s="5"/>
      <c r="H811" s="5"/>
    </row>
    <row r="812">
      <c r="E812" s="5"/>
      <c r="F812" s="5"/>
      <c r="G812" s="5"/>
      <c r="H812" s="5"/>
    </row>
    <row r="813">
      <c r="E813" s="5"/>
      <c r="F813" s="5"/>
      <c r="G813" s="5"/>
      <c r="H813" s="5"/>
    </row>
    <row r="814">
      <c r="E814" s="5"/>
      <c r="F814" s="5"/>
      <c r="G814" s="5"/>
      <c r="H814" s="5"/>
    </row>
    <row r="815">
      <c r="E815" s="5"/>
      <c r="F815" s="5"/>
      <c r="G815" s="5"/>
      <c r="H815" s="5"/>
    </row>
    <row r="816">
      <c r="E816" s="5"/>
      <c r="F816" s="5"/>
      <c r="G816" s="5"/>
      <c r="H816" s="5"/>
    </row>
    <row r="817">
      <c r="E817" s="5"/>
      <c r="F817" s="5"/>
      <c r="G817" s="5"/>
      <c r="H817" s="5"/>
    </row>
    <row r="818">
      <c r="E818" s="5"/>
      <c r="F818" s="5"/>
      <c r="G818" s="5"/>
      <c r="H818" s="5"/>
    </row>
    <row r="819">
      <c r="E819" s="5"/>
      <c r="F819" s="5"/>
      <c r="G819" s="5"/>
      <c r="H819" s="5"/>
    </row>
    <row r="820">
      <c r="E820" s="5"/>
      <c r="F820" s="5"/>
      <c r="G820" s="5"/>
      <c r="H820" s="5"/>
    </row>
    <row r="821">
      <c r="E821" s="5"/>
      <c r="F821" s="5"/>
      <c r="G821" s="5"/>
      <c r="H821" s="5"/>
    </row>
    <row r="822">
      <c r="E822" s="5"/>
      <c r="F822" s="5"/>
      <c r="G822" s="5"/>
      <c r="H822" s="5"/>
    </row>
    <row r="823">
      <c r="E823" s="5"/>
      <c r="F823" s="5"/>
      <c r="G823" s="5"/>
      <c r="H823" s="5"/>
    </row>
    <row r="824">
      <c r="E824" s="5"/>
      <c r="F824" s="5"/>
      <c r="G824" s="5"/>
      <c r="H824" s="5"/>
    </row>
    <row r="825">
      <c r="E825" s="5"/>
      <c r="F825" s="5"/>
      <c r="G825" s="5"/>
      <c r="H825" s="5"/>
    </row>
    <row r="826">
      <c r="E826" s="5"/>
      <c r="F826" s="5"/>
      <c r="G826" s="5"/>
      <c r="H826" s="5"/>
    </row>
    <row r="827">
      <c r="E827" s="5"/>
      <c r="F827" s="5"/>
      <c r="G827" s="5"/>
      <c r="H827" s="5"/>
    </row>
    <row r="828">
      <c r="E828" s="5"/>
      <c r="F828" s="5"/>
      <c r="G828" s="5"/>
      <c r="H828" s="5"/>
    </row>
    <row r="829">
      <c r="E829" s="5"/>
      <c r="F829" s="5"/>
      <c r="G829" s="5"/>
      <c r="H829" s="5"/>
    </row>
    <row r="830">
      <c r="E830" s="5"/>
      <c r="F830" s="5"/>
      <c r="G830" s="5"/>
      <c r="H830" s="5"/>
    </row>
    <row r="831">
      <c r="E831" s="5"/>
      <c r="F831" s="5"/>
      <c r="G831" s="5"/>
      <c r="H831" s="5"/>
    </row>
    <row r="832">
      <c r="E832" s="5"/>
      <c r="F832" s="5"/>
      <c r="G832" s="5"/>
      <c r="H832" s="5"/>
    </row>
    <row r="833">
      <c r="E833" s="5"/>
      <c r="F833" s="5"/>
      <c r="G833" s="5"/>
      <c r="H833" s="5"/>
    </row>
    <row r="834">
      <c r="E834" s="5"/>
      <c r="F834" s="5"/>
      <c r="G834" s="5"/>
      <c r="H834" s="5"/>
    </row>
    <row r="835">
      <c r="E835" s="5"/>
      <c r="F835" s="5"/>
      <c r="G835" s="5"/>
      <c r="H835" s="5"/>
    </row>
    <row r="836">
      <c r="E836" s="5"/>
      <c r="F836" s="5"/>
      <c r="G836" s="5"/>
      <c r="H836" s="5"/>
    </row>
    <row r="837">
      <c r="E837" s="5"/>
      <c r="F837" s="5"/>
      <c r="G837" s="5"/>
      <c r="H837" s="5"/>
    </row>
    <row r="838">
      <c r="E838" s="5"/>
      <c r="F838" s="5"/>
      <c r="G838" s="5"/>
      <c r="H838" s="5"/>
    </row>
    <row r="839">
      <c r="E839" s="5"/>
      <c r="F839" s="5"/>
      <c r="G839" s="5"/>
      <c r="H839" s="5"/>
    </row>
    <row r="840">
      <c r="E840" s="5"/>
      <c r="F840" s="5"/>
      <c r="G840" s="5"/>
      <c r="H840" s="5"/>
    </row>
    <row r="841">
      <c r="E841" s="5"/>
      <c r="F841" s="5"/>
      <c r="G841" s="5"/>
      <c r="H841" s="5"/>
    </row>
    <row r="842">
      <c r="E842" s="5"/>
      <c r="F842" s="5"/>
      <c r="G842" s="5"/>
      <c r="H842" s="5"/>
    </row>
    <row r="843">
      <c r="E843" s="5"/>
      <c r="F843" s="5"/>
      <c r="G843" s="5"/>
      <c r="H843" s="5"/>
    </row>
    <row r="844">
      <c r="E844" s="5"/>
      <c r="F844" s="5"/>
      <c r="G844" s="5"/>
      <c r="H844" s="5"/>
    </row>
    <row r="845">
      <c r="E845" s="5"/>
      <c r="F845" s="5"/>
      <c r="G845" s="5"/>
      <c r="H845" s="5"/>
    </row>
    <row r="846">
      <c r="E846" s="5"/>
      <c r="F846" s="5"/>
      <c r="G846" s="5"/>
      <c r="H846" s="5"/>
    </row>
    <row r="847">
      <c r="E847" s="5"/>
      <c r="F847" s="5"/>
      <c r="G847" s="5"/>
      <c r="H847" s="5"/>
    </row>
    <row r="848">
      <c r="E848" s="5"/>
      <c r="F848" s="5"/>
      <c r="G848" s="5"/>
      <c r="H848" s="5"/>
    </row>
    <row r="849">
      <c r="E849" s="5"/>
      <c r="F849" s="5"/>
      <c r="G849" s="5"/>
      <c r="H849" s="5"/>
    </row>
    <row r="850">
      <c r="E850" s="5"/>
      <c r="F850" s="5"/>
      <c r="G850" s="5"/>
      <c r="H850" s="5"/>
    </row>
    <row r="851">
      <c r="E851" s="5"/>
      <c r="F851" s="5"/>
      <c r="G851" s="5"/>
      <c r="H851" s="5"/>
    </row>
    <row r="852">
      <c r="E852" s="5"/>
      <c r="F852" s="5"/>
      <c r="G852" s="5"/>
      <c r="H852" s="5"/>
    </row>
    <row r="853">
      <c r="E853" s="5"/>
      <c r="F853" s="5"/>
      <c r="G853" s="5"/>
      <c r="H853" s="5"/>
    </row>
    <row r="854">
      <c r="E854" s="5"/>
      <c r="F854" s="5"/>
      <c r="G854" s="5"/>
      <c r="H854" s="5"/>
    </row>
    <row r="855">
      <c r="E855" s="5"/>
      <c r="F855" s="5"/>
      <c r="G855" s="5"/>
      <c r="H855" s="5"/>
    </row>
    <row r="856">
      <c r="E856" s="5"/>
      <c r="F856" s="5"/>
      <c r="G856" s="5"/>
      <c r="H856" s="5"/>
    </row>
    <row r="857">
      <c r="E857" s="5"/>
      <c r="F857" s="5"/>
      <c r="G857" s="5"/>
      <c r="H857" s="5"/>
    </row>
    <row r="858">
      <c r="E858" s="5"/>
      <c r="F858" s="5"/>
      <c r="G858" s="5"/>
      <c r="H858" s="5"/>
    </row>
    <row r="859">
      <c r="E859" s="5"/>
      <c r="F859" s="5"/>
      <c r="G859" s="5"/>
      <c r="H859" s="5"/>
    </row>
    <row r="860">
      <c r="E860" s="5"/>
      <c r="F860" s="5"/>
      <c r="G860" s="5"/>
      <c r="H860" s="5"/>
    </row>
    <row r="861">
      <c r="E861" s="5"/>
      <c r="F861" s="5"/>
      <c r="G861" s="5"/>
      <c r="H861" s="5"/>
    </row>
    <row r="862">
      <c r="E862" s="5"/>
      <c r="F862" s="5"/>
      <c r="G862" s="5"/>
      <c r="H862" s="5"/>
    </row>
    <row r="863">
      <c r="E863" s="5"/>
      <c r="F863" s="5"/>
      <c r="G863" s="5"/>
      <c r="H863" s="5"/>
    </row>
    <row r="864">
      <c r="E864" s="5"/>
      <c r="F864" s="5"/>
      <c r="G864" s="5"/>
      <c r="H864" s="5"/>
    </row>
    <row r="865">
      <c r="E865" s="5"/>
      <c r="F865" s="5"/>
      <c r="G865" s="5"/>
      <c r="H865" s="5"/>
    </row>
    <row r="866">
      <c r="E866" s="5"/>
      <c r="F866" s="5"/>
      <c r="G866" s="5"/>
      <c r="H866" s="5"/>
    </row>
    <row r="867">
      <c r="E867" s="5"/>
      <c r="F867" s="5"/>
      <c r="G867" s="5"/>
      <c r="H867" s="5"/>
    </row>
    <row r="868">
      <c r="E868" s="5"/>
      <c r="F868" s="5"/>
      <c r="G868" s="5"/>
      <c r="H868" s="5"/>
    </row>
    <row r="869">
      <c r="E869" s="5"/>
      <c r="F869" s="5"/>
      <c r="G869" s="5"/>
      <c r="H869" s="5"/>
    </row>
    <row r="870">
      <c r="E870" s="5"/>
      <c r="F870" s="5"/>
      <c r="G870" s="5"/>
      <c r="H870" s="5"/>
    </row>
    <row r="871">
      <c r="E871" s="5"/>
      <c r="F871" s="5"/>
      <c r="G871" s="5"/>
      <c r="H871" s="5"/>
    </row>
    <row r="872">
      <c r="E872" s="5"/>
      <c r="F872" s="5"/>
      <c r="G872" s="5"/>
      <c r="H872" s="5"/>
    </row>
    <row r="873">
      <c r="E873" s="5"/>
      <c r="F873" s="5"/>
      <c r="G873" s="5"/>
      <c r="H873" s="5"/>
    </row>
    <row r="874">
      <c r="E874" s="5"/>
      <c r="F874" s="5"/>
      <c r="G874" s="5"/>
      <c r="H874" s="5"/>
    </row>
    <row r="875">
      <c r="E875" s="5"/>
      <c r="F875" s="5"/>
      <c r="G875" s="5"/>
      <c r="H875" s="5"/>
    </row>
    <row r="876">
      <c r="E876" s="5"/>
      <c r="F876" s="5"/>
      <c r="G876" s="5"/>
      <c r="H876" s="5"/>
    </row>
    <row r="877">
      <c r="E877" s="5"/>
      <c r="F877" s="5"/>
      <c r="G877" s="5"/>
      <c r="H877" s="5"/>
    </row>
    <row r="878">
      <c r="E878" s="5"/>
      <c r="F878" s="5"/>
      <c r="G878" s="5"/>
      <c r="H878" s="5"/>
    </row>
    <row r="879">
      <c r="E879" s="5"/>
      <c r="F879" s="5"/>
      <c r="G879" s="5"/>
      <c r="H879" s="5"/>
    </row>
    <row r="880">
      <c r="E880" s="5"/>
      <c r="F880" s="5"/>
      <c r="G880" s="5"/>
      <c r="H880" s="5"/>
    </row>
    <row r="881">
      <c r="E881" s="5"/>
      <c r="F881" s="5"/>
      <c r="G881" s="5"/>
      <c r="H881" s="5"/>
    </row>
    <row r="882">
      <c r="E882" s="5"/>
      <c r="F882" s="5"/>
      <c r="G882" s="5"/>
      <c r="H882" s="5"/>
    </row>
    <row r="883">
      <c r="E883" s="5"/>
      <c r="F883" s="5"/>
      <c r="G883" s="5"/>
      <c r="H883" s="5"/>
    </row>
    <row r="884">
      <c r="E884" s="5"/>
      <c r="F884" s="5"/>
      <c r="G884" s="5"/>
      <c r="H884" s="5"/>
    </row>
    <row r="885">
      <c r="E885" s="5"/>
      <c r="F885" s="5"/>
      <c r="G885" s="5"/>
      <c r="H885" s="5"/>
    </row>
    <row r="886">
      <c r="E886" s="5"/>
      <c r="F886" s="5"/>
      <c r="G886" s="5"/>
      <c r="H886" s="5"/>
    </row>
    <row r="887">
      <c r="E887" s="5"/>
      <c r="F887" s="5"/>
      <c r="G887" s="5"/>
      <c r="H887" s="5"/>
    </row>
    <row r="888">
      <c r="E888" s="5"/>
      <c r="F888" s="5"/>
      <c r="G888" s="5"/>
      <c r="H888" s="5"/>
    </row>
    <row r="889">
      <c r="E889" s="5"/>
      <c r="F889" s="5"/>
      <c r="G889" s="5"/>
      <c r="H889" s="5"/>
    </row>
    <row r="890">
      <c r="E890" s="5"/>
      <c r="F890" s="5"/>
      <c r="G890" s="5"/>
      <c r="H890" s="5"/>
    </row>
    <row r="891">
      <c r="E891" s="5"/>
      <c r="F891" s="5"/>
      <c r="G891" s="5"/>
      <c r="H891" s="5"/>
    </row>
    <row r="892">
      <c r="E892" s="5"/>
      <c r="F892" s="5"/>
      <c r="G892" s="5"/>
      <c r="H892" s="5"/>
    </row>
    <row r="893">
      <c r="E893" s="5"/>
      <c r="F893" s="5"/>
      <c r="G893" s="5"/>
      <c r="H893" s="5"/>
    </row>
    <row r="894">
      <c r="E894" s="5"/>
      <c r="F894" s="5"/>
      <c r="G894" s="5"/>
      <c r="H894" s="5"/>
    </row>
    <row r="895">
      <c r="E895" s="5"/>
      <c r="F895" s="5"/>
      <c r="G895" s="5"/>
      <c r="H895" s="5"/>
    </row>
    <row r="896">
      <c r="E896" s="5"/>
      <c r="F896" s="5"/>
      <c r="G896" s="5"/>
      <c r="H896" s="5"/>
    </row>
    <row r="897">
      <c r="E897" s="5"/>
      <c r="F897" s="5"/>
      <c r="G897" s="5"/>
      <c r="H897" s="5"/>
    </row>
    <row r="898">
      <c r="E898" s="5"/>
      <c r="F898" s="5"/>
      <c r="G898" s="5"/>
      <c r="H898" s="5"/>
    </row>
    <row r="899">
      <c r="E899" s="5"/>
      <c r="F899" s="5"/>
      <c r="G899" s="5"/>
      <c r="H899" s="5"/>
    </row>
    <row r="900">
      <c r="E900" s="5"/>
      <c r="F900" s="5"/>
      <c r="G900" s="5"/>
      <c r="H900" s="5"/>
    </row>
    <row r="901">
      <c r="E901" s="5"/>
      <c r="F901" s="5"/>
      <c r="G901" s="5"/>
      <c r="H901" s="5"/>
    </row>
    <row r="902">
      <c r="E902" s="5"/>
      <c r="F902" s="5"/>
      <c r="G902" s="5"/>
      <c r="H902" s="5"/>
    </row>
    <row r="903">
      <c r="E903" s="5"/>
      <c r="F903" s="5"/>
      <c r="G903" s="5"/>
      <c r="H903" s="5"/>
    </row>
    <row r="904">
      <c r="E904" s="5"/>
      <c r="F904" s="5"/>
      <c r="G904" s="5"/>
      <c r="H904" s="5"/>
    </row>
    <row r="905">
      <c r="E905" s="5"/>
      <c r="F905" s="5"/>
      <c r="G905" s="5"/>
      <c r="H905" s="5"/>
    </row>
    <row r="906">
      <c r="E906" s="5"/>
      <c r="F906" s="5"/>
      <c r="G906" s="5"/>
      <c r="H906" s="5"/>
    </row>
    <row r="907">
      <c r="E907" s="5"/>
      <c r="F907" s="5"/>
      <c r="G907" s="5"/>
      <c r="H907" s="5"/>
    </row>
    <row r="908">
      <c r="E908" s="5"/>
      <c r="F908" s="5"/>
      <c r="G908" s="5"/>
      <c r="H908" s="5"/>
    </row>
    <row r="909">
      <c r="E909" s="5"/>
      <c r="F909" s="5"/>
      <c r="G909" s="5"/>
      <c r="H909" s="5"/>
    </row>
    <row r="910">
      <c r="E910" s="5"/>
      <c r="F910" s="5"/>
      <c r="G910" s="5"/>
      <c r="H910" s="5"/>
    </row>
    <row r="911">
      <c r="E911" s="5"/>
      <c r="F911" s="5"/>
      <c r="G911" s="5"/>
      <c r="H911" s="5"/>
    </row>
    <row r="912">
      <c r="E912" s="5"/>
      <c r="F912" s="5"/>
      <c r="G912" s="5"/>
      <c r="H912" s="5"/>
    </row>
    <row r="913">
      <c r="E913" s="5"/>
      <c r="F913" s="5"/>
      <c r="G913" s="5"/>
      <c r="H913" s="5"/>
    </row>
    <row r="914">
      <c r="E914" s="5"/>
      <c r="F914" s="5"/>
      <c r="G914" s="5"/>
      <c r="H914" s="5"/>
    </row>
    <row r="915">
      <c r="E915" s="5"/>
      <c r="F915" s="5"/>
      <c r="G915" s="5"/>
      <c r="H915" s="5"/>
    </row>
    <row r="916">
      <c r="E916" s="5"/>
      <c r="F916" s="5"/>
      <c r="G916" s="5"/>
      <c r="H916" s="5"/>
    </row>
    <row r="917">
      <c r="E917" s="5"/>
      <c r="F917" s="5"/>
      <c r="G917" s="5"/>
      <c r="H917" s="5"/>
    </row>
    <row r="918">
      <c r="E918" s="5"/>
      <c r="F918" s="5"/>
      <c r="G918" s="5"/>
      <c r="H918" s="5"/>
    </row>
    <row r="919">
      <c r="E919" s="5"/>
      <c r="F919" s="5"/>
      <c r="G919" s="5"/>
      <c r="H919" s="5"/>
    </row>
    <row r="920">
      <c r="E920" s="5"/>
      <c r="F920" s="5"/>
      <c r="G920" s="5"/>
      <c r="H920" s="5"/>
    </row>
    <row r="921">
      <c r="E921" s="5"/>
      <c r="F921" s="5"/>
      <c r="G921" s="5"/>
      <c r="H921" s="5"/>
    </row>
    <row r="922">
      <c r="E922" s="5"/>
      <c r="F922" s="5"/>
      <c r="G922" s="5"/>
      <c r="H922" s="5"/>
    </row>
    <row r="923">
      <c r="E923" s="5"/>
      <c r="F923" s="5"/>
      <c r="G923" s="5"/>
      <c r="H923" s="5"/>
    </row>
    <row r="924">
      <c r="E924" s="5"/>
      <c r="F924" s="5"/>
      <c r="G924" s="5"/>
      <c r="H924" s="5"/>
    </row>
    <row r="925">
      <c r="E925" s="5"/>
      <c r="F925" s="5"/>
      <c r="G925" s="5"/>
      <c r="H925" s="5"/>
    </row>
    <row r="926">
      <c r="E926" s="5"/>
      <c r="F926" s="5"/>
      <c r="G926" s="5"/>
      <c r="H926" s="5"/>
    </row>
    <row r="927">
      <c r="E927" s="5"/>
      <c r="F927" s="5"/>
      <c r="G927" s="5"/>
      <c r="H927" s="5"/>
    </row>
    <row r="928">
      <c r="E928" s="5"/>
      <c r="F928" s="5"/>
      <c r="G928" s="5"/>
      <c r="H928" s="5"/>
    </row>
    <row r="929">
      <c r="E929" s="5"/>
      <c r="F929" s="5"/>
      <c r="G929" s="5"/>
      <c r="H929" s="5"/>
    </row>
    <row r="930">
      <c r="E930" s="5"/>
      <c r="F930" s="5"/>
      <c r="G930" s="5"/>
      <c r="H930" s="5"/>
    </row>
    <row r="931">
      <c r="E931" s="5"/>
      <c r="F931" s="5"/>
      <c r="G931" s="5"/>
      <c r="H931" s="5"/>
    </row>
    <row r="932">
      <c r="E932" s="5"/>
      <c r="F932" s="5"/>
      <c r="G932" s="5"/>
      <c r="H932" s="5"/>
    </row>
    <row r="933">
      <c r="E933" s="5"/>
      <c r="F933" s="5"/>
      <c r="G933" s="5"/>
      <c r="H933" s="5"/>
    </row>
    <row r="934">
      <c r="E934" s="5"/>
      <c r="F934" s="5"/>
      <c r="G934" s="5"/>
      <c r="H934" s="5"/>
    </row>
    <row r="935">
      <c r="E935" s="5"/>
      <c r="F935" s="5"/>
      <c r="G935" s="5"/>
      <c r="H935" s="5"/>
    </row>
    <row r="936">
      <c r="E936" s="5"/>
      <c r="F936" s="5"/>
      <c r="G936" s="5"/>
      <c r="H936" s="5"/>
    </row>
    <row r="937">
      <c r="E937" s="5"/>
      <c r="F937" s="5"/>
      <c r="G937" s="5"/>
      <c r="H937" s="5"/>
    </row>
    <row r="938">
      <c r="E938" s="5"/>
      <c r="F938" s="5"/>
      <c r="G938" s="5"/>
      <c r="H938" s="5"/>
    </row>
    <row r="939">
      <c r="E939" s="5"/>
      <c r="F939" s="5"/>
      <c r="G939" s="5"/>
      <c r="H939" s="5"/>
    </row>
    <row r="940">
      <c r="E940" s="5"/>
      <c r="F940" s="5"/>
      <c r="G940" s="5"/>
      <c r="H940" s="5"/>
    </row>
    <row r="941">
      <c r="E941" s="5"/>
      <c r="F941" s="5"/>
      <c r="G941" s="5"/>
      <c r="H941" s="5"/>
    </row>
    <row r="942">
      <c r="E942" s="5"/>
      <c r="F942" s="5"/>
      <c r="G942" s="5"/>
      <c r="H942" s="5"/>
    </row>
    <row r="943">
      <c r="E943" s="5"/>
      <c r="F943" s="5"/>
      <c r="G943" s="5"/>
      <c r="H943" s="5"/>
    </row>
    <row r="944">
      <c r="E944" s="5"/>
      <c r="F944" s="5"/>
      <c r="G944" s="5"/>
      <c r="H944" s="5"/>
    </row>
    <row r="945">
      <c r="E945" s="5"/>
      <c r="F945" s="5"/>
      <c r="G945" s="5"/>
      <c r="H945" s="5"/>
    </row>
    <row r="946">
      <c r="E946" s="5"/>
      <c r="F946" s="5"/>
      <c r="G946" s="5"/>
      <c r="H946" s="5"/>
    </row>
    <row r="947">
      <c r="E947" s="5"/>
      <c r="F947" s="5"/>
      <c r="G947" s="5"/>
      <c r="H947" s="5"/>
    </row>
    <row r="948">
      <c r="E948" s="5"/>
      <c r="F948" s="5"/>
      <c r="G948" s="5"/>
      <c r="H948" s="5"/>
    </row>
    <row r="949">
      <c r="E949" s="5"/>
      <c r="F949" s="5"/>
      <c r="G949" s="5"/>
      <c r="H949" s="5"/>
    </row>
    <row r="950">
      <c r="E950" s="5"/>
      <c r="F950" s="5"/>
      <c r="G950" s="5"/>
      <c r="H950" s="5"/>
    </row>
    <row r="951">
      <c r="E951" s="5"/>
      <c r="F951" s="5"/>
      <c r="G951" s="5"/>
      <c r="H951" s="5"/>
    </row>
    <row r="952">
      <c r="E952" s="5"/>
      <c r="F952" s="5"/>
      <c r="G952" s="5"/>
      <c r="H952" s="5"/>
    </row>
    <row r="953">
      <c r="E953" s="5"/>
      <c r="F953" s="5"/>
      <c r="G953" s="5"/>
      <c r="H953" s="5"/>
    </row>
    <row r="954">
      <c r="E954" s="5"/>
      <c r="F954" s="5"/>
      <c r="G954" s="5"/>
      <c r="H954" s="5"/>
    </row>
    <row r="955">
      <c r="E955" s="5"/>
      <c r="F955" s="5"/>
      <c r="G955" s="5"/>
      <c r="H955" s="5"/>
    </row>
    <row r="956">
      <c r="E956" s="5"/>
      <c r="F956" s="5"/>
      <c r="G956" s="5"/>
      <c r="H956" s="5"/>
    </row>
    <row r="957">
      <c r="E957" s="5"/>
      <c r="F957" s="5"/>
      <c r="G957" s="5"/>
      <c r="H957" s="5"/>
    </row>
    <row r="958">
      <c r="E958" s="5"/>
      <c r="F958" s="5"/>
      <c r="G958" s="5"/>
      <c r="H958" s="5"/>
    </row>
    <row r="959">
      <c r="E959" s="5"/>
      <c r="F959" s="5"/>
      <c r="G959" s="5"/>
      <c r="H959" s="5"/>
    </row>
    <row r="960">
      <c r="E960" s="5"/>
      <c r="F960" s="5"/>
      <c r="G960" s="5"/>
      <c r="H960" s="5"/>
    </row>
    <row r="961">
      <c r="E961" s="5"/>
      <c r="F961" s="5"/>
      <c r="G961" s="5"/>
      <c r="H961" s="5"/>
    </row>
    <row r="962">
      <c r="E962" s="5"/>
      <c r="F962" s="5"/>
      <c r="G962" s="5"/>
      <c r="H962" s="5"/>
    </row>
    <row r="963">
      <c r="E963" s="5"/>
      <c r="F963" s="5"/>
      <c r="G963" s="5"/>
      <c r="H963" s="5"/>
    </row>
    <row r="964">
      <c r="E964" s="5"/>
      <c r="F964" s="5"/>
      <c r="G964" s="5"/>
      <c r="H964" s="5"/>
    </row>
    <row r="965">
      <c r="E965" s="5"/>
      <c r="F965" s="5"/>
      <c r="G965" s="5"/>
      <c r="H965" s="5"/>
    </row>
    <row r="966">
      <c r="E966" s="5"/>
      <c r="F966" s="5"/>
      <c r="G966" s="5"/>
      <c r="H966" s="5"/>
    </row>
    <row r="967">
      <c r="E967" s="5"/>
      <c r="F967" s="5"/>
      <c r="G967" s="5"/>
      <c r="H967" s="5"/>
    </row>
    <row r="968">
      <c r="E968" s="5"/>
      <c r="F968" s="5"/>
      <c r="G968" s="5"/>
      <c r="H968" s="5"/>
    </row>
    <row r="969">
      <c r="E969" s="5"/>
      <c r="F969" s="5"/>
      <c r="G969" s="5"/>
      <c r="H969" s="5"/>
    </row>
    <row r="970">
      <c r="E970" s="5"/>
      <c r="F970" s="5"/>
      <c r="G970" s="5"/>
      <c r="H970" s="5"/>
    </row>
    <row r="971">
      <c r="E971" s="5"/>
      <c r="F971" s="5"/>
      <c r="G971" s="5"/>
      <c r="H971" s="5"/>
    </row>
    <row r="972">
      <c r="E972" s="5"/>
      <c r="F972" s="5"/>
      <c r="G972" s="5"/>
      <c r="H972" s="5"/>
    </row>
    <row r="973">
      <c r="E973" s="5"/>
      <c r="F973" s="5"/>
      <c r="G973" s="5"/>
      <c r="H973" s="5"/>
    </row>
    <row r="974">
      <c r="E974" s="5"/>
      <c r="F974" s="5"/>
      <c r="G974" s="5"/>
      <c r="H974" s="5"/>
    </row>
    <row r="975">
      <c r="E975" s="5"/>
      <c r="F975" s="5"/>
      <c r="G975" s="5"/>
      <c r="H975" s="5"/>
    </row>
    <row r="976">
      <c r="E976" s="5"/>
      <c r="F976" s="5"/>
      <c r="G976" s="5"/>
      <c r="H976" s="5"/>
    </row>
    <row r="977">
      <c r="E977" s="5"/>
      <c r="F977" s="5"/>
      <c r="G977" s="5"/>
      <c r="H977" s="5"/>
    </row>
    <row r="978">
      <c r="E978" s="5"/>
      <c r="F978" s="5"/>
      <c r="G978" s="5"/>
      <c r="H978" s="5"/>
    </row>
    <row r="979">
      <c r="E979" s="5"/>
      <c r="F979" s="5"/>
      <c r="G979" s="5"/>
      <c r="H979" s="5"/>
    </row>
    <row r="980">
      <c r="E980" s="5"/>
      <c r="F980" s="5"/>
      <c r="G980" s="5"/>
      <c r="H980" s="5"/>
    </row>
    <row r="981">
      <c r="E981" s="5"/>
      <c r="F981" s="5"/>
      <c r="G981" s="5"/>
      <c r="H981" s="5"/>
    </row>
    <row r="982">
      <c r="E982" s="5"/>
      <c r="F982" s="5"/>
      <c r="G982" s="5"/>
      <c r="H982" s="5"/>
    </row>
    <row r="983">
      <c r="E983" s="5"/>
      <c r="F983" s="5"/>
      <c r="G983" s="5"/>
      <c r="H983" s="5"/>
    </row>
    <row r="984">
      <c r="E984" s="5"/>
      <c r="F984" s="5"/>
      <c r="G984" s="5"/>
      <c r="H984" s="5"/>
    </row>
    <row r="985">
      <c r="E985" s="5"/>
      <c r="F985" s="5"/>
      <c r="G985" s="5"/>
      <c r="H985" s="5"/>
    </row>
    <row r="986">
      <c r="E986" s="5"/>
      <c r="F986" s="5"/>
      <c r="G986" s="5"/>
      <c r="H986" s="5"/>
    </row>
    <row r="987">
      <c r="E987" s="5"/>
      <c r="F987" s="5"/>
      <c r="G987" s="5"/>
      <c r="H987" s="5"/>
    </row>
    <row r="988">
      <c r="E988" s="5"/>
      <c r="F988" s="5"/>
      <c r="G988" s="5"/>
      <c r="H988" s="5"/>
    </row>
    <row r="989">
      <c r="E989" s="5"/>
      <c r="F989" s="5"/>
      <c r="G989" s="5"/>
      <c r="H989" s="5"/>
    </row>
    <row r="990">
      <c r="E990" s="5"/>
      <c r="F990" s="5"/>
      <c r="G990" s="5"/>
      <c r="H990" s="5"/>
    </row>
    <row r="991">
      <c r="E991" s="5"/>
      <c r="F991" s="5"/>
      <c r="G991" s="5"/>
      <c r="H991" s="5"/>
    </row>
    <row r="992">
      <c r="E992" s="5"/>
      <c r="F992" s="5"/>
      <c r="G992" s="5"/>
      <c r="H992" s="5"/>
    </row>
    <row r="993">
      <c r="E993" s="5"/>
      <c r="F993" s="5"/>
      <c r="G993" s="5"/>
      <c r="H993" s="5"/>
    </row>
    <row r="994">
      <c r="E994" s="5"/>
      <c r="F994" s="5"/>
      <c r="G994" s="5"/>
      <c r="H994" s="5"/>
    </row>
    <row r="995">
      <c r="E995" s="5"/>
      <c r="F995" s="5"/>
      <c r="G995" s="5"/>
      <c r="H995" s="5"/>
    </row>
    <row r="996">
      <c r="E996" s="5"/>
      <c r="F996" s="5"/>
      <c r="G996" s="5"/>
      <c r="H996" s="5"/>
    </row>
    <row r="997">
      <c r="E997" s="5"/>
      <c r="F997" s="5"/>
      <c r="G997" s="5"/>
      <c r="H997" s="5"/>
    </row>
    <row r="998">
      <c r="E998" s="5"/>
      <c r="F998" s="5"/>
      <c r="G998" s="5"/>
      <c r="H998" s="5"/>
    </row>
    <row r="999">
      <c r="E999" s="5"/>
      <c r="F999" s="5"/>
      <c r="G999" s="5"/>
      <c r="H999" s="5"/>
    </row>
    <row r="1000">
      <c r="E1000" s="5"/>
      <c r="F1000" s="5"/>
      <c r="G1000" s="5"/>
      <c r="H1000" s="5"/>
    </row>
  </sheetData>
  <dataValidations>
    <dataValidation type="list" allowBlank="1" showErrorMessage="1" sqref="G2:G88">
      <formula1>"T2 Rocket,Tier,Alloy Blast Smelter,T1 Rocket,Assembling Line"</formula1>
    </dataValidation>
    <dataValidation type="list" allowBlank="1" showErrorMessage="1" sqref="B2:B88">
      <formula1>"1,2T,1T*C,4T,6T,16T,24,4,12,8T,256,2*P"</formula1>
    </dataValidation>
    <dataValidation type="list" allowBlank="1" showErrorMessage="1" sqref="E2:E88">
      <formula1>"Multi,Single"</formula1>
    </dataValidation>
    <dataValidation type="list" allowBlank="1" showErrorMessage="1" sqref="I2:I88">
      <formula1>"300000,1T,10000000,2T,4000+500(7O-5),1000,1000000,40000,25000,20000,130000,3000000+500(7O-5),200000,230000,310000,6670000,250000,3000,4000,13500 + 16C,5000"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381</v>
      </c>
      <c r="B1" s="4" t="s">
        <v>382</v>
      </c>
      <c r="C1" s="1" t="s">
        <v>383</v>
      </c>
      <c r="D1" s="1" t="s">
        <v>384</v>
      </c>
      <c r="E1" s="1" t="s">
        <v>385</v>
      </c>
    </row>
    <row r="2">
      <c r="A2" s="4" t="s">
        <v>386</v>
      </c>
      <c r="B2" s="4">
        <v>0.0</v>
      </c>
      <c r="C2" s="1" t="s">
        <v>387</v>
      </c>
      <c r="D2" s="1" t="s">
        <v>388</v>
      </c>
      <c r="E2" s="1" t="s">
        <v>389</v>
      </c>
    </row>
    <row r="3">
      <c r="A3" s="4" t="s">
        <v>390</v>
      </c>
      <c r="B3" s="4">
        <v>1.0</v>
      </c>
      <c r="C3" s="1" t="s">
        <v>391</v>
      </c>
      <c r="D3" s="1" t="s">
        <v>392</v>
      </c>
    </row>
    <row r="4">
      <c r="A4" s="4" t="s">
        <v>393</v>
      </c>
      <c r="B4" s="4">
        <v>2.0</v>
      </c>
      <c r="C4" s="1" t="s">
        <v>394</v>
      </c>
      <c r="D4" s="1" t="s">
        <v>395</v>
      </c>
      <c r="E4" s="1" t="s">
        <v>396</v>
      </c>
    </row>
    <row r="5">
      <c r="A5" s="4" t="s">
        <v>397</v>
      </c>
      <c r="B5" s="4">
        <v>3.0</v>
      </c>
      <c r="C5" s="1" t="s">
        <v>398</v>
      </c>
      <c r="D5" s="1" t="s">
        <v>399</v>
      </c>
      <c r="E5" s="1" t="s">
        <v>400</v>
      </c>
    </row>
    <row r="6">
      <c r="A6" s="4" t="s">
        <v>401</v>
      </c>
      <c r="B6" s="4">
        <v>4.0</v>
      </c>
      <c r="C6" s="1" t="s">
        <v>402</v>
      </c>
      <c r="D6" s="1" t="s">
        <v>403</v>
      </c>
      <c r="E6" s="1" t="s">
        <v>404</v>
      </c>
    </row>
    <row r="7">
      <c r="A7" s="4" t="s">
        <v>405</v>
      </c>
      <c r="B7" s="4">
        <v>5.0</v>
      </c>
      <c r="C7" s="1" t="s">
        <v>406</v>
      </c>
      <c r="D7" s="1" t="s">
        <v>407</v>
      </c>
    </row>
    <row r="8">
      <c r="A8" s="4" t="s">
        <v>408</v>
      </c>
      <c r="B8" s="4">
        <v>6.0</v>
      </c>
    </row>
    <row r="9">
      <c r="A9" s="4" t="s">
        <v>409</v>
      </c>
      <c r="B9" s="4">
        <v>7.0</v>
      </c>
    </row>
    <row r="10">
      <c r="A10" s="4" t="s">
        <v>410</v>
      </c>
      <c r="B10" s="4">
        <v>8.0</v>
      </c>
    </row>
    <row r="11">
      <c r="A11" s="4" t="s">
        <v>411</v>
      </c>
      <c r="B11" s="4">
        <v>9.0</v>
      </c>
    </row>
    <row r="12">
      <c r="A12" s="4" t="s">
        <v>412</v>
      </c>
      <c r="B12" s="4">
        <v>10.0</v>
      </c>
    </row>
    <row r="13">
      <c r="A13" s="4" t="s">
        <v>413</v>
      </c>
      <c r="B13" s="4">
        <v>11.0</v>
      </c>
    </row>
    <row r="14">
      <c r="A14" s="4" t="s">
        <v>414</v>
      </c>
      <c r="B14" s="4">
        <v>12.0</v>
      </c>
    </row>
    <row r="15">
      <c r="A15" s="4" t="s">
        <v>415</v>
      </c>
      <c r="B15" s="4">
        <v>13.0</v>
      </c>
    </row>
    <row r="16">
      <c r="A16" s="4" t="s">
        <v>416</v>
      </c>
      <c r="B16" s="4">
        <v>14.0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14.13"/>
    <col customWidth="1" min="4" max="4" width="15.0"/>
    <col customWidth="1" min="7" max="7" width="13.0"/>
    <col customWidth="1" min="8" max="8" width="10.5"/>
    <col customWidth="1" min="9" max="9" width="7.63"/>
  </cols>
  <sheetData>
    <row r="1">
      <c r="A1" s="1" t="s">
        <v>381</v>
      </c>
      <c r="B1" s="1" t="s">
        <v>417</v>
      </c>
      <c r="C1" s="4" t="s">
        <v>418</v>
      </c>
      <c r="D1" s="1" t="s">
        <v>419</v>
      </c>
      <c r="G1" s="1" t="s">
        <v>420</v>
      </c>
      <c r="H1" s="1" t="s">
        <v>421</v>
      </c>
      <c r="I1" s="1" t="s">
        <v>381</v>
      </c>
      <c r="J1" s="1" t="s">
        <v>422</v>
      </c>
      <c r="K1" s="1" t="s">
        <v>418</v>
      </c>
    </row>
    <row r="2">
      <c r="A2" s="4" t="s">
        <v>386</v>
      </c>
      <c r="B2" s="1" t="s">
        <v>423</v>
      </c>
      <c r="C2" s="5">
        <f>10^0</f>
        <v>1</v>
      </c>
      <c r="D2" s="1">
        <f>1</f>
        <v>1</v>
      </c>
      <c r="G2" s="1" t="s">
        <v>424</v>
      </c>
      <c r="H2" s="1">
        <v>0.0</v>
      </c>
      <c r="I2" s="4" t="s">
        <v>425</v>
      </c>
      <c r="J2" s="4">
        <v>0.0</v>
      </c>
      <c r="K2" s="4">
        <v>0.0</v>
      </c>
    </row>
    <row r="3">
      <c r="A3" s="4" t="s">
        <v>390</v>
      </c>
      <c r="B3" s="1" t="s">
        <v>426</v>
      </c>
      <c r="C3" s="5">
        <f>10^1</f>
        <v>10</v>
      </c>
      <c r="D3" s="1">
        <f>10+D2</f>
        <v>11</v>
      </c>
      <c r="G3" s="1" t="s">
        <v>427</v>
      </c>
      <c r="H3" s="1">
        <v>1.0</v>
      </c>
      <c r="I3" s="4" t="s">
        <v>428</v>
      </c>
      <c r="J3" s="4">
        <v>1801.0</v>
      </c>
      <c r="K3" s="4">
        <v>10.0</v>
      </c>
    </row>
    <row r="4">
      <c r="A4" s="4" t="s">
        <v>393</v>
      </c>
      <c r="B4" s="1" t="s">
        <v>301</v>
      </c>
      <c r="C4" s="5">
        <f>10^2</f>
        <v>100</v>
      </c>
      <c r="D4" s="1">
        <f>500+D3</f>
        <v>511</v>
      </c>
      <c r="G4" s="1" t="s">
        <v>429</v>
      </c>
      <c r="H4" s="1">
        <v>2.0</v>
      </c>
      <c r="I4" s="4" t="s">
        <v>430</v>
      </c>
      <c r="J4" s="4">
        <v>2701.0</v>
      </c>
      <c r="K4" s="4">
        <v>40.0</v>
      </c>
    </row>
    <row r="5">
      <c r="A5" s="4" t="s">
        <v>397</v>
      </c>
      <c r="B5" s="1" t="s">
        <v>431</v>
      </c>
      <c r="C5" s="5">
        <f>10^3</f>
        <v>1000</v>
      </c>
      <c r="D5" s="1">
        <f>5000+D4</f>
        <v>5511</v>
      </c>
      <c r="G5" s="1" t="s">
        <v>432</v>
      </c>
      <c r="H5" s="1">
        <v>3.0</v>
      </c>
      <c r="I5" s="4" t="s">
        <v>433</v>
      </c>
      <c r="J5" s="4">
        <v>3601.0</v>
      </c>
      <c r="K5" s="4">
        <v>200.0</v>
      </c>
    </row>
    <row r="6">
      <c r="A6" s="4" t="s">
        <v>401</v>
      </c>
      <c r="B6" s="1" t="s">
        <v>320</v>
      </c>
      <c r="C6" s="5">
        <f>10^4</f>
        <v>10000</v>
      </c>
      <c r="D6" s="1">
        <f>100000+D5</f>
        <v>105511</v>
      </c>
      <c r="G6" s="1" t="s">
        <v>434</v>
      </c>
      <c r="H6" s="1">
        <v>4.0</v>
      </c>
      <c r="I6" s="4" t="s">
        <v>435</v>
      </c>
      <c r="J6" s="4">
        <v>4501.0</v>
      </c>
      <c r="K6" s="4">
        <v>6000.0</v>
      </c>
    </row>
    <row r="7">
      <c r="A7" s="4" t="s">
        <v>405</v>
      </c>
      <c r="B7" s="1" t="s">
        <v>278</v>
      </c>
      <c r="C7" s="5">
        <f>10^5</f>
        <v>100000</v>
      </c>
      <c r="D7" s="1">
        <f>1000000+D6</f>
        <v>1105511</v>
      </c>
      <c r="G7" s="1" t="s">
        <v>436</v>
      </c>
      <c r="H7" s="1">
        <v>5.0</v>
      </c>
      <c r="I7" s="4" t="s">
        <v>437</v>
      </c>
      <c r="J7" s="4">
        <v>5401.0</v>
      </c>
      <c r="K7" s="4">
        <v>30000.0</v>
      </c>
    </row>
    <row r="8">
      <c r="A8" s="4" t="s">
        <v>408</v>
      </c>
      <c r="B8" s="1" t="s">
        <v>284</v>
      </c>
      <c r="C8" s="5">
        <f>10^6</f>
        <v>1000000</v>
      </c>
      <c r="D8" s="1">
        <f>10000000+D7</f>
        <v>11105511</v>
      </c>
      <c r="G8" s="1" t="s">
        <v>438</v>
      </c>
      <c r="H8" s="1">
        <v>6.0</v>
      </c>
      <c r="I8" s="4" t="s">
        <v>437</v>
      </c>
      <c r="J8" s="4">
        <v>6301.0</v>
      </c>
      <c r="K8" s="4">
        <v>60000.0</v>
      </c>
    </row>
    <row r="9">
      <c r="A9" s="4" t="s">
        <v>409</v>
      </c>
      <c r="B9" s="1" t="s">
        <v>439</v>
      </c>
      <c r="C9" s="5">
        <f>10^7</f>
        <v>10000000</v>
      </c>
      <c r="D9" s="1">
        <f>30000000+D8</f>
        <v>41105511</v>
      </c>
      <c r="G9" s="1" t="s">
        <v>440</v>
      </c>
      <c r="H9" s="1">
        <v>7.0</v>
      </c>
      <c r="I9" s="4" t="s">
        <v>441</v>
      </c>
      <c r="J9" s="4">
        <v>7201.0</v>
      </c>
      <c r="K9" s="4">
        <v>300000.0</v>
      </c>
    </row>
    <row r="10">
      <c r="A10" s="4" t="s">
        <v>410</v>
      </c>
      <c r="B10" s="1" t="s">
        <v>442</v>
      </c>
      <c r="C10" s="5">
        <f>10^8</f>
        <v>100000000</v>
      </c>
      <c r="D10" s="1">
        <f>200000000+D9</f>
        <v>241105511</v>
      </c>
      <c r="G10" s="1" t="s">
        <v>443</v>
      </c>
      <c r="H10" s="1">
        <v>8.0</v>
      </c>
      <c r="I10" s="4" t="s">
        <v>441</v>
      </c>
      <c r="J10" s="4">
        <v>8101.0</v>
      </c>
      <c r="K10" s="4">
        <v>400000.0</v>
      </c>
    </row>
    <row r="11">
      <c r="A11" s="4" t="s">
        <v>411</v>
      </c>
      <c r="B11" s="1" t="s">
        <v>444</v>
      </c>
      <c r="C11" s="5">
        <f>10^9</f>
        <v>1000000000</v>
      </c>
      <c r="D11" s="1">
        <f>2000000000+D10</f>
        <v>2241105511</v>
      </c>
      <c r="G11" s="1" t="s">
        <v>445</v>
      </c>
      <c r="H11" s="1">
        <v>9.0</v>
      </c>
      <c r="I11" s="4" t="s">
        <v>446</v>
      </c>
      <c r="J11" s="4">
        <v>9001.0</v>
      </c>
      <c r="K11" s="4">
        <v>100000.0</v>
      </c>
    </row>
    <row r="12">
      <c r="A12" s="4" t="s">
        <v>412</v>
      </c>
      <c r="B12" s="1" t="s">
        <v>423</v>
      </c>
      <c r="C12" s="5">
        <f>10^10</f>
        <v>10000000000</v>
      </c>
      <c r="G12" s="1" t="s">
        <v>447</v>
      </c>
      <c r="H12" s="1">
        <v>10.0</v>
      </c>
      <c r="I12" s="4" t="s">
        <v>448</v>
      </c>
      <c r="J12" s="4">
        <v>9901.0</v>
      </c>
      <c r="K12" s="5"/>
    </row>
    <row r="13">
      <c r="A13" s="4" t="s">
        <v>413</v>
      </c>
      <c r="B13" s="1" t="s">
        <v>423</v>
      </c>
      <c r="C13" s="5">
        <f>10^11</f>
        <v>100000000000</v>
      </c>
      <c r="G13" s="1" t="s">
        <v>449</v>
      </c>
      <c r="H13" s="1">
        <v>11.0</v>
      </c>
      <c r="I13" s="4" t="s">
        <v>450</v>
      </c>
      <c r="J13" s="4">
        <v>10801.0</v>
      </c>
      <c r="K13" s="5"/>
    </row>
    <row r="14">
      <c r="A14" s="4" t="s">
        <v>414</v>
      </c>
      <c r="B14" s="1" t="s">
        <v>423</v>
      </c>
      <c r="C14" s="5">
        <f>10^12</f>
        <v>1000000000000</v>
      </c>
      <c r="G14" s="1" t="s">
        <v>451</v>
      </c>
      <c r="H14" s="1">
        <v>12.0</v>
      </c>
      <c r="I14" s="4" t="s">
        <v>452</v>
      </c>
      <c r="J14" s="4">
        <v>11701.0</v>
      </c>
      <c r="K14" s="5"/>
    </row>
    <row r="15">
      <c r="A15" s="4" t="s">
        <v>415</v>
      </c>
      <c r="B15" s="1" t="s">
        <v>423</v>
      </c>
      <c r="C15" s="5">
        <f>10^13</f>
        <v>10000000000000</v>
      </c>
      <c r="G15" s="1" t="s">
        <v>453</v>
      </c>
      <c r="H15" s="1">
        <v>13.0</v>
      </c>
      <c r="I15" s="4" t="s">
        <v>454</v>
      </c>
      <c r="J15" s="4">
        <v>12601.0</v>
      </c>
      <c r="K15" s="5"/>
    </row>
    <row r="16">
      <c r="A16" s="4" t="s">
        <v>416</v>
      </c>
      <c r="B16" s="1" t="s">
        <v>423</v>
      </c>
      <c r="C16" s="5">
        <f>10^14</f>
        <v>100000000000000</v>
      </c>
      <c r="G16" s="1" t="s">
        <v>455</v>
      </c>
      <c r="H16" s="1">
        <v>14.0</v>
      </c>
      <c r="I16" s="4" t="s">
        <v>456</v>
      </c>
      <c r="J16" s="4">
        <v>13501.0</v>
      </c>
      <c r="K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6.88"/>
    <col customWidth="1" min="3" max="3" width="7.0"/>
    <col customWidth="1" min="4" max="4" width="6.75"/>
    <col customWidth="1" min="5" max="5" width="7.75"/>
    <col customWidth="1" min="6" max="6" width="13.88"/>
    <col customWidth="1" min="7" max="7" width="9.38"/>
    <col customWidth="1" min="8" max="8" width="6.75"/>
    <col customWidth="1" min="9" max="9" width="4.25"/>
    <col customWidth="1" min="10" max="10" width="6.5"/>
    <col customWidth="1" min="11" max="11" width="7.13"/>
    <col customWidth="1" min="12" max="12" width="6.5"/>
    <col customWidth="1" min="13" max="13" width="7.13"/>
    <col customWidth="1" min="14" max="14" width="9.38"/>
    <col customWidth="1" min="15" max="15" width="10.0"/>
  </cols>
  <sheetData>
    <row r="1">
      <c r="A1" s="1" t="s">
        <v>457</v>
      </c>
      <c r="B1" s="1" t="s">
        <v>458</v>
      </c>
      <c r="C1" s="1" t="s">
        <v>459</v>
      </c>
      <c r="D1" s="1" t="s">
        <v>460</v>
      </c>
      <c r="E1" s="1" t="s">
        <v>461</v>
      </c>
      <c r="F1" s="1" t="s">
        <v>462</v>
      </c>
      <c r="G1" s="1" t="s">
        <v>463</v>
      </c>
      <c r="H1" s="1" t="s">
        <v>464</v>
      </c>
      <c r="I1" s="1" t="s">
        <v>465</v>
      </c>
      <c r="J1" s="1" t="s">
        <v>466</v>
      </c>
      <c r="K1" s="1" t="s">
        <v>467</v>
      </c>
      <c r="L1" s="1" t="s">
        <v>468</v>
      </c>
      <c r="M1" s="1" t="s">
        <v>469</v>
      </c>
      <c r="N1" s="1" t="s">
        <v>470</v>
      </c>
      <c r="O1" s="1" t="s">
        <v>471</v>
      </c>
    </row>
    <row r="3">
      <c r="A3" s="1" t="s">
        <v>472</v>
      </c>
      <c r="F3" s="1" t="s">
        <v>293</v>
      </c>
      <c r="G3" s="4">
        <v>1.0</v>
      </c>
      <c r="H3" s="4">
        <v>1.0</v>
      </c>
      <c r="I3" s="4">
        <v>16.0</v>
      </c>
      <c r="J3" s="4">
        <v>20.0</v>
      </c>
      <c r="K3" s="4">
        <f>I3*J3*G3</f>
        <v>320</v>
      </c>
      <c r="L3" s="4">
        <v>1.0</v>
      </c>
      <c r="M3" s="5">
        <f>I3*(2^((L3-H3)*2))</f>
        <v>16</v>
      </c>
      <c r="N3" s="5">
        <f>ROUNDUP(IF(F3="Chemical Reactor",J3/(2^((L3-H3)*2)),J3/(2^(L3-H3))),0)</f>
        <v>20</v>
      </c>
      <c r="O3" s="5">
        <f>M3*N3*G3</f>
        <v>320</v>
      </c>
    </row>
    <row r="4">
      <c r="B4" s="1"/>
      <c r="C4" s="4">
        <v>1000.0</v>
      </c>
      <c r="D4" s="6"/>
      <c r="E4" s="4">
        <v>1000.0</v>
      </c>
    </row>
    <row r="6">
      <c r="A6" s="1" t="s">
        <v>473</v>
      </c>
      <c r="F6" s="1" t="s">
        <v>293</v>
      </c>
      <c r="G6" s="4">
        <v>1.0</v>
      </c>
      <c r="H6" s="4">
        <v>1.0</v>
      </c>
      <c r="I6" s="4">
        <v>16.0</v>
      </c>
      <c r="J6" s="4">
        <v>20.0</v>
      </c>
      <c r="K6" s="4">
        <f>I6*J6*G6</f>
        <v>320</v>
      </c>
      <c r="L6" s="4">
        <v>1.0</v>
      </c>
      <c r="M6" s="5">
        <f>I6*(2^((L6-H6)*2))</f>
        <v>16</v>
      </c>
      <c r="N6" s="5">
        <f>ROUNDUP(IF(F6="Chemical Reactor",J6/(2^((L6-H6)*2)),J6/(2^(L6-H6))),0)</f>
        <v>20</v>
      </c>
      <c r="O6" s="5">
        <f>M6*N6*G6</f>
        <v>320</v>
      </c>
    </row>
    <row r="7">
      <c r="B7" s="1"/>
      <c r="C7" s="4">
        <v>1000.0</v>
      </c>
      <c r="D7" s="6"/>
      <c r="E7" s="4">
        <v>1000.0</v>
      </c>
    </row>
    <row r="8">
      <c r="B8" s="1"/>
      <c r="C8" s="4">
        <v>1000.0</v>
      </c>
      <c r="D8" s="6"/>
      <c r="E8" s="4">
        <v>1000.0</v>
      </c>
    </row>
    <row r="10">
      <c r="A10" s="1" t="s">
        <v>474</v>
      </c>
      <c r="F10" s="1" t="s">
        <v>293</v>
      </c>
      <c r="G10" s="4">
        <v>1.0</v>
      </c>
      <c r="H10" s="4">
        <v>1.0</v>
      </c>
      <c r="I10" s="4">
        <v>16.0</v>
      </c>
      <c r="J10" s="4">
        <v>20.0</v>
      </c>
      <c r="K10" s="4">
        <f>I10*J10*G10</f>
        <v>320</v>
      </c>
      <c r="L10" s="4">
        <v>1.0</v>
      </c>
      <c r="M10" s="5">
        <f>I10*(2^((L10-H10)*2))</f>
        <v>16</v>
      </c>
      <c r="N10" s="5">
        <f>ROUNDUP(IF(F10="Chemical Reactor",J10/(2^((L10-H10)*2)),J10/(2^(L10-H10))),0)</f>
        <v>20</v>
      </c>
      <c r="O10" s="5">
        <f>M10*N10*G10</f>
        <v>320</v>
      </c>
    </row>
    <row r="11">
      <c r="B11" s="1"/>
      <c r="C11" s="4">
        <v>1000.0</v>
      </c>
      <c r="D11" s="6"/>
      <c r="E11" s="4">
        <v>1000.0</v>
      </c>
    </row>
    <row r="12">
      <c r="B12" s="1"/>
      <c r="C12" s="4">
        <v>1000.0</v>
      </c>
      <c r="D12" s="6"/>
      <c r="E12" s="4">
        <v>1000.0</v>
      </c>
    </row>
    <row r="13">
      <c r="B13" s="1"/>
      <c r="C13" s="4">
        <v>1000.0</v>
      </c>
      <c r="D13" s="6"/>
      <c r="E13" s="4">
        <v>1000.0</v>
      </c>
    </row>
  </sheetData>
  <mergeCells count="3">
    <mergeCell ref="B3:E3"/>
    <mergeCell ref="B6:E6"/>
    <mergeCell ref="B10:E10"/>
  </mergeCells>
  <dataValidations>
    <dataValidation type="list" allowBlank="1" sqref="B4 D4 B7:B8 D7:D8 B11:B13 D11:D13">
      <formula1>'Item List'!$A$2:$A$6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6.38"/>
    <col customWidth="1" min="4" max="4" width="15.25"/>
    <col customWidth="1" min="5" max="5" width="7.75"/>
    <col customWidth="1" min="6" max="6" width="13.88"/>
    <col customWidth="1" min="7" max="7" width="11.88"/>
    <col customWidth="1" min="8" max="8" width="6.75"/>
    <col customWidth="1" min="9" max="9" width="4.25"/>
    <col customWidth="1" min="10" max="10" width="6.5"/>
    <col customWidth="1" min="11" max="11" width="7.13"/>
    <col customWidth="1" min="12" max="12" width="6.5"/>
    <col customWidth="1" min="13" max="13" width="8.88"/>
    <col customWidth="1" min="14" max="14" width="9.38"/>
    <col customWidth="1" min="15" max="15" width="10.0"/>
  </cols>
  <sheetData>
    <row r="4">
      <c r="A4" s="1" t="s">
        <v>457</v>
      </c>
      <c r="B4" s="1" t="s">
        <v>458</v>
      </c>
      <c r="C4" s="1" t="s">
        <v>459</v>
      </c>
      <c r="D4" s="1" t="s">
        <v>460</v>
      </c>
      <c r="E4" s="1" t="s">
        <v>461</v>
      </c>
      <c r="F4" s="1" t="s">
        <v>462</v>
      </c>
      <c r="G4" s="1" t="s">
        <v>475</v>
      </c>
      <c r="H4" s="1" t="s">
        <v>464</v>
      </c>
      <c r="I4" s="1" t="s">
        <v>465</v>
      </c>
      <c r="J4" s="1" t="s">
        <v>466</v>
      </c>
      <c r="K4" s="1" t="s">
        <v>467</v>
      </c>
      <c r="L4" s="1" t="s">
        <v>468</v>
      </c>
      <c r="M4" s="1" t="s">
        <v>469</v>
      </c>
      <c r="N4" s="1" t="s">
        <v>470</v>
      </c>
      <c r="O4" s="1" t="s">
        <v>471</v>
      </c>
    </row>
    <row r="5">
      <c r="A5" s="1" t="s">
        <v>476</v>
      </c>
      <c r="F5" s="1" t="s">
        <v>293</v>
      </c>
      <c r="G5" s="1">
        <v>2.0</v>
      </c>
      <c r="H5" s="1">
        <v>1.0</v>
      </c>
      <c r="I5" s="1">
        <v>16.0</v>
      </c>
      <c r="J5" s="1">
        <v>20.0</v>
      </c>
      <c r="K5" s="1">
        <f>I5*J5*G5</f>
        <v>640</v>
      </c>
      <c r="L5" s="1">
        <v>3.0</v>
      </c>
      <c r="M5" s="6">
        <f>I5*(2^((L5-H5)*2))</f>
        <v>256</v>
      </c>
      <c r="N5" s="6">
        <f>ROUNDUP(IF(F5="Chemical Reactor",J5/(2^((L5-H5)*2)),J5/(2^(L5-H5))),0)</f>
        <v>2</v>
      </c>
      <c r="O5" s="6">
        <f>M5*N5*G5</f>
        <v>1024</v>
      </c>
    </row>
    <row r="6">
      <c r="B6" s="1" t="s">
        <v>227</v>
      </c>
      <c r="C6" s="1">
        <v>500.0</v>
      </c>
      <c r="D6" s="1" t="s">
        <v>477</v>
      </c>
      <c r="E6" s="1">
        <v>1000.0</v>
      </c>
    </row>
    <row r="7">
      <c r="B7" s="1" t="s">
        <v>164</v>
      </c>
      <c r="C7" s="1">
        <v>600.0</v>
      </c>
      <c r="D7" s="1" t="s">
        <v>478</v>
      </c>
      <c r="E7" s="1">
        <v>1000.0</v>
      </c>
      <c r="V7" s="7" t="s">
        <v>281</v>
      </c>
      <c r="W7" s="7" t="s">
        <v>8</v>
      </c>
      <c r="X7" s="7" t="s">
        <v>482</v>
      </c>
    </row>
    <row r="8">
      <c r="B8" s="1" t="s">
        <v>157</v>
      </c>
      <c r="C8" s="1">
        <v>2000.0</v>
      </c>
      <c r="D8" s="6"/>
      <c r="V8" s="6" t="str">
        <f>VLOOKUP(T8,'Item List'!A2:D6,2,FALSE)</f>
        <v>#N/A</v>
      </c>
      <c r="W8" s="6" t="str">
        <f>VLOOKUP(T8,'Item List'!A2:D6,3,FALSE)</f>
        <v>#N/A</v>
      </c>
      <c r="X8" s="6" t="str">
        <f>VLOOKUP(T8,'Item List'!A2:D6,4,FALSE)</f>
        <v>#N/A</v>
      </c>
    </row>
    <row r="9">
      <c r="A9" s="1" t="s">
        <v>483</v>
      </c>
      <c r="F9" s="1" t="s">
        <v>355</v>
      </c>
      <c r="G9" s="1">
        <v>3.0</v>
      </c>
      <c r="H9" s="1">
        <v>2.0</v>
      </c>
      <c r="I9" s="1">
        <v>120.0</v>
      </c>
      <c r="J9" s="1">
        <v>60.0</v>
      </c>
      <c r="K9" s="1">
        <f>I9*J9*G9</f>
        <v>21600</v>
      </c>
      <c r="L9" s="1">
        <v>12.0</v>
      </c>
      <c r="M9" s="6">
        <f>I9*(2^((L9-H9)*2))</f>
        <v>125829120</v>
      </c>
      <c r="N9" s="6">
        <f>ROUNDUP(IF(F9="Chemical Reactor",J9/(2^((L9-H9)*2)),J9/(2^(L9-H9))),0)</f>
        <v>1</v>
      </c>
      <c r="O9" s="6">
        <f>M9*N9*G9</f>
        <v>377487360</v>
      </c>
      <c r="V9" s="6" t="str">
        <f>VLOOKUP(T9,'Item List'!A2:D6,2,FALSE)</f>
        <v>#N/A</v>
      </c>
      <c r="W9" s="6" t="str">
        <f>VLOOKUP(T9,'Item List'!A2:D6,3,FALSE)</f>
        <v>#N/A</v>
      </c>
      <c r="X9" s="6" t="str">
        <f>VLOOKUP(T9,'Item List'!A2:D6,4,FALSE)</f>
        <v>#N/A</v>
      </c>
    </row>
    <row r="10">
      <c r="B10" s="1" t="s">
        <v>478</v>
      </c>
      <c r="C10" s="1">
        <v>500.0</v>
      </c>
      <c r="D10" s="1" t="s">
        <v>477</v>
      </c>
      <c r="E10" s="1">
        <v>250.0</v>
      </c>
      <c r="V10" s="6" t="str">
        <f>VLOOKUP(T10,'Item List'!A2:D6,2,FALSE)</f>
        <v>#N/A</v>
      </c>
      <c r="W10" s="6" t="str">
        <f>VLOOKUP(T10,'Item List'!A2:D6,3,FALSE)</f>
        <v>#N/A</v>
      </c>
      <c r="X10" s="6" t="str">
        <f>VLOOKUP(T10,'Item List'!A2:D6,4,FALSE)</f>
        <v>#N/A</v>
      </c>
    </row>
    <row r="11">
      <c r="B11" s="1" t="s">
        <v>164</v>
      </c>
      <c r="C11" s="1">
        <v>1000.0</v>
      </c>
      <c r="D11" s="1" t="s">
        <v>227</v>
      </c>
      <c r="E11" s="1">
        <v>1000.0</v>
      </c>
      <c r="V11" s="6" t="str">
        <f>VLOOKUP(T11,'Item List'!A2:D6,2,FALSE)</f>
        <v>#N/A</v>
      </c>
      <c r="W11" s="6" t="str">
        <f>VLOOKUP(T11,'Item List'!A2:D6,3,FALSE)</f>
        <v>#N/A</v>
      </c>
      <c r="X11" s="6" t="str">
        <f>VLOOKUP(T11,'Item List'!A2:D6,4,FALSE)</f>
        <v>#N/A</v>
      </c>
    </row>
    <row r="12">
      <c r="B12" s="6"/>
      <c r="D12" s="1" t="s">
        <v>157</v>
      </c>
      <c r="E12" s="1">
        <v>3000.0</v>
      </c>
      <c r="V12" s="6" t="str">
        <f>VLOOKUP(T12,'Item List'!A2:D6,2,FALSE)</f>
        <v>#N/A</v>
      </c>
      <c r="W12" s="6" t="str">
        <f>VLOOKUP(T12,'Item List'!A2:D6,3,FALSE)</f>
        <v>#N/A</v>
      </c>
      <c r="X12" s="6" t="str">
        <f>VLOOKUP(T12,'Item List'!A2:D6,4,FALSE)</f>
        <v>#N/A</v>
      </c>
    </row>
    <row r="21">
      <c r="B21" s="1" t="s">
        <v>477</v>
      </c>
      <c r="D21" s="1" t="s">
        <v>164</v>
      </c>
    </row>
    <row r="22">
      <c r="B22" s="6"/>
      <c r="D22" s="6"/>
    </row>
    <row r="23">
      <c r="B23" s="6"/>
      <c r="D23" s="6"/>
    </row>
    <row r="24">
      <c r="B24" s="6"/>
      <c r="D24" s="6"/>
    </row>
    <row r="25">
      <c r="B25" s="6"/>
      <c r="D25" s="6"/>
    </row>
    <row r="26">
      <c r="B26" s="6"/>
      <c r="D26" s="6"/>
    </row>
    <row r="30">
      <c r="K30" s="6"/>
    </row>
    <row r="31">
      <c r="K31" s="6"/>
    </row>
    <row r="32">
      <c r="K32" s="6"/>
    </row>
    <row r="35"/>
    <row r="36"/>
    <row r="37"/>
    <row r="38"/>
    <row r="39"/>
  </sheetData>
  <dataValidations>
    <dataValidation type="decimal" operator="lessThanOrEqual" allowBlank="1" showDropDown="1" showInputMessage="1" prompt="Enter a number less than or equal to 3" sqref="V8:V10 K30:K32">
      <formula1>3.0</formula1>
    </dataValidation>
    <dataValidation type="list" allowBlank="1" sqref="B6:B8 D6:D8 B10:B12 D10:D12 B21:B26 D21:D26">
      <formula1>'Item List'!$A$2:$A$6</formula1>
    </dataValidation>
  </dataValidation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4.5"/>
    <col customWidth="1" min="3" max="3" width="20.38"/>
    <col customWidth="1" min="4" max="4" width="6.38"/>
    <col customWidth="1" min="5" max="5" width="20.38"/>
    <col customWidth="1" min="6" max="6" width="7.75"/>
    <col customWidth="1" min="7" max="7" width="13.88"/>
    <col customWidth="1" min="8" max="8" width="20.0"/>
    <col customWidth="1" min="9" max="9" width="9.5"/>
    <col customWidth="1" min="10" max="10" width="8.0"/>
    <col customWidth="1" min="11" max="11" width="11.63"/>
    <col customWidth="1" min="12" max="12" width="10.88"/>
    <col customWidth="1" min="13" max="13" width="4.25"/>
    <col customWidth="1" min="14" max="14" width="6.5"/>
    <col customWidth="1" min="15" max="15" width="7.13"/>
    <col customWidth="1" min="16" max="16" width="11.63"/>
    <col customWidth="1" min="17" max="17" width="13.75"/>
    <col customWidth="1" min="18" max="18" width="7.13"/>
    <col customWidth="1" min="19" max="19" width="9.38"/>
    <col customWidth="1" min="20" max="20" width="10.0"/>
    <col customWidth="1" min="21" max="21" width="4.75"/>
    <col customWidth="1" min="23" max="23" width="4.63"/>
    <col customWidth="1" min="24" max="24" width="23.88"/>
    <col customWidth="1" min="25" max="25" width="13.88"/>
    <col customWidth="1" min="26" max="27" width="15.5"/>
    <col customWidth="1" min="28" max="28" width="22.75"/>
    <col customWidth="1" min="29" max="29" width="9.25"/>
    <col customWidth="1" min="30" max="30" width="10.25"/>
    <col customWidth="1" min="31" max="31" width="9.25"/>
    <col customWidth="1" min="32" max="32" width="22.75"/>
    <col customWidth="1" min="33" max="33" width="14.0"/>
    <col customWidth="1" min="34" max="34" width="9.25"/>
    <col customWidth="1" min="35" max="35" width="11.25"/>
    <col customWidth="1" min="36" max="36" width="5.25"/>
    <col customWidth="1" min="37" max="37" width="18.88"/>
    <col customWidth="1" min="38" max="38" width="16.5"/>
    <col customWidth="1" min="39" max="39" width="18.88"/>
    <col customWidth="1" min="40" max="40" width="8.38"/>
    <col customWidth="1" min="41" max="41" width="18.88"/>
    <col customWidth="1" min="42" max="42" width="18.63"/>
    <col customWidth="1" min="43" max="43" width="18.88"/>
    <col customWidth="1" min="44" max="44" width="4.63"/>
  </cols>
  <sheetData>
    <row r="1">
      <c r="A1" s="8"/>
      <c r="B1" s="9" t="s">
        <v>489</v>
      </c>
      <c r="C1" s="10"/>
      <c r="D1" s="10"/>
      <c r="E1" s="10"/>
      <c r="F1" s="10"/>
      <c r="G1" s="10"/>
      <c r="H1" s="10"/>
      <c r="I1" s="10"/>
      <c r="J1" s="10"/>
      <c r="K1" s="10"/>
      <c r="L1" s="10"/>
      <c r="M1" s="10"/>
      <c r="N1" s="10"/>
      <c r="O1" s="10"/>
      <c r="P1" s="10"/>
      <c r="Q1" s="10"/>
      <c r="R1" s="10"/>
      <c r="S1" s="10"/>
      <c r="T1" s="10"/>
      <c r="U1" s="11"/>
      <c r="V1" s="12" t="s">
        <v>490</v>
      </c>
      <c r="W1" s="8"/>
      <c r="X1" s="9" t="s">
        <v>489</v>
      </c>
      <c r="Y1" s="10"/>
      <c r="Z1" s="10"/>
      <c r="AA1" s="10"/>
      <c r="AB1" s="10"/>
      <c r="AC1" s="10"/>
      <c r="AD1" s="10"/>
      <c r="AE1" s="10"/>
      <c r="AF1" s="10"/>
      <c r="AG1" s="10"/>
      <c r="AH1" s="10"/>
      <c r="AI1" s="10"/>
      <c r="AJ1" s="10"/>
      <c r="AK1" s="10"/>
      <c r="AL1" s="10"/>
      <c r="AM1" s="10"/>
      <c r="AN1" s="10"/>
      <c r="AO1" s="10"/>
      <c r="AP1" s="10"/>
      <c r="AQ1" s="10"/>
      <c r="AR1" s="13"/>
    </row>
    <row r="2">
      <c r="A2" s="14"/>
      <c r="B2" s="15" t="s">
        <v>491</v>
      </c>
      <c r="C2" s="16"/>
      <c r="D2" s="16"/>
      <c r="E2" s="16"/>
      <c r="F2" s="16"/>
      <c r="G2" s="16"/>
      <c r="H2" s="16"/>
      <c r="I2" s="16"/>
      <c r="J2" s="16"/>
      <c r="K2" s="16"/>
      <c r="L2" s="16"/>
      <c r="M2" s="16"/>
      <c r="N2" s="16"/>
      <c r="O2" s="16"/>
      <c r="P2" s="16"/>
      <c r="Q2" s="16"/>
      <c r="R2" s="16"/>
      <c r="S2" s="16"/>
      <c r="T2" s="16"/>
      <c r="U2" s="17"/>
      <c r="V2" s="12" t="s">
        <v>492</v>
      </c>
      <c r="W2" s="14"/>
      <c r="X2" s="15" t="s">
        <v>491</v>
      </c>
      <c r="Y2" s="16"/>
      <c r="Z2" s="16"/>
      <c r="AA2" s="16"/>
      <c r="AB2" s="16"/>
      <c r="AC2" s="16"/>
      <c r="AD2" s="16"/>
      <c r="AE2" s="16"/>
      <c r="AF2" s="16"/>
      <c r="AG2" s="16"/>
      <c r="AH2" s="16"/>
      <c r="AI2" s="16"/>
      <c r="AJ2" s="16"/>
      <c r="AK2" s="16"/>
      <c r="AL2" s="16"/>
      <c r="AM2" s="16"/>
      <c r="AN2" s="16"/>
      <c r="AO2" s="16"/>
      <c r="AP2" s="16"/>
      <c r="AQ2" s="16"/>
      <c r="AR2" s="18"/>
    </row>
    <row r="3">
      <c r="A3" s="19"/>
      <c r="B3" s="20"/>
      <c r="C3" s="20"/>
      <c r="D3" s="20"/>
      <c r="E3" s="20"/>
      <c r="F3" s="20"/>
      <c r="G3" s="20"/>
      <c r="H3" s="20"/>
      <c r="I3" s="20"/>
      <c r="J3" s="20"/>
      <c r="K3" s="20"/>
      <c r="L3" s="20"/>
      <c r="M3" s="20"/>
      <c r="N3" s="20"/>
      <c r="O3" s="20"/>
      <c r="P3" s="20"/>
      <c r="Q3" s="20"/>
      <c r="R3" s="20"/>
      <c r="S3" s="20"/>
      <c r="T3" s="20"/>
      <c r="U3" s="21"/>
      <c r="V3" s="22"/>
      <c r="W3" s="19"/>
      <c r="X3" s="20"/>
      <c r="Y3" s="20"/>
      <c r="Z3" s="20"/>
      <c r="AA3" s="20"/>
      <c r="AB3" s="20"/>
      <c r="AC3" s="20"/>
      <c r="AD3" s="20"/>
      <c r="AE3" s="20"/>
      <c r="AF3" s="20"/>
      <c r="AG3" s="20"/>
      <c r="AH3" s="20"/>
      <c r="AI3" s="20"/>
      <c r="AJ3" s="20"/>
      <c r="AK3" s="20"/>
      <c r="AL3" s="20"/>
      <c r="AM3" s="20"/>
      <c r="AN3" s="20"/>
      <c r="AO3" s="20"/>
      <c r="AP3" s="20"/>
      <c r="AQ3" s="20"/>
      <c r="AR3" s="21"/>
    </row>
    <row r="4">
      <c r="A4" s="23"/>
      <c r="B4" s="24" t="s">
        <v>457</v>
      </c>
      <c r="C4" s="25" t="s">
        <v>458</v>
      </c>
      <c r="D4" s="25" t="s">
        <v>459</v>
      </c>
      <c r="E4" s="25" t="s">
        <v>460</v>
      </c>
      <c r="F4" s="25" t="s">
        <v>461</v>
      </c>
      <c r="G4" s="25"/>
      <c r="H4" s="25" t="s">
        <v>462</v>
      </c>
      <c r="I4" s="25" t="s">
        <v>493</v>
      </c>
      <c r="J4" s="25" t="s">
        <v>494</v>
      </c>
      <c r="K4" s="25" t="s">
        <v>495</v>
      </c>
      <c r="L4" s="25" t="s">
        <v>421</v>
      </c>
      <c r="M4" s="25" t="s">
        <v>465</v>
      </c>
      <c r="N4" s="25" t="s">
        <v>466</v>
      </c>
      <c r="O4" s="25" t="s">
        <v>467</v>
      </c>
      <c r="P4" s="25" t="s">
        <v>468</v>
      </c>
      <c r="Q4" s="25" t="s">
        <v>496</v>
      </c>
      <c r="R4" s="25" t="s">
        <v>469</v>
      </c>
      <c r="S4" s="25" t="s">
        <v>470</v>
      </c>
      <c r="T4" s="26" t="s">
        <v>471</v>
      </c>
      <c r="U4" s="27"/>
      <c r="V4" s="28"/>
      <c r="W4" s="29"/>
      <c r="AF4" s="6" t="s">
        <v>458</v>
      </c>
      <c r="AG4" s="6" t="s">
        <v>497</v>
      </c>
      <c r="AH4" s="7" t="s">
        <v>281</v>
      </c>
      <c r="AI4" s="7" t="s">
        <v>8</v>
      </c>
      <c r="AJ4" s="1" t="s">
        <v>9</v>
      </c>
      <c r="AK4" s="1"/>
      <c r="AM4" s="4" t="s">
        <v>498</v>
      </c>
      <c r="AO4" s="4" t="s">
        <v>499</v>
      </c>
      <c r="AP4" s="4" t="s">
        <v>500</v>
      </c>
      <c r="AQ4" s="4"/>
      <c r="AR4" s="30"/>
    </row>
    <row r="5">
      <c r="A5" s="23"/>
      <c r="B5" s="31" t="s">
        <v>501</v>
      </c>
      <c r="C5" s="32"/>
      <c r="D5" s="33"/>
      <c r="E5" s="33"/>
      <c r="F5" s="34"/>
      <c r="G5" s="35"/>
      <c r="H5" s="36" t="s">
        <v>293</v>
      </c>
      <c r="I5" s="37" t="s">
        <v>277</v>
      </c>
      <c r="J5" s="37">
        <v>1.0</v>
      </c>
      <c r="K5" s="38" t="s">
        <v>390</v>
      </c>
      <c r="L5" s="37">
        <f>VLOOKUP(K5,'Item Helper Sheet'!A2:B16,2,FALSE)</f>
        <v>1</v>
      </c>
      <c r="M5" s="37">
        <v>30.0</v>
      </c>
      <c r="N5" s="37">
        <f>ROUNDUP(20*20*I7/J5,0)</f>
        <v>400</v>
      </c>
      <c r="O5" s="37">
        <f>M5*N5*J5</f>
        <v>12000</v>
      </c>
      <c r="P5" s="38" t="s">
        <v>393</v>
      </c>
      <c r="Q5" s="37">
        <f>VLOOKUP(P5,'Item Helper Sheet'!A2:B16,2,FALSE)</f>
        <v>2</v>
      </c>
      <c r="R5" s="33">
        <f>M5*(2^((Q5-L5)*2))</f>
        <v>120</v>
      </c>
      <c r="S5" s="33">
        <f>ROUNDUP(IF(I5="Yes",N5/(2^((Q5-L5)*2)),N5/(2^(Q5-L5))),0)</f>
        <v>200</v>
      </c>
      <c r="T5" s="39">
        <f>R5*S5*J5</f>
        <v>24000</v>
      </c>
      <c r="U5" s="30"/>
      <c r="V5" s="28"/>
      <c r="W5" s="29"/>
      <c r="AF5" s="6" t="s">
        <v>48</v>
      </c>
      <c r="AG5" s="6">
        <v>0.0</v>
      </c>
      <c r="AH5" s="6">
        <f>VLOOKUP(AF5,'Item List'!$A$2:$D$300,2,FALSE)</f>
        <v>1</v>
      </c>
      <c r="AI5" s="6">
        <f>VLOOKUP(AF5,'Item List'!$A$2:$D$300,3,FALSE)</f>
        <v>4</v>
      </c>
      <c r="AJ5" s="6">
        <f>VLOOKUP(AF5,'Item List'!$A$2:$D$300,4,FALSE)</f>
        <v>1</v>
      </c>
      <c r="AM5" s="6">
        <f>AL11/AC17*20</f>
        <v>0.015625</v>
      </c>
      <c r="AO5" s="7">
        <f>Y16/AL11</f>
        <v>53400</v>
      </c>
      <c r="AP5" s="7">
        <f>Z16/AL11</f>
        <v>106800</v>
      </c>
      <c r="AQ5" s="7"/>
      <c r="AR5" s="30"/>
    </row>
    <row r="6">
      <c r="A6" s="29"/>
      <c r="B6" s="40"/>
      <c r="C6" s="41" t="s">
        <v>181</v>
      </c>
      <c r="D6" s="38">
        <f>1*I7</f>
        <v>1</v>
      </c>
      <c r="E6" s="38" t="s">
        <v>207</v>
      </c>
      <c r="F6" s="42">
        <f>1000*I7</f>
        <v>1000</v>
      </c>
      <c r="G6" s="43"/>
      <c r="H6" s="44"/>
      <c r="I6" s="45"/>
      <c r="J6" s="45"/>
      <c r="K6" s="45"/>
      <c r="L6" s="45"/>
      <c r="M6" s="45"/>
      <c r="N6" s="45"/>
      <c r="O6" s="45"/>
      <c r="P6" s="45"/>
      <c r="Q6" s="45"/>
      <c r="R6" s="45"/>
      <c r="S6" s="45"/>
      <c r="T6" s="46"/>
      <c r="U6" s="30"/>
      <c r="V6" s="28"/>
      <c r="W6" s="29"/>
      <c r="AF6" s="6" t="s">
        <v>181</v>
      </c>
      <c r="AG6" s="6">
        <v>-1.0</v>
      </c>
      <c r="AH6" s="6">
        <f>VLOOKUP(AF6,'Item List'!$A$2:$D$300,2,FALSE)</f>
        <v>1</v>
      </c>
      <c r="AI6" s="6">
        <f>VLOOKUP(AF6,'Item List'!$A$2:$D$300,3,FALSE)</f>
        <v>4</v>
      </c>
      <c r="AJ6" s="6">
        <f>VLOOKUP(AF6,'Item List'!$A$2:$D$300,4,FALSE)</f>
        <v>1</v>
      </c>
      <c r="AR6" s="30"/>
    </row>
    <row r="7">
      <c r="A7" s="29"/>
      <c r="B7" s="40"/>
      <c r="C7" s="41" t="s">
        <v>48</v>
      </c>
      <c r="D7" s="38">
        <f>4000*I7</f>
        <v>4000</v>
      </c>
      <c r="E7" s="45"/>
      <c r="F7" s="47"/>
      <c r="G7" s="43"/>
      <c r="H7" s="48" t="s">
        <v>502</v>
      </c>
      <c r="I7" s="49">
        <v>1.0</v>
      </c>
      <c r="J7" s="45"/>
      <c r="K7" s="45"/>
      <c r="L7" s="45"/>
      <c r="M7" s="45"/>
      <c r="N7" s="45"/>
      <c r="O7" s="45"/>
      <c r="P7" s="45"/>
      <c r="Q7" s="45"/>
      <c r="R7" s="45"/>
      <c r="S7" s="45"/>
      <c r="T7" s="46"/>
      <c r="U7" s="30"/>
      <c r="V7" s="28"/>
      <c r="W7" s="29"/>
      <c r="AF7" s="6" t="s">
        <v>201</v>
      </c>
      <c r="AG7" s="6">
        <v>0.0</v>
      </c>
      <c r="AH7" s="6">
        <f>VLOOKUP(AF7,'Item List'!$A$2:$D$300,2,FALSE)</f>
        <v>1</v>
      </c>
      <c r="AI7" s="6">
        <f>VLOOKUP(AF7,'Item List'!$A$2:$D$300,3,FALSE)</f>
        <v>4</v>
      </c>
      <c r="AJ7" s="6">
        <f>VLOOKUP(AF7,'Item List'!$A$2:$D$300,4,FALSE)</f>
        <v>1</v>
      </c>
      <c r="AL7" s="4" t="s">
        <v>503</v>
      </c>
      <c r="AM7" s="4" t="s">
        <v>504</v>
      </c>
      <c r="AO7" s="1" t="s">
        <v>505</v>
      </c>
      <c r="AP7" s="1" t="s">
        <v>506</v>
      </c>
      <c r="AQ7" s="1"/>
      <c r="AR7" s="30"/>
    </row>
    <row r="8">
      <c r="A8" s="29"/>
      <c r="B8" s="50"/>
      <c r="C8" s="51"/>
      <c r="D8" s="52"/>
      <c r="E8" s="52"/>
      <c r="F8" s="52"/>
      <c r="G8" s="43"/>
      <c r="H8" s="52"/>
      <c r="I8" s="52"/>
      <c r="J8" s="52"/>
      <c r="K8" s="52"/>
      <c r="L8" s="52"/>
      <c r="M8" s="52"/>
      <c r="N8" s="52"/>
      <c r="O8" s="52"/>
      <c r="P8" s="52"/>
      <c r="Q8" s="52"/>
      <c r="R8" s="52"/>
      <c r="S8" s="52"/>
      <c r="T8" s="53"/>
      <c r="U8" s="30"/>
      <c r="V8" s="28"/>
      <c r="W8" s="29"/>
      <c r="AF8" s="6" t="s">
        <v>206</v>
      </c>
      <c r="AG8" s="6">
        <v>1.0</v>
      </c>
      <c r="AH8" s="6">
        <f>VLOOKUP(AF8,'Item List'!$A$2:$D$300,2,FALSE)</f>
        <v>1</v>
      </c>
      <c r="AI8" s="6">
        <f>VLOOKUP(AF8,'Item List'!$A$2:$D$300,3,FALSE)</f>
        <v>5</v>
      </c>
      <c r="AJ8" s="6">
        <f>VLOOKUP(AF8,'Item List'!$A$2:$D$300,4,FALSE)</f>
        <v>3</v>
      </c>
      <c r="AL8" s="38" t="s">
        <v>206</v>
      </c>
      <c r="AM8" s="7">
        <f>AL11/AD17*20</f>
        <v>0.03125</v>
      </c>
      <c r="AO8" s="6">
        <f>AC17/AL11</f>
        <v>1280</v>
      </c>
      <c r="AP8" s="6">
        <f>AD17/AL11</f>
        <v>640</v>
      </c>
      <c r="AR8" s="30"/>
    </row>
    <row r="9">
      <c r="A9" s="23"/>
      <c r="B9" s="31" t="s">
        <v>507</v>
      </c>
      <c r="C9" s="54"/>
      <c r="D9" s="45"/>
      <c r="E9" s="45"/>
      <c r="F9" s="47"/>
      <c r="G9" s="35"/>
      <c r="H9" s="55" t="s">
        <v>293</v>
      </c>
      <c r="I9" s="38" t="s">
        <v>277</v>
      </c>
      <c r="J9" s="38">
        <v>1.0</v>
      </c>
      <c r="K9" s="38" t="s">
        <v>390</v>
      </c>
      <c r="L9" s="38">
        <f>VLOOKUP(K9,'Item Helper Sheet'!A2:B16,2,FALSE)</f>
        <v>1</v>
      </c>
      <c r="M9" s="38">
        <v>30.0</v>
      </c>
      <c r="N9" s="38">
        <f>ROUNDUP(5*20*I11/J9,0)</f>
        <v>100</v>
      </c>
      <c r="O9" s="38">
        <f>M9*N9*J9</f>
        <v>3000</v>
      </c>
      <c r="P9" s="38" t="s">
        <v>393</v>
      </c>
      <c r="Q9" s="38">
        <f>VLOOKUP(P9,'Item Helper Sheet'!A2:B16,2,FALSE)</f>
        <v>2</v>
      </c>
      <c r="R9" s="45">
        <f>M9*(2^((Q9-L9)*2))</f>
        <v>120</v>
      </c>
      <c r="S9" s="45">
        <f>ROUNDUP(IF(I9="Yes",N9/(2^((Q9-L9)*2)),N9/(2^(Q9-L9))),0)</f>
        <v>50</v>
      </c>
      <c r="T9" s="46">
        <f>R9*S9*J9</f>
        <v>6000</v>
      </c>
      <c r="U9" s="30"/>
      <c r="V9" s="28"/>
      <c r="W9" s="29"/>
      <c r="AF9" s="6" t="s">
        <v>207</v>
      </c>
      <c r="AG9" s="6">
        <v>0.0</v>
      </c>
      <c r="AH9" s="6">
        <f>VLOOKUP(AF9,'Item List'!$A$2:$D$300,2,FALSE)</f>
        <v>1</v>
      </c>
      <c r="AI9" s="6">
        <f>VLOOKUP(AF9,'Item List'!$A$2:$D$300,3,FALSE)</f>
        <v>4</v>
      </c>
      <c r="AJ9" s="6">
        <f>VLOOKUP(AF9,'Item List'!$A$2:$D$300,4,FALSE)</f>
        <v>2</v>
      </c>
      <c r="AR9" s="30"/>
    </row>
    <row r="10">
      <c r="A10" s="29"/>
      <c r="B10" s="40"/>
      <c r="C10" s="41" t="s">
        <v>213</v>
      </c>
      <c r="D10" s="38">
        <f>4*I11</f>
        <v>4</v>
      </c>
      <c r="E10" s="38" t="s">
        <v>206</v>
      </c>
      <c r="F10" s="42">
        <f>1*I11</f>
        <v>1</v>
      </c>
      <c r="G10" s="43"/>
      <c r="H10" s="44"/>
      <c r="I10" s="45"/>
      <c r="J10" s="45"/>
      <c r="K10" s="45"/>
      <c r="L10" s="45"/>
      <c r="M10" s="45"/>
      <c r="N10" s="45"/>
      <c r="O10" s="45"/>
      <c r="P10" s="45"/>
      <c r="Q10" s="45"/>
      <c r="R10" s="45"/>
      <c r="S10" s="45"/>
      <c r="T10" s="46"/>
      <c r="U10" s="30"/>
      <c r="V10" s="28"/>
      <c r="W10" s="29"/>
      <c r="AF10" s="6" t="s">
        <v>213</v>
      </c>
      <c r="AG10" s="6">
        <v>0.0</v>
      </c>
      <c r="AH10" s="6">
        <f>VLOOKUP(AF10,'Item List'!$A$2:$D$300,2,FALSE)</f>
        <v>1</v>
      </c>
      <c r="AI10" s="6">
        <f>VLOOKUP(AF10,'Item List'!$A$2:$D$300,3,FALSE)</f>
        <v>4</v>
      </c>
      <c r="AJ10" s="6">
        <f>VLOOKUP(AF10,'Item List'!$A$2:$D$300,4,FALSE)</f>
        <v>1</v>
      </c>
      <c r="AL10" s="1" t="s">
        <v>508</v>
      </c>
      <c r="AM10" s="1" t="s">
        <v>509</v>
      </c>
      <c r="AO10" s="1" t="s">
        <v>510</v>
      </c>
      <c r="AR10" s="30"/>
    </row>
    <row r="11">
      <c r="A11" s="29"/>
      <c r="B11" s="40"/>
      <c r="C11" s="41" t="s">
        <v>207</v>
      </c>
      <c r="D11" s="38">
        <f>1000*I11</f>
        <v>1000</v>
      </c>
      <c r="E11" s="38" t="s">
        <v>201</v>
      </c>
      <c r="F11" s="42">
        <f>8*I11</f>
        <v>8</v>
      </c>
      <c r="G11" s="43"/>
      <c r="H11" s="56" t="s">
        <v>502</v>
      </c>
      <c r="I11" s="57">
        <v>1.0</v>
      </c>
      <c r="J11" s="45"/>
      <c r="K11" s="45"/>
      <c r="L11" s="45"/>
      <c r="M11" s="45"/>
      <c r="N11" s="45"/>
      <c r="O11" s="45"/>
      <c r="P11" s="45"/>
      <c r="Q11" s="45"/>
      <c r="R11" s="45"/>
      <c r="S11" s="45"/>
      <c r="T11" s="46"/>
      <c r="U11" s="30"/>
      <c r="V11" s="28"/>
      <c r="W11" s="29"/>
      <c r="AL11" s="6">
        <f>VLOOKUP(AL8,E6:F15,2,FALSE)</f>
        <v>1</v>
      </c>
      <c r="AM11" s="1">
        <v>1.0</v>
      </c>
      <c r="AO11" s="6">
        <f>1/AM11*20</f>
        <v>20</v>
      </c>
      <c r="AR11" s="30"/>
    </row>
    <row r="12">
      <c r="A12" s="29"/>
      <c r="B12" s="50"/>
      <c r="C12" s="51"/>
      <c r="D12" s="52"/>
      <c r="E12" s="52"/>
      <c r="F12" s="52"/>
      <c r="G12" s="43"/>
      <c r="H12" s="52"/>
      <c r="I12" s="52"/>
      <c r="J12" s="52"/>
      <c r="K12" s="52"/>
      <c r="L12" s="52"/>
      <c r="M12" s="52"/>
      <c r="N12" s="52"/>
      <c r="O12" s="52"/>
      <c r="P12" s="52"/>
      <c r="Q12" s="52"/>
      <c r="R12" s="52"/>
      <c r="S12" s="52"/>
      <c r="T12" s="53"/>
      <c r="U12" s="30"/>
      <c r="V12" s="28"/>
      <c r="W12" s="29"/>
      <c r="X12" s="6" t="s">
        <v>457</v>
      </c>
      <c r="Y12" s="6" t="s">
        <v>467</v>
      </c>
      <c r="Z12" s="6" t="s">
        <v>511</v>
      </c>
      <c r="AB12" s="6" t="s">
        <v>457</v>
      </c>
      <c r="AC12" s="6" t="s">
        <v>466</v>
      </c>
      <c r="AD12" s="6" t="s">
        <v>470</v>
      </c>
      <c r="AF12" s="6" t="s">
        <v>457</v>
      </c>
      <c r="AG12" s="6" t="s">
        <v>484</v>
      </c>
      <c r="AH12" s="6" t="s">
        <v>485</v>
      </c>
      <c r="AI12" s="6" t="s">
        <v>486</v>
      </c>
      <c r="AR12" s="30"/>
    </row>
    <row r="13">
      <c r="A13" s="23"/>
      <c r="B13" s="31" t="s">
        <v>512</v>
      </c>
      <c r="C13" s="54"/>
      <c r="D13" s="45"/>
      <c r="E13" s="45"/>
      <c r="F13" s="47"/>
      <c r="G13" s="35"/>
      <c r="H13" s="55" t="s">
        <v>303</v>
      </c>
      <c r="I13" s="38" t="s">
        <v>277</v>
      </c>
      <c r="J13" s="38">
        <v>1.0</v>
      </c>
      <c r="K13" s="38" t="s">
        <v>390</v>
      </c>
      <c r="L13" s="38">
        <f>VLOOKUP(K13,'Item Helper Sheet'!A2:B16,2,FALSE)</f>
        <v>1</v>
      </c>
      <c r="M13" s="38">
        <v>30.0</v>
      </c>
      <c r="N13" s="38">
        <f>ROUNDUP(16*20*I15/J13,0)</f>
        <v>1280</v>
      </c>
      <c r="O13" s="38">
        <f>M13*N13*J13</f>
        <v>38400</v>
      </c>
      <c r="P13" s="38" t="s">
        <v>393</v>
      </c>
      <c r="Q13" s="38">
        <f>VLOOKUP(P13,'Item Helper Sheet'!A2:B16,2,FALSE)</f>
        <v>2</v>
      </c>
      <c r="R13" s="45">
        <f>M13*(2^((Q13-L13)*2))</f>
        <v>120</v>
      </c>
      <c r="S13" s="45">
        <f>ROUNDUP(IF(I13="Yes",N13/(2^((Q13-L13)*2)),N13/(2^(Q13-L13))),0)</f>
        <v>640</v>
      </c>
      <c r="T13" s="46">
        <f>R13*S13*J13</f>
        <v>76800</v>
      </c>
      <c r="U13" s="30"/>
      <c r="V13" s="28"/>
      <c r="W13" s="29"/>
      <c r="X13" s="6" t="s">
        <v>501</v>
      </c>
      <c r="Y13" s="6">
        <v>12000.0</v>
      </c>
      <c r="Z13" s="6">
        <v>24000.0</v>
      </c>
      <c r="AB13" s="6" t="s">
        <v>501</v>
      </c>
      <c r="AC13" s="6">
        <v>400.0</v>
      </c>
      <c r="AD13" s="6">
        <v>200.0</v>
      </c>
      <c r="AF13" s="6" t="s">
        <v>501</v>
      </c>
      <c r="AG13" s="6">
        <v>1.0</v>
      </c>
      <c r="AH13" s="6">
        <v>2.0</v>
      </c>
      <c r="AI13" s="6">
        <v>1.0</v>
      </c>
      <c r="AN13" s="1" t="s">
        <v>513</v>
      </c>
      <c r="AO13" s="1" t="s">
        <v>514</v>
      </c>
      <c r="AP13" s="1" t="s">
        <v>515</v>
      </c>
      <c r="AQ13" s="1" t="s">
        <v>516</v>
      </c>
      <c r="AR13" s="30"/>
    </row>
    <row r="14">
      <c r="A14" s="29"/>
      <c r="B14" s="40"/>
      <c r="C14" s="41" t="s">
        <v>201</v>
      </c>
      <c r="D14" s="38">
        <f>2*I15</f>
        <v>8</v>
      </c>
      <c r="E14" s="38" t="s">
        <v>213</v>
      </c>
      <c r="F14" s="42">
        <f>1*I15</f>
        <v>4</v>
      </c>
      <c r="G14" s="35"/>
      <c r="H14" s="44"/>
      <c r="I14" s="45"/>
      <c r="J14" s="45"/>
      <c r="K14" s="45"/>
      <c r="L14" s="45"/>
      <c r="M14" s="45"/>
      <c r="N14" s="45"/>
      <c r="O14" s="45"/>
      <c r="P14" s="45"/>
      <c r="Q14" s="45"/>
      <c r="R14" s="45"/>
      <c r="S14" s="45"/>
      <c r="T14" s="46"/>
      <c r="U14" s="30"/>
      <c r="V14" s="28"/>
      <c r="W14" s="29"/>
      <c r="X14" s="6" t="s">
        <v>507</v>
      </c>
      <c r="Y14" s="6">
        <v>3000.0</v>
      </c>
      <c r="Z14" s="6">
        <v>6000.0</v>
      </c>
      <c r="AB14" s="6" t="s">
        <v>507</v>
      </c>
      <c r="AC14" s="6">
        <v>100.0</v>
      </c>
      <c r="AD14" s="6">
        <v>50.0</v>
      </c>
      <c r="AF14" s="6" t="s">
        <v>507</v>
      </c>
      <c r="AG14" s="6">
        <v>1.0</v>
      </c>
      <c r="AH14" s="6">
        <v>2.0</v>
      </c>
      <c r="AI14" s="6">
        <v>1.0</v>
      </c>
      <c r="AN14" s="6">
        <f>VLOOKUP(AL14,X4:Y10,2)</f>
        <v>1</v>
      </c>
      <c r="AO14" s="6">
        <f>AN14/$AL$11</f>
        <v>1</v>
      </c>
      <c r="AP14" s="6">
        <f>$AM$8*AO14</f>
        <v>0.03125</v>
      </c>
      <c r="AQ14" s="6">
        <f>$AM$11*AO14</f>
        <v>1</v>
      </c>
      <c r="AR14" s="30"/>
    </row>
    <row r="15">
      <c r="A15" s="29"/>
      <c r="B15" s="58"/>
      <c r="C15" s="59"/>
      <c r="D15" s="60"/>
      <c r="E15" s="61" t="s">
        <v>48</v>
      </c>
      <c r="F15" s="62">
        <f>1000*I15</f>
        <v>4000</v>
      </c>
      <c r="G15" s="63"/>
      <c r="H15" s="64" t="s">
        <v>502</v>
      </c>
      <c r="I15" s="65">
        <v>4.0</v>
      </c>
      <c r="J15" s="60"/>
      <c r="K15" s="60"/>
      <c r="L15" s="60"/>
      <c r="M15" s="60"/>
      <c r="N15" s="60"/>
      <c r="O15" s="60"/>
      <c r="P15" s="60"/>
      <c r="Q15" s="60"/>
      <c r="R15" s="60"/>
      <c r="S15" s="60"/>
      <c r="T15" s="66"/>
      <c r="U15" s="30"/>
      <c r="V15" s="28"/>
      <c r="W15" s="29"/>
      <c r="X15" s="6" t="s">
        <v>512</v>
      </c>
      <c r="Y15" s="6">
        <v>38400.0</v>
      </c>
      <c r="Z15" s="6">
        <v>76800.0</v>
      </c>
      <c r="AB15" s="6" t="s">
        <v>512</v>
      </c>
      <c r="AC15" s="6">
        <v>1280.0</v>
      </c>
      <c r="AD15" s="6">
        <v>640.0</v>
      </c>
      <c r="AF15" s="6" t="s">
        <v>512</v>
      </c>
      <c r="AG15" s="6">
        <v>1.0</v>
      </c>
      <c r="AH15" s="6">
        <v>2.0</v>
      </c>
      <c r="AI15" s="6">
        <v>1.0</v>
      </c>
      <c r="AR15" s="30"/>
    </row>
    <row r="16">
      <c r="A16" s="29"/>
      <c r="U16" s="30"/>
      <c r="V16" s="28"/>
      <c r="W16" s="29"/>
      <c r="X16" s="6" t="s">
        <v>487</v>
      </c>
      <c r="Y16" s="6">
        <v>53400.0</v>
      </c>
      <c r="Z16" s="6">
        <v>106800.0</v>
      </c>
      <c r="AR16" s="30"/>
    </row>
    <row r="17">
      <c r="A17" s="29"/>
      <c r="C17" s="1" t="s">
        <v>206</v>
      </c>
      <c r="E17" s="1" t="s">
        <v>181</v>
      </c>
      <c r="N17" s="67"/>
      <c r="U17" s="30"/>
      <c r="V17" s="28"/>
      <c r="W17" s="29"/>
      <c r="AR17" s="30"/>
    </row>
    <row r="18">
      <c r="A18" s="29"/>
      <c r="U18" s="30"/>
      <c r="V18" s="28"/>
      <c r="W18" s="29"/>
      <c r="X18" s="6" t="s">
        <v>519</v>
      </c>
      <c r="Y18" s="6" t="s">
        <v>462</v>
      </c>
      <c r="Z18" s="6"/>
      <c r="AR18" s="30"/>
    </row>
    <row r="19">
      <c r="A19" s="29"/>
      <c r="C19" s="68"/>
      <c r="D19" s="68"/>
      <c r="E19" s="68"/>
      <c r="F19" s="68"/>
      <c r="G19" s="68"/>
      <c r="H19" s="68"/>
      <c r="I19" s="68"/>
      <c r="J19" s="68"/>
      <c r="K19" s="68"/>
      <c r="L19" s="68"/>
      <c r="M19" s="68"/>
      <c r="N19" s="68"/>
      <c r="O19" s="68"/>
      <c r="P19" s="68"/>
      <c r="Q19" s="68"/>
      <c r="R19" s="68"/>
      <c r="S19" s="68"/>
      <c r="T19" s="68"/>
      <c r="U19" s="69"/>
      <c r="V19" s="28"/>
      <c r="W19" s="29"/>
      <c r="X19" s="6" t="s">
        <v>457</v>
      </c>
      <c r="Y19" s="6" t="s">
        <v>293</v>
      </c>
      <c r="Z19" s="6" t="s">
        <v>303</v>
      </c>
      <c r="AB19" s="6" t="s">
        <v>519</v>
      </c>
      <c r="AC19" s="6" t="s">
        <v>495</v>
      </c>
      <c r="AD19" s="6"/>
      <c r="AF19" s="6" t="s">
        <v>519</v>
      </c>
      <c r="AG19" s="6" t="s">
        <v>468</v>
      </c>
      <c r="AH19" s="6"/>
      <c r="AR19" s="30"/>
    </row>
    <row r="20">
      <c r="A20" s="29"/>
      <c r="C20" s="4"/>
      <c r="D20" s="4"/>
      <c r="E20" s="4"/>
      <c r="F20" s="4"/>
      <c r="G20" s="4"/>
      <c r="H20" s="4"/>
      <c r="I20" s="4"/>
      <c r="J20" s="4"/>
      <c r="K20" s="7"/>
      <c r="L20" s="7"/>
      <c r="M20" s="7"/>
      <c r="N20" s="4"/>
      <c r="O20" s="4"/>
      <c r="P20" s="4"/>
      <c r="Q20" s="4"/>
      <c r="R20" s="4"/>
      <c r="S20" s="4"/>
      <c r="T20" s="4"/>
      <c r="U20" s="70"/>
      <c r="V20" s="28"/>
      <c r="W20" s="29"/>
      <c r="X20" s="6" t="s">
        <v>501</v>
      </c>
      <c r="Y20" s="6">
        <v>1.0</v>
      </c>
      <c r="Z20" s="6"/>
      <c r="AB20" s="6" t="s">
        <v>462</v>
      </c>
      <c r="AC20" s="6" t="s">
        <v>390</v>
      </c>
      <c r="AD20" s="6" t="s">
        <v>487</v>
      </c>
      <c r="AF20" s="6" t="s">
        <v>462</v>
      </c>
      <c r="AG20" s="6" t="s">
        <v>393</v>
      </c>
      <c r="AH20" s="6" t="s">
        <v>487</v>
      </c>
      <c r="AR20" s="30"/>
    </row>
    <row r="21">
      <c r="A21" s="29"/>
      <c r="U21" s="30"/>
      <c r="V21" s="28"/>
      <c r="W21" s="29"/>
      <c r="X21" s="6" t="s">
        <v>507</v>
      </c>
      <c r="Y21" s="6">
        <v>1.0</v>
      </c>
      <c r="Z21" s="6"/>
      <c r="AB21" s="6" t="s">
        <v>293</v>
      </c>
      <c r="AC21" s="6">
        <v>2.0</v>
      </c>
      <c r="AD21" s="6">
        <v>2.0</v>
      </c>
      <c r="AF21" s="6" t="s">
        <v>293</v>
      </c>
      <c r="AG21" s="6">
        <v>2.0</v>
      </c>
      <c r="AH21" s="6">
        <v>2.0</v>
      </c>
      <c r="AR21" s="30"/>
    </row>
    <row r="22">
      <c r="A22" s="29"/>
      <c r="U22" s="30"/>
      <c r="V22" s="28"/>
      <c r="W22" s="29"/>
      <c r="X22" s="6" t="s">
        <v>512</v>
      </c>
      <c r="Y22" s="6"/>
      <c r="Z22" s="6">
        <v>1.0</v>
      </c>
      <c r="AB22" s="6" t="s">
        <v>303</v>
      </c>
      <c r="AC22" s="6">
        <v>1.0</v>
      </c>
      <c r="AD22" s="6">
        <v>1.0</v>
      </c>
      <c r="AF22" s="6" t="s">
        <v>303</v>
      </c>
      <c r="AG22" s="6">
        <v>1.0</v>
      </c>
      <c r="AH22" s="6">
        <v>1.0</v>
      </c>
      <c r="AR22" s="30"/>
    </row>
    <row r="23">
      <c r="A23" s="29"/>
      <c r="U23" s="30"/>
      <c r="V23" s="28"/>
      <c r="W23" s="29"/>
      <c r="X23" s="6" t="s">
        <v>487</v>
      </c>
      <c r="Y23" s="6">
        <v>2.0</v>
      </c>
      <c r="Z23" s="6">
        <v>1.0</v>
      </c>
      <c r="AB23" s="6" t="s">
        <v>487</v>
      </c>
      <c r="AC23" s="6">
        <v>3.0</v>
      </c>
      <c r="AD23" s="6">
        <v>3.0</v>
      </c>
      <c r="AF23" s="6" t="s">
        <v>487</v>
      </c>
      <c r="AG23" s="6">
        <v>3.0</v>
      </c>
      <c r="AH23" s="6">
        <v>3.0</v>
      </c>
      <c r="AR23" s="30"/>
    </row>
    <row r="24">
      <c r="A24" s="71"/>
      <c r="B24" s="72"/>
      <c r="C24" s="72"/>
      <c r="D24" s="72"/>
      <c r="E24" s="72"/>
      <c r="F24" s="72"/>
      <c r="G24" s="72"/>
      <c r="H24" s="72"/>
      <c r="I24" s="72"/>
      <c r="J24" s="72"/>
      <c r="K24" s="72"/>
      <c r="L24" s="72"/>
      <c r="M24" s="72"/>
      <c r="N24" s="72"/>
      <c r="O24" s="72"/>
      <c r="P24" s="72"/>
      <c r="Q24" s="72"/>
      <c r="R24" s="72"/>
      <c r="S24" s="72"/>
      <c r="T24" s="72"/>
      <c r="U24" s="73"/>
      <c r="V24" s="28"/>
      <c r="W24" s="71"/>
      <c r="X24" s="72"/>
      <c r="Y24" s="72"/>
      <c r="Z24" s="72"/>
      <c r="AA24" s="72"/>
      <c r="AB24" s="72"/>
      <c r="AC24" s="72"/>
      <c r="AD24" s="72"/>
      <c r="AE24" s="72"/>
      <c r="AF24" s="72"/>
      <c r="AG24" s="72"/>
      <c r="AH24" s="72"/>
      <c r="AI24" s="72"/>
      <c r="AJ24" s="72"/>
      <c r="AK24" s="72"/>
      <c r="AL24" s="72"/>
      <c r="AM24" s="72"/>
      <c r="AN24" s="72"/>
      <c r="AO24" s="72"/>
      <c r="AP24" s="72"/>
      <c r="AQ24" s="72"/>
      <c r="AR24" s="73"/>
    </row>
    <row r="25">
      <c r="A25" s="8"/>
      <c r="B25" s="9" t="s">
        <v>520</v>
      </c>
      <c r="C25" s="10"/>
      <c r="D25" s="10"/>
      <c r="E25" s="10"/>
      <c r="F25" s="10"/>
      <c r="G25" s="10"/>
      <c r="H25" s="10"/>
      <c r="I25" s="10"/>
      <c r="J25" s="10"/>
      <c r="K25" s="10"/>
      <c r="L25" s="10"/>
      <c r="M25" s="10"/>
      <c r="N25" s="10"/>
      <c r="O25" s="10"/>
      <c r="P25" s="10"/>
      <c r="Q25" s="10"/>
      <c r="R25" s="10"/>
      <c r="S25" s="10"/>
      <c r="T25" s="10"/>
      <c r="U25" s="11"/>
      <c r="V25" s="12" t="s">
        <v>490</v>
      </c>
      <c r="W25" s="8"/>
      <c r="X25" s="9" t="s">
        <v>520</v>
      </c>
      <c r="Y25" s="10"/>
      <c r="Z25" s="10"/>
      <c r="AA25" s="10"/>
      <c r="AB25" s="10"/>
      <c r="AC25" s="10"/>
      <c r="AD25" s="10"/>
      <c r="AE25" s="10"/>
      <c r="AF25" s="10"/>
      <c r="AG25" s="10"/>
      <c r="AH25" s="10"/>
      <c r="AI25" s="10"/>
      <c r="AJ25" s="10"/>
      <c r="AK25" s="10"/>
      <c r="AL25" s="10"/>
      <c r="AM25" s="10"/>
      <c r="AN25" s="10"/>
      <c r="AO25" s="10"/>
      <c r="AP25" s="10"/>
      <c r="AQ25" s="10"/>
      <c r="AR25" s="13"/>
    </row>
    <row r="26">
      <c r="A26" s="14"/>
      <c r="B26" s="15" t="s">
        <v>521</v>
      </c>
      <c r="C26" s="16"/>
      <c r="D26" s="16"/>
      <c r="E26" s="16"/>
      <c r="F26" s="16"/>
      <c r="G26" s="16"/>
      <c r="H26" s="16"/>
      <c r="I26" s="16"/>
      <c r="J26" s="16"/>
      <c r="K26" s="16"/>
      <c r="L26" s="16"/>
      <c r="M26" s="16"/>
      <c r="N26" s="16"/>
      <c r="O26" s="16"/>
      <c r="P26" s="16"/>
      <c r="Q26" s="16"/>
      <c r="R26" s="16"/>
      <c r="S26" s="16"/>
      <c r="T26" s="16"/>
      <c r="U26" s="17"/>
      <c r="V26" s="12" t="s">
        <v>492</v>
      </c>
      <c r="W26" s="14"/>
      <c r="X26" s="15" t="s">
        <v>521</v>
      </c>
      <c r="Y26" s="16"/>
      <c r="Z26" s="16"/>
      <c r="AA26" s="16"/>
      <c r="AB26" s="16"/>
      <c r="AC26" s="16"/>
      <c r="AD26" s="16"/>
      <c r="AE26" s="16"/>
      <c r="AF26" s="16"/>
      <c r="AG26" s="16"/>
      <c r="AH26" s="16"/>
      <c r="AI26" s="16"/>
      <c r="AJ26" s="16"/>
      <c r="AK26" s="16"/>
      <c r="AL26" s="16"/>
      <c r="AM26" s="16"/>
      <c r="AN26" s="16"/>
      <c r="AO26" s="16"/>
      <c r="AP26" s="16"/>
      <c r="AQ26" s="16"/>
      <c r="AR26" s="18"/>
    </row>
    <row r="27">
      <c r="V27" s="22"/>
    </row>
    <row r="28">
      <c r="A28" s="1"/>
      <c r="B28" s="24" t="s">
        <v>457</v>
      </c>
      <c r="C28" s="25" t="s">
        <v>458</v>
      </c>
      <c r="D28" s="25" t="s">
        <v>459</v>
      </c>
      <c r="E28" s="25" t="s">
        <v>460</v>
      </c>
      <c r="F28" s="25" t="s">
        <v>461</v>
      </c>
      <c r="G28" s="25"/>
      <c r="H28" s="25" t="s">
        <v>462</v>
      </c>
      <c r="I28" s="25" t="s">
        <v>493</v>
      </c>
      <c r="J28" s="25" t="s">
        <v>494</v>
      </c>
      <c r="K28" s="25" t="s">
        <v>495</v>
      </c>
      <c r="L28" s="25" t="s">
        <v>421</v>
      </c>
      <c r="M28" s="25" t="s">
        <v>465</v>
      </c>
      <c r="N28" s="25" t="s">
        <v>466</v>
      </c>
      <c r="O28" s="25" t="s">
        <v>467</v>
      </c>
      <c r="P28" s="25" t="s">
        <v>468</v>
      </c>
      <c r="Q28" s="25" t="s">
        <v>496</v>
      </c>
      <c r="R28" s="25" t="s">
        <v>469</v>
      </c>
      <c r="S28" s="25" t="s">
        <v>470</v>
      </c>
      <c r="T28" s="26" t="s">
        <v>471</v>
      </c>
      <c r="U28" s="1"/>
      <c r="V28" s="22"/>
      <c r="AF28" s="6" t="s">
        <v>458</v>
      </c>
      <c r="AG28" s="6" t="s">
        <v>497</v>
      </c>
      <c r="AH28" s="7" t="s">
        <v>281</v>
      </c>
      <c r="AI28" s="7" t="s">
        <v>8</v>
      </c>
      <c r="AJ28" s="1" t="s">
        <v>9</v>
      </c>
      <c r="AK28" s="1"/>
      <c r="AM28" s="4" t="s">
        <v>498</v>
      </c>
      <c r="AO28" s="4" t="s">
        <v>499</v>
      </c>
      <c r="AP28" s="4" t="s">
        <v>500</v>
      </c>
      <c r="AQ28" s="4"/>
    </row>
    <row r="29">
      <c r="A29" s="1"/>
      <c r="B29" s="74" t="s">
        <v>501</v>
      </c>
      <c r="C29" s="5"/>
      <c r="D29" s="5"/>
      <c r="E29" s="5"/>
      <c r="F29" s="5"/>
      <c r="G29" s="75"/>
      <c r="H29" s="76" t="s">
        <v>293</v>
      </c>
      <c r="I29" s="4" t="s">
        <v>277</v>
      </c>
      <c r="J29" s="4">
        <v>1.0</v>
      </c>
      <c r="K29" s="4" t="s">
        <v>390</v>
      </c>
      <c r="L29" s="4">
        <f>VLOOKUP(K29,'Item Helper Sheet'!A2:B16,2,FALSE)</f>
        <v>1</v>
      </c>
      <c r="M29" s="4">
        <v>30.0</v>
      </c>
      <c r="N29" s="4">
        <f>ROUNDUP(20*20*I31/J29,0)</f>
        <v>400</v>
      </c>
      <c r="O29" s="4">
        <f>M29*N29*J29</f>
        <v>12000</v>
      </c>
      <c r="P29" s="4" t="s">
        <v>393</v>
      </c>
      <c r="Q29" s="4">
        <f>VLOOKUP(P29,'Item Helper Sheet'!A2:B16,2,FALSE)</f>
        <v>2</v>
      </c>
      <c r="R29" s="5">
        <f>M29*(2^((Q29-L29)*2))</f>
        <v>120</v>
      </c>
      <c r="S29" s="5">
        <f>ROUNDUP(IF(I29="Yes",N29/(2^((Q29-L29)*2)),N29/(2^(Q29-L29))),0)</f>
        <v>200</v>
      </c>
      <c r="T29" s="77">
        <f>R29*S29*J29</f>
        <v>24000</v>
      </c>
      <c r="V29" s="22"/>
      <c r="AF29" s="6" t="s">
        <v>48</v>
      </c>
      <c r="AG29" s="6">
        <v>0.0</v>
      </c>
      <c r="AH29" s="6">
        <f>VLOOKUP(AF29,'Item List'!$A$2:$D$300,2,FALSE)</f>
        <v>1</v>
      </c>
      <c r="AI29" s="6">
        <f>VLOOKUP(AF29,'Item List'!$A$2:$D$300,3,FALSE)</f>
        <v>4</v>
      </c>
      <c r="AJ29" s="6">
        <f>VLOOKUP(AF29,'Item List'!$A$2:$D$300,4,FALSE)</f>
        <v>1</v>
      </c>
      <c r="AM29" s="6">
        <f>AL35/AC41*20</f>
        <v>0.05</v>
      </c>
      <c r="AO29" s="7">
        <f>Y40/AL35</f>
        <v>27840</v>
      </c>
      <c r="AP29" s="7">
        <f>Z40/AL35</f>
        <v>51840</v>
      </c>
      <c r="AQ29" s="7"/>
    </row>
    <row r="30">
      <c r="B30" s="78"/>
      <c r="C30" s="4" t="s">
        <v>522</v>
      </c>
      <c r="D30" s="4">
        <f>1*I31</f>
        <v>1</v>
      </c>
      <c r="E30" s="4" t="s">
        <v>207</v>
      </c>
      <c r="F30" s="4">
        <f>1000*I31</f>
        <v>1000</v>
      </c>
      <c r="G30" s="79"/>
      <c r="J30" s="5"/>
      <c r="K30" s="5"/>
      <c r="L30" s="5"/>
      <c r="M30" s="5"/>
      <c r="N30" s="5"/>
      <c r="O30" s="5"/>
      <c r="P30" s="5"/>
      <c r="Q30" s="5"/>
      <c r="R30" s="5"/>
      <c r="S30" s="5"/>
      <c r="T30" s="77"/>
      <c r="V30" s="22"/>
      <c r="AF30" s="6" t="s">
        <v>522</v>
      </c>
      <c r="AG30" s="6">
        <v>-1.0</v>
      </c>
      <c r="AH30" s="6" t="str">
        <f>VLOOKUP(AF30,'Item List'!$A$2:$D$300,2,FALSE)</f>
        <v>#N/A</v>
      </c>
      <c r="AI30" s="6" t="str">
        <f>VLOOKUP(AF30,'Item List'!$A$2:$D$300,3,FALSE)</f>
        <v>#N/A</v>
      </c>
      <c r="AJ30" s="6" t="str">
        <f>VLOOKUP(AF30,'Item List'!$A$2:$D$300,4,FALSE)</f>
        <v>#N/A</v>
      </c>
    </row>
    <row r="31">
      <c r="B31" s="78"/>
      <c r="C31" s="4" t="s">
        <v>48</v>
      </c>
      <c r="D31" s="4">
        <f>4000*I31</f>
        <v>4000</v>
      </c>
      <c r="E31" s="5"/>
      <c r="F31" s="5"/>
      <c r="G31" s="79"/>
      <c r="H31" s="76" t="s">
        <v>502</v>
      </c>
      <c r="I31" s="4">
        <v>1.0</v>
      </c>
      <c r="J31" s="5"/>
      <c r="K31" s="5"/>
      <c r="L31" s="5"/>
      <c r="M31" s="5"/>
      <c r="N31" s="5"/>
      <c r="O31" s="5"/>
      <c r="P31" s="5"/>
      <c r="Q31" s="5"/>
      <c r="R31" s="5"/>
      <c r="S31" s="5"/>
      <c r="T31" s="77"/>
      <c r="V31" s="22"/>
      <c r="AF31" s="6" t="s">
        <v>206</v>
      </c>
      <c r="AG31" s="6">
        <v>1.0</v>
      </c>
      <c r="AH31" s="6">
        <f>VLOOKUP(AF31,'Item List'!$A$2:$D$300,2,FALSE)</f>
        <v>1</v>
      </c>
      <c r="AI31" s="6">
        <f>VLOOKUP(AF31,'Item List'!$A$2:$D$300,3,FALSE)</f>
        <v>5</v>
      </c>
      <c r="AJ31" s="6">
        <f>VLOOKUP(AF31,'Item List'!$A$2:$D$300,4,FALSE)</f>
        <v>3</v>
      </c>
      <c r="AL31" s="4" t="s">
        <v>503</v>
      </c>
      <c r="AM31" s="4" t="s">
        <v>504</v>
      </c>
      <c r="AO31" s="1" t="s">
        <v>505</v>
      </c>
      <c r="AP31" s="1" t="s">
        <v>506</v>
      </c>
      <c r="AQ31" s="1"/>
    </row>
    <row r="32">
      <c r="B32" s="50"/>
      <c r="C32" s="52"/>
      <c r="D32" s="52"/>
      <c r="E32" s="52"/>
      <c r="F32" s="52"/>
      <c r="G32" s="43"/>
      <c r="H32" s="80"/>
      <c r="I32" s="52"/>
      <c r="J32" s="52"/>
      <c r="K32" s="52"/>
      <c r="L32" s="52"/>
      <c r="M32" s="52"/>
      <c r="N32" s="52"/>
      <c r="O32" s="52"/>
      <c r="P32" s="52"/>
      <c r="Q32" s="52"/>
      <c r="R32" s="52"/>
      <c r="S32" s="52"/>
      <c r="T32" s="53"/>
      <c r="V32" s="22"/>
      <c r="AF32" s="6" t="s">
        <v>207</v>
      </c>
      <c r="AG32" s="6">
        <v>0.0</v>
      </c>
      <c r="AH32" s="6">
        <f>VLOOKUP(AF32,'Item List'!$A$2:$D$300,2,FALSE)</f>
        <v>1</v>
      </c>
      <c r="AI32" s="6">
        <f>VLOOKUP(AF32,'Item List'!$A$2:$D$300,3,FALSE)</f>
        <v>4</v>
      </c>
      <c r="AJ32" s="6">
        <f>VLOOKUP(AF32,'Item List'!$A$2:$D$300,4,FALSE)</f>
        <v>2</v>
      </c>
      <c r="AL32" s="38" t="s">
        <v>206</v>
      </c>
      <c r="AM32" s="7">
        <f>AL35/AD41*20</f>
        <v>0.1</v>
      </c>
      <c r="AO32" s="6">
        <f>AC41/AL35</f>
        <v>400</v>
      </c>
      <c r="AP32" s="6">
        <f>AD41/AL35</f>
        <v>200</v>
      </c>
    </row>
    <row r="33">
      <c r="A33" s="1"/>
      <c r="B33" s="74" t="s">
        <v>507</v>
      </c>
      <c r="C33" s="5"/>
      <c r="D33" s="5"/>
      <c r="E33" s="5"/>
      <c r="F33" s="5"/>
      <c r="G33" s="75"/>
      <c r="H33" s="76" t="s">
        <v>293</v>
      </c>
      <c r="I33" s="4" t="s">
        <v>277</v>
      </c>
      <c r="J33" s="4">
        <v>1.0</v>
      </c>
      <c r="K33" s="4" t="s">
        <v>390</v>
      </c>
      <c r="L33" s="4">
        <f>VLOOKUP(K33,'Item Helper Sheet'!A2:B16,2,FALSE)</f>
        <v>1</v>
      </c>
      <c r="M33" s="4">
        <v>30.0</v>
      </c>
      <c r="N33" s="4">
        <f>ROUNDUP(20*20*I35/J33,0)</f>
        <v>400</v>
      </c>
      <c r="O33" s="4">
        <f>M33*N33*J33</f>
        <v>12000</v>
      </c>
      <c r="P33" s="4" t="s">
        <v>393</v>
      </c>
      <c r="Q33" s="4">
        <f>VLOOKUP(P33,'Item Helper Sheet'!A2:B16,2,FALSE)</f>
        <v>2</v>
      </c>
      <c r="R33" s="5">
        <f>M33*(2^((Q33-L33)*2))</f>
        <v>120</v>
      </c>
      <c r="S33" s="5">
        <f>ROUNDUP(IF(I33="Yes",N33/(2^((Q33-L33)*2)),N33/(2^(Q33-L33))),0)</f>
        <v>200</v>
      </c>
      <c r="T33" s="77">
        <f>R33*S33*J33</f>
        <v>24000</v>
      </c>
      <c r="V33" s="22"/>
      <c r="AF33" s="6" t="s">
        <v>523</v>
      </c>
      <c r="AG33" s="6">
        <v>0.0</v>
      </c>
      <c r="AH33" s="6" t="str">
        <f>VLOOKUP(AF33,'Item List'!$A$2:$D$300,2,FALSE)</f>
        <v>#N/A</v>
      </c>
      <c r="AI33" s="6" t="str">
        <f>VLOOKUP(AF33,'Item List'!$A$2:$D$300,3,FALSE)</f>
        <v>#N/A</v>
      </c>
      <c r="AJ33" s="6" t="str">
        <f>VLOOKUP(AF33,'Item List'!$A$2:$D$300,4,FALSE)</f>
        <v>#N/A</v>
      </c>
    </row>
    <row r="34">
      <c r="B34" s="78"/>
      <c r="C34" s="4" t="s">
        <v>523</v>
      </c>
      <c r="D34" s="4">
        <f>2*I35</f>
        <v>2</v>
      </c>
      <c r="E34" s="4" t="s">
        <v>206</v>
      </c>
      <c r="F34" s="4">
        <f>1*I35</f>
        <v>1</v>
      </c>
      <c r="G34" s="79"/>
      <c r="J34" s="5"/>
      <c r="K34" s="5"/>
      <c r="L34" s="5"/>
      <c r="M34" s="5"/>
      <c r="N34" s="5"/>
      <c r="O34" s="5"/>
      <c r="P34" s="5"/>
      <c r="Q34" s="5"/>
      <c r="R34" s="5"/>
      <c r="S34" s="5"/>
      <c r="T34" s="77"/>
      <c r="V34" s="22"/>
      <c r="AF34" s="6" t="s">
        <v>253</v>
      </c>
      <c r="AG34" s="6">
        <v>0.0</v>
      </c>
      <c r="AH34" s="6">
        <f>VLOOKUP(AF34,'Item List'!$A$2:$D$300,2,FALSE)</f>
        <v>2</v>
      </c>
      <c r="AI34" s="6">
        <f>VLOOKUP(AF34,'Item List'!$A$2:$D$300,3,FALSE)</f>
        <v>4</v>
      </c>
      <c r="AJ34" s="6">
        <f>VLOOKUP(AF34,'Item List'!$A$2:$D$300,4,FALSE)</f>
        <v>2</v>
      </c>
      <c r="AL34" s="1" t="s">
        <v>508</v>
      </c>
      <c r="AM34" s="1" t="s">
        <v>509</v>
      </c>
      <c r="AO34" s="1" t="s">
        <v>510</v>
      </c>
    </row>
    <row r="35">
      <c r="B35" s="78"/>
      <c r="C35" s="4" t="s">
        <v>207</v>
      </c>
      <c r="D35" s="4">
        <f>1000*I35</f>
        <v>1000</v>
      </c>
      <c r="E35" s="4" t="s">
        <v>253</v>
      </c>
      <c r="F35" s="4">
        <f>6*I35</f>
        <v>6</v>
      </c>
      <c r="G35" s="79"/>
      <c r="H35" s="76" t="s">
        <v>502</v>
      </c>
      <c r="I35" s="4">
        <v>1.0</v>
      </c>
      <c r="J35" s="5"/>
      <c r="K35" s="5"/>
      <c r="L35" s="5"/>
      <c r="M35" s="5"/>
      <c r="N35" s="5"/>
      <c r="O35" s="5"/>
      <c r="P35" s="5"/>
      <c r="Q35" s="5"/>
      <c r="R35" s="5"/>
      <c r="S35" s="5"/>
      <c r="T35" s="77"/>
      <c r="V35" s="22"/>
      <c r="AL35" s="6">
        <f>VLOOKUP(AL32,E28:F39,2,FALSE)</f>
        <v>1</v>
      </c>
      <c r="AM35" s="1">
        <v>1.0</v>
      </c>
      <c r="AO35" s="6">
        <f>1/AM35*20</f>
        <v>20</v>
      </c>
    </row>
    <row r="36">
      <c r="B36" s="50"/>
      <c r="C36" s="52"/>
      <c r="D36" s="52"/>
      <c r="E36" s="52"/>
      <c r="F36" s="52"/>
      <c r="G36" s="43"/>
      <c r="H36" s="80"/>
      <c r="I36" s="52"/>
      <c r="J36" s="52"/>
      <c r="K36" s="52"/>
      <c r="L36" s="52"/>
      <c r="M36" s="52"/>
      <c r="N36" s="52"/>
      <c r="O36" s="52"/>
      <c r="P36" s="52"/>
      <c r="Q36" s="52"/>
      <c r="R36" s="52"/>
      <c r="S36" s="52"/>
      <c r="T36" s="53"/>
      <c r="V36" s="22"/>
      <c r="X36" s="6" t="s">
        <v>457</v>
      </c>
      <c r="Y36" s="6" t="s">
        <v>467</v>
      </c>
      <c r="Z36" s="6" t="s">
        <v>471</v>
      </c>
      <c r="AB36" s="6" t="s">
        <v>457</v>
      </c>
      <c r="AC36" s="6" t="s">
        <v>466</v>
      </c>
      <c r="AD36" s="6" t="s">
        <v>470</v>
      </c>
      <c r="AF36" s="6" t="s">
        <v>457</v>
      </c>
      <c r="AG36" s="6" t="s">
        <v>484</v>
      </c>
      <c r="AH36" s="6" t="s">
        <v>485</v>
      </c>
      <c r="AI36" s="6" t="s">
        <v>486</v>
      </c>
    </row>
    <row r="37">
      <c r="A37" s="1"/>
      <c r="B37" s="74" t="s">
        <v>524</v>
      </c>
      <c r="C37" s="5"/>
      <c r="D37" s="5"/>
      <c r="E37" s="5"/>
      <c r="F37" s="5"/>
      <c r="G37" s="75"/>
      <c r="H37" s="76" t="s">
        <v>303</v>
      </c>
      <c r="I37" s="4" t="s">
        <v>277</v>
      </c>
      <c r="J37" s="4">
        <v>1.0</v>
      </c>
      <c r="K37" s="4" t="s">
        <v>393</v>
      </c>
      <c r="L37" s="4">
        <f>VLOOKUP(K37,'Item Helper Sheet'!A2:B16,2,FALSE)</f>
        <v>2</v>
      </c>
      <c r="M37" s="4">
        <v>60.0</v>
      </c>
      <c r="N37" s="4">
        <f>ROUNDUP(1.6*20*I39/J37,0)</f>
        <v>64</v>
      </c>
      <c r="O37" s="4">
        <f>M37*N37*J37</f>
        <v>3840</v>
      </c>
      <c r="P37" s="4" t="s">
        <v>393</v>
      </c>
      <c r="Q37" s="4">
        <f>VLOOKUP(P37,'Item Helper Sheet'!A2:B16,2,FALSE)</f>
        <v>2</v>
      </c>
      <c r="R37" s="5">
        <f>M37*(2^((Q37-L37)*2))</f>
        <v>60</v>
      </c>
      <c r="S37" s="5">
        <f>ROUNDUP(IF(I37="Yes",N37/(2^((Q37-L37)*2)),N37/(2^(Q37-L37))),0)</f>
        <v>64</v>
      </c>
      <c r="T37" s="77">
        <f>R37*S37*J37</f>
        <v>3840</v>
      </c>
      <c r="V37" s="22"/>
      <c r="X37" s="6" t="s">
        <v>501</v>
      </c>
      <c r="Y37" s="6">
        <v>12000.0</v>
      </c>
      <c r="Z37" s="6">
        <v>24000.0</v>
      </c>
      <c r="AB37" s="6" t="s">
        <v>501</v>
      </c>
      <c r="AC37" s="6">
        <v>400.0</v>
      </c>
      <c r="AD37" s="6">
        <v>200.0</v>
      </c>
      <c r="AF37" s="6" t="s">
        <v>501</v>
      </c>
      <c r="AG37" s="6">
        <v>1.0</v>
      </c>
      <c r="AH37" s="6">
        <v>2.0</v>
      </c>
      <c r="AI37" s="6">
        <v>1.0</v>
      </c>
      <c r="AN37" s="1" t="s">
        <v>513</v>
      </c>
      <c r="AO37" s="1" t="s">
        <v>514</v>
      </c>
      <c r="AP37" s="1" t="s">
        <v>515</v>
      </c>
      <c r="AQ37" s="1" t="s">
        <v>516</v>
      </c>
    </row>
    <row r="38">
      <c r="B38" s="78"/>
      <c r="C38" s="4" t="s">
        <v>253</v>
      </c>
      <c r="D38" s="4">
        <f>3*I39</f>
        <v>6</v>
      </c>
      <c r="E38" s="4" t="s">
        <v>523</v>
      </c>
      <c r="F38" s="4">
        <f>1*I39</f>
        <v>2</v>
      </c>
      <c r="G38" s="75"/>
      <c r="J38" s="5"/>
      <c r="K38" s="5"/>
      <c r="L38" s="5"/>
      <c r="M38" s="5"/>
      <c r="N38" s="5"/>
      <c r="O38" s="5"/>
      <c r="P38" s="5"/>
      <c r="Q38" s="5"/>
      <c r="R38" s="5"/>
      <c r="S38" s="5"/>
      <c r="T38" s="77"/>
      <c r="V38" s="22"/>
      <c r="X38" s="6" t="s">
        <v>507</v>
      </c>
      <c r="Y38" s="6">
        <v>12000.0</v>
      </c>
      <c r="Z38" s="6">
        <v>24000.0</v>
      </c>
      <c r="AB38" s="6" t="s">
        <v>507</v>
      </c>
      <c r="AC38" s="6">
        <v>400.0</v>
      </c>
      <c r="AD38" s="6">
        <v>200.0</v>
      </c>
      <c r="AF38" s="6" t="s">
        <v>507</v>
      </c>
      <c r="AG38" s="6">
        <v>1.0</v>
      </c>
      <c r="AH38" s="6">
        <v>2.0</v>
      </c>
      <c r="AI38" s="6">
        <v>1.0</v>
      </c>
      <c r="AN38" s="6">
        <f>VLOOKUP(AL38,X28:Y34,2)</f>
        <v>1</v>
      </c>
      <c r="AO38" s="6">
        <f>AN38/$AL$11</f>
        <v>1</v>
      </c>
      <c r="AP38" s="6">
        <f>$AM$8*AO38</f>
        <v>0.03125</v>
      </c>
      <c r="AQ38" s="6">
        <f>$AM$11*AO38</f>
        <v>1</v>
      </c>
    </row>
    <row r="39">
      <c r="B39" s="81"/>
      <c r="C39" s="82"/>
      <c r="D39" s="82"/>
      <c r="E39" s="83" t="s">
        <v>48</v>
      </c>
      <c r="F39" s="83">
        <f>2000*I39</f>
        <v>4000</v>
      </c>
      <c r="G39" s="84"/>
      <c r="H39" s="85" t="s">
        <v>502</v>
      </c>
      <c r="I39" s="83">
        <v>2.0</v>
      </c>
      <c r="J39" s="82"/>
      <c r="K39" s="82"/>
      <c r="L39" s="82"/>
      <c r="M39" s="82"/>
      <c r="N39" s="82"/>
      <c r="O39" s="82"/>
      <c r="P39" s="82"/>
      <c r="Q39" s="82"/>
      <c r="R39" s="82"/>
      <c r="S39" s="82"/>
      <c r="T39" s="86"/>
      <c r="V39" s="22"/>
      <c r="X39" s="6" t="s">
        <v>524</v>
      </c>
      <c r="Y39" s="6">
        <v>3840.0</v>
      </c>
      <c r="Z39" s="6">
        <v>3840.0</v>
      </c>
      <c r="AB39" s="6" t="s">
        <v>524</v>
      </c>
      <c r="AC39" s="6">
        <v>64.0</v>
      </c>
      <c r="AD39" s="6">
        <v>64.0</v>
      </c>
      <c r="AF39" s="6" t="s">
        <v>524</v>
      </c>
      <c r="AG39" s="6">
        <v>2.0</v>
      </c>
      <c r="AH39" s="6">
        <v>2.0</v>
      </c>
      <c r="AI39" s="6">
        <v>0.0</v>
      </c>
    </row>
    <row r="40">
      <c r="V40" s="22"/>
      <c r="X40" s="6" t="s">
        <v>487</v>
      </c>
      <c r="Y40" s="6">
        <v>27840.0</v>
      </c>
      <c r="Z40" s="6">
        <v>51840.0</v>
      </c>
    </row>
    <row r="41">
      <c r="C41" s="1" t="s">
        <v>206</v>
      </c>
      <c r="E41" s="1" t="s">
        <v>522</v>
      </c>
      <c r="V41" s="22"/>
    </row>
    <row r="42">
      <c r="V42" s="22"/>
      <c r="X42" s="6" t="s">
        <v>519</v>
      </c>
      <c r="Y42" s="6" t="s">
        <v>462</v>
      </c>
      <c r="Z42" s="6"/>
    </row>
    <row r="43">
      <c r="C43" s="87"/>
      <c r="D43" s="87"/>
      <c r="E43" s="87"/>
      <c r="F43" s="87"/>
      <c r="G43" s="87"/>
      <c r="H43" s="87"/>
      <c r="I43" s="87"/>
      <c r="J43" s="87"/>
      <c r="K43" s="87"/>
      <c r="L43" s="87"/>
      <c r="M43" s="87"/>
      <c r="N43" s="87"/>
      <c r="O43" s="87"/>
      <c r="P43" s="87"/>
      <c r="Q43" s="87"/>
      <c r="R43" s="87"/>
      <c r="S43" s="87"/>
      <c r="T43" s="87"/>
      <c r="U43" s="87"/>
      <c r="V43" s="22"/>
      <c r="X43" s="6" t="s">
        <v>457</v>
      </c>
      <c r="Y43" s="6" t="s">
        <v>293</v>
      </c>
      <c r="Z43" s="6" t="s">
        <v>303</v>
      </c>
      <c r="AB43" s="6" t="s">
        <v>519</v>
      </c>
      <c r="AC43" s="6" t="s">
        <v>495</v>
      </c>
      <c r="AD43" s="6"/>
      <c r="AE43" s="6"/>
      <c r="AF43" s="6" t="s">
        <v>519</v>
      </c>
      <c r="AG43" s="6" t="s">
        <v>468</v>
      </c>
      <c r="AH43" s="6"/>
    </row>
    <row r="44">
      <c r="C44" s="4"/>
      <c r="D44" s="4"/>
      <c r="E44" s="4"/>
      <c r="F44" s="4"/>
      <c r="G44" s="4"/>
      <c r="H44" s="4"/>
      <c r="I44" s="4"/>
      <c r="J44" s="4"/>
      <c r="K44" s="4"/>
      <c r="L44" s="4"/>
      <c r="M44" s="4"/>
      <c r="N44" s="4"/>
      <c r="O44" s="4"/>
      <c r="P44" s="4"/>
      <c r="Q44" s="4"/>
      <c r="R44" s="4"/>
      <c r="S44" s="4"/>
      <c r="T44" s="4"/>
      <c r="U44" s="4"/>
      <c r="V44" s="22"/>
      <c r="X44" s="6" t="s">
        <v>501</v>
      </c>
      <c r="Y44" s="6">
        <v>1.0</v>
      </c>
      <c r="Z44" s="6"/>
      <c r="AB44" s="6" t="s">
        <v>462</v>
      </c>
      <c r="AC44" s="6" t="s">
        <v>390</v>
      </c>
      <c r="AD44" s="6" t="s">
        <v>393</v>
      </c>
      <c r="AE44" s="6" t="s">
        <v>487</v>
      </c>
      <c r="AF44" s="6" t="s">
        <v>462</v>
      </c>
      <c r="AG44" s="6" t="s">
        <v>393</v>
      </c>
      <c r="AH44" s="6" t="s">
        <v>487</v>
      </c>
    </row>
    <row r="45">
      <c r="V45" s="22"/>
      <c r="X45" s="6" t="s">
        <v>507</v>
      </c>
      <c r="Y45" s="6">
        <v>1.0</v>
      </c>
      <c r="Z45" s="6"/>
      <c r="AB45" s="6" t="s">
        <v>293</v>
      </c>
      <c r="AC45" s="6">
        <v>2.0</v>
      </c>
      <c r="AD45" s="6"/>
      <c r="AE45" s="6">
        <v>2.0</v>
      </c>
      <c r="AF45" s="6" t="s">
        <v>293</v>
      </c>
      <c r="AG45" s="6">
        <v>2.0</v>
      </c>
      <c r="AH45" s="6">
        <v>2.0</v>
      </c>
    </row>
    <row r="46">
      <c r="V46" s="22"/>
      <c r="X46" s="6" t="s">
        <v>524</v>
      </c>
      <c r="Y46" s="6"/>
      <c r="Z46" s="6">
        <v>1.0</v>
      </c>
      <c r="AB46" s="6" t="s">
        <v>303</v>
      </c>
      <c r="AC46" s="6"/>
      <c r="AD46" s="6">
        <v>1.0</v>
      </c>
      <c r="AE46" s="6">
        <v>1.0</v>
      </c>
      <c r="AF46" s="6" t="s">
        <v>303</v>
      </c>
      <c r="AG46" s="6">
        <v>1.0</v>
      </c>
      <c r="AH46" s="6">
        <v>1.0</v>
      </c>
    </row>
    <row r="47">
      <c r="V47" s="22"/>
      <c r="X47" s="6" t="s">
        <v>487</v>
      </c>
      <c r="Y47" s="6">
        <v>2.0</v>
      </c>
      <c r="Z47" s="6">
        <v>1.0</v>
      </c>
      <c r="AB47" s="6" t="s">
        <v>487</v>
      </c>
      <c r="AC47" s="6">
        <v>2.0</v>
      </c>
      <c r="AD47" s="6">
        <v>1.0</v>
      </c>
      <c r="AE47" s="6">
        <v>3.0</v>
      </c>
      <c r="AF47" s="6" t="s">
        <v>487</v>
      </c>
      <c r="AG47" s="6">
        <v>3.0</v>
      </c>
      <c r="AH47" s="6">
        <v>3.0</v>
      </c>
    </row>
    <row r="48">
      <c r="V48" s="22"/>
    </row>
    <row r="49">
      <c r="A49" s="8"/>
      <c r="B49" s="9" t="s">
        <v>525</v>
      </c>
      <c r="C49" s="10"/>
      <c r="D49" s="10"/>
      <c r="E49" s="10"/>
      <c r="F49" s="10"/>
      <c r="G49" s="10"/>
      <c r="H49" s="10"/>
      <c r="I49" s="10"/>
      <c r="J49" s="10"/>
      <c r="K49" s="10"/>
      <c r="L49" s="10"/>
      <c r="M49" s="10"/>
      <c r="N49" s="10"/>
      <c r="O49" s="10"/>
      <c r="P49" s="10"/>
      <c r="Q49" s="10"/>
      <c r="R49" s="10"/>
      <c r="S49" s="10"/>
      <c r="T49" s="10"/>
      <c r="U49" s="11"/>
      <c r="V49" s="12" t="s">
        <v>490</v>
      </c>
      <c r="W49" s="8"/>
      <c r="X49" s="9" t="s">
        <v>525</v>
      </c>
      <c r="Y49" s="10"/>
      <c r="Z49" s="10"/>
      <c r="AA49" s="10"/>
      <c r="AB49" s="10"/>
      <c r="AC49" s="10"/>
      <c r="AD49" s="10"/>
      <c r="AE49" s="10"/>
      <c r="AF49" s="10"/>
      <c r="AG49" s="10"/>
      <c r="AH49" s="10"/>
      <c r="AI49" s="10"/>
      <c r="AJ49" s="10"/>
      <c r="AK49" s="10"/>
      <c r="AL49" s="10"/>
      <c r="AM49" s="10"/>
      <c r="AN49" s="10"/>
      <c r="AO49" s="10"/>
      <c r="AP49" s="10"/>
      <c r="AQ49" s="10"/>
      <c r="AR49" s="13"/>
    </row>
    <row r="50">
      <c r="A50" s="14"/>
      <c r="B50" s="15" t="s">
        <v>526</v>
      </c>
      <c r="C50" s="16"/>
      <c r="D50" s="16"/>
      <c r="E50" s="16"/>
      <c r="F50" s="16"/>
      <c r="G50" s="16"/>
      <c r="H50" s="16"/>
      <c r="I50" s="16"/>
      <c r="J50" s="16"/>
      <c r="K50" s="16"/>
      <c r="L50" s="16"/>
      <c r="M50" s="16"/>
      <c r="N50" s="16"/>
      <c r="O50" s="16"/>
      <c r="P50" s="16"/>
      <c r="Q50" s="16"/>
      <c r="R50" s="16"/>
      <c r="S50" s="16"/>
      <c r="T50" s="16"/>
      <c r="U50" s="17"/>
      <c r="V50" s="12" t="s">
        <v>492</v>
      </c>
      <c r="W50" s="14"/>
      <c r="X50" s="15" t="s">
        <v>526</v>
      </c>
      <c r="Y50" s="16"/>
      <c r="Z50" s="16"/>
      <c r="AA50" s="16"/>
      <c r="AB50" s="16"/>
      <c r="AC50" s="16"/>
      <c r="AD50" s="16"/>
      <c r="AE50" s="16"/>
      <c r="AF50" s="16"/>
      <c r="AG50" s="16"/>
      <c r="AH50" s="16"/>
      <c r="AI50" s="16"/>
      <c r="AJ50" s="16"/>
      <c r="AK50" s="16"/>
      <c r="AL50" s="16"/>
      <c r="AM50" s="16"/>
      <c r="AN50" s="16"/>
      <c r="AO50" s="16"/>
      <c r="AP50" s="16"/>
      <c r="AQ50" s="16"/>
      <c r="AR50" s="18"/>
    </row>
    <row r="51">
      <c r="V51" s="22"/>
    </row>
    <row r="52">
      <c r="A52" s="1"/>
      <c r="B52" s="24" t="s">
        <v>457</v>
      </c>
      <c r="C52" s="25" t="s">
        <v>458</v>
      </c>
      <c r="D52" s="25" t="s">
        <v>459</v>
      </c>
      <c r="E52" s="25" t="s">
        <v>460</v>
      </c>
      <c r="F52" s="25" t="s">
        <v>461</v>
      </c>
      <c r="G52" s="25"/>
      <c r="H52" s="25" t="s">
        <v>462</v>
      </c>
      <c r="I52" s="25" t="s">
        <v>493</v>
      </c>
      <c r="J52" s="25" t="s">
        <v>494</v>
      </c>
      <c r="K52" s="25" t="s">
        <v>495</v>
      </c>
      <c r="L52" s="25" t="s">
        <v>421</v>
      </c>
      <c r="M52" s="25" t="s">
        <v>465</v>
      </c>
      <c r="N52" s="25" t="s">
        <v>466</v>
      </c>
      <c r="O52" s="25" t="s">
        <v>467</v>
      </c>
      <c r="P52" s="25" t="s">
        <v>468</v>
      </c>
      <c r="Q52" s="25" t="s">
        <v>496</v>
      </c>
      <c r="R52" s="25" t="s">
        <v>469</v>
      </c>
      <c r="S52" s="25" t="s">
        <v>470</v>
      </c>
      <c r="T52" s="26" t="s">
        <v>471</v>
      </c>
      <c r="U52" s="1"/>
      <c r="V52" s="22"/>
      <c r="AF52" s="6" t="s">
        <v>458</v>
      </c>
      <c r="AG52" s="6" t="s">
        <v>497</v>
      </c>
      <c r="AH52" s="7" t="s">
        <v>281</v>
      </c>
      <c r="AI52" s="7" t="s">
        <v>8</v>
      </c>
      <c r="AJ52" s="1" t="s">
        <v>9</v>
      </c>
      <c r="AM52" s="4" t="s">
        <v>498</v>
      </c>
      <c r="AO52" s="4" t="s">
        <v>499</v>
      </c>
      <c r="AP52" s="4" t="s">
        <v>500</v>
      </c>
      <c r="AQ52" s="4"/>
    </row>
    <row r="53">
      <c r="A53" s="1"/>
      <c r="B53" s="74" t="s">
        <v>527</v>
      </c>
      <c r="C53" s="5"/>
      <c r="D53" s="5"/>
      <c r="E53" s="5"/>
      <c r="F53" s="5"/>
      <c r="G53" s="75"/>
      <c r="H53" s="76" t="s">
        <v>293</v>
      </c>
      <c r="I53" s="4" t="s">
        <v>277</v>
      </c>
      <c r="J53" s="4">
        <v>1.0</v>
      </c>
      <c r="K53" s="4" t="s">
        <v>390</v>
      </c>
      <c r="L53" s="4">
        <f>VLOOKUP(K53,'Item Helper Sheet'!A2:B16,2,FALSE)</f>
        <v>1</v>
      </c>
      <c r="M53" s="4">
        <v>30.0</v>
      </c>
      <c r="N53" s="4">
        <f>ROUNDUP(15*20*I55/J53,0)</f>
        <v>300</v>
      </c>
      <c r="O53" s="4">
        <f>M53*N53*J53</f>
        <v>9000</v>
      </c>
      <c r="P53" s="4" t="s">
        <v>393</v>
      </c>
      <c r="Q53" s="4">
        <f>VLOOKUP(P53,'Item Helper Sheet'!A2:B16,2,FALSE)</f>
        <v>2</v>
      </c>
      <c r="R53" s="5">
        <f>M53*(2^((Q53-L53)*2))</f>
        <v>120</v>
      </c>
      <c r="S53" s="5">
        <f>ROUNDUP(IF(I53="Yes",N53/(2^((Q53-L53)*2)),N53/(2^(Q53-L53))),0)</f>
        <v>150</v>
      </c>
      <c r="T53" s="77">
        <f>R53*S53*J53</f>
        <v>18000</v>
      </c>
      <c r="V53" s="22"/>
      <c r="AF53" s="6" t="s">
        <v>85</v>
      </c>
      <c r="AG53" s="6">
        <v>0.0</v>
      </c>
      <c r="AH53" s="6">
        <f>VLOOKUP(AF53,'Item List'!$A$2:$D$300,2,FALSE)</f>
        <v>1</v>
      </c>
      <c r="AI53" s="6">
        <f>VLOOKUP(AF53,'Item List'!$A$2:$D$300,3,FALSE)</f>
        <v>4</v>
      </c>
      <c r="AJ53" s="6">
        <f>VLOOKUP(AF53,'Item List'!$A$2:$D$300,4,FALSE)</f>
        <v>2</v>
      </c>
      <c r="AM53" s="6">
        <f>AL59/AC63*20</f>
        <v>0.06666666667</v>
      </c>
      <c r="AO53" s="7">
        <f>Y62/AL59</f>
        <v>18000</v>
      </c>
      <c r="AP53" s="7">
        <f>Z62/AL59</f>
        <v>36000</v>
      </c>
      <c r="AQ53" s="7"/>
    </row>
    <row r="54">
      <c r="B54" s="78"/>
      <c r="C54" s="4" t="s">
        <v>522</v>
      </c>
      <c r="D54" s="4">
        <f>1*I55</f>
        <v>1</v>
      </c>
      <c r="E54" s="4" t="s">
        <v>239</v>
      </c>
      <c r="F54" s="4">
        <f>1000*I55</f>
        <v>1000</v>
      </c>
      <c r="G54" s="79"/>
      <c r="J54" s="5"/>
      <c r="K54" s="5"/>
      <c r="L54" s="5"/>
      <c r="M54" s="5"/>
      <c r="N54" s="5"/>
      <c r="O54" s="5"/>
      <c r="P54" s="5"/>
      <c r="Q54" s="5"/>
      <c r="R54" s="5"/>
      <c r="S54" s="5"/>
      <c r="T54" s="77"/>
      <c r="V54" s="22"/>
      <c r="AF54" s="6" t="s">
        <v>87</v>
      </c>
      <c r="AG54" s="6">
        <v>0.0</v>
      </c>
      <c r="AH54" s="6">
        <f>VLOOKUP(AF54,'Item List'!$A$2:$D$300,2,FALSE)</f>
        <v>1</v>
      </c>
      <c r="AI54" s="6">
        <f>VLOOKUP(AF54,'Item List'!$A$2:$D$300,3,FALSE)</f>
        <v>4</v>
      </c>
      <c r="AJ54" s="6">
        <f>VLOOKUP(AF54,'Item List'!$A$2:$D$300,4,FALSE)</f>
        <v>1</v>
      </c>
    </row>
    <row r="55">
      <c r="B55" s="78"/>
      <c r="C55" s="4" t="s">
        <v>85</v>
      </c>
      <c r="D55" s="4">
        <f>3000*I55</f>
        <v>3000</v>
      </c>
      <c r="E55" s="4" t="s">
        <v>87</v>
      </c>
      <c r="F55" s="4">
        <f>2000*I55</f>
        <v>2000</v>
      </c>
      <c r="G55" s="79"/>
      <c r="H55" s="76" t="s">
        <v>502</v>
      </c>
      <c r="I55" s="4">
        <v>1.0</v>
      </c>
      <c r="J55" s="5"/>
      <c r="K55" s="5"/>
      <c r="L55" s="5"/>
      <c r="M55" s="5"/>
      <c r="N55" s="5"/>
      <c r="O55" s="5"/>
      <c r="P55" s="5"/>
      <c r="Q55" s="5"/>
      <c r="R55" s="5"/>
      <c r="S55" s="5"/>
      <c r="T55" s="77"/>
      <c r="V55" s="22"/>
      <c r="AF55" s="6" t="s">
        <v>522</v>
      </c>
      <c r="AG55" s="6">
        <v>-1.0</v>
      </c>
      <c r="AH55" s="6" t="str">
        <f>VLOOKUP(AF55,'Item List'!$A$2:$D$300,2,FALSE)</f>
        <v>#N/A</v>
      </c>
      <c r="AI55" s="6" t="str">
        <f>VLOOKUP(AF55,'Item List'!$A$2:$D$300,3,FALSE)</f>
        <v>#N/A</v>
      </c>
      <c r="AJ55" s="6" t="str">
        <f>VLOOKUP(AF55,'Item List'!$A$2:$D$300,4,FALSE)</f>
        <v>#N/A</v>
      </c>
      <c r="AL55" s="4" t="s">
        <v>503</v>
      </c>
      <c r="AM55" s="4" t="s">
        <v>504</v>
      </c>
      <c r="AO55" s="1" t="s">
        <v>505</v>
      </c>
      <c r="AP55" s="1" t="s">
        <v>506</v>
      </c>
      <c r="AQ55" s="1"/>
    </row>
    <row r="56">
      <c r="B56" s="50"/>
      <c r="C56" s="52"/>
      <c r="D56" s="52"/>
      <c r="E56" s="52"/>
      <c r="F56" s="52"/>
      <c r="G56" s="43"/>
      <c r="H56" s="80"/>
      <c r="I56" s="52"/>
      <c r="J56" s="52"/>
      <c r="K56" s="52"/>
      <c r="L56" s="52"/>
      <c r="M56" s="52"/>
      <c r="N56" s="52"/>
      <c r="O56" s="52"/>
      <c r="P56" s="52"/>
      <c r="Q56" s="52"/>
      <c r="R56" s="52"/>
      <c r="S56" s="52"/>
      <c r="T56" s="53"/>
      <c r="V56" s="22"/>
      <c r="AF56" s="6" t="s">
        <v>206</v>
      </c>
      <c r="AG56" s="6">
        <v>1.0</v>
      </c>
      <c r="AH56" s="6">
        <f>VLOOKUP(AF56,'Item List'!$A$2:$D$300,2,FALSE)</f>
        <v>1</v>
      </c>
      <c r="AI56" s="6">
        <f>VLOOKUP(AF56,'Item List'!$A$2:$D$300,3,FALSE)</f>
        <v>5</v>
      </c>
      <c r="AJ56" s="6">
        <f>VLOOKUP(AF56,'Item List'!$A$2:$D$300,4,FALSE)</f>
        <v>3</v>
      </c>
      <c r="AL56" s="38" t="s">
        <v>206</v>
      </c>
      <c r="AM56" s="7">
        <f>AL59/AD63*20</f>
        <v>0.1333333333</v>
      </c>
      <c r="AO56" s="6">
        <f>AC63/AL59</f>
        <v>300</v>
      </c>
      <c r="AP56" s="6">
        <f>AD63/AL59</f>
        <v>150</v>
      </c>
    </row>
    <row r="57">
      <c r="A57" s="1"/>
      <c r="B57" s="74" t="s">
        <v>507</v>
      </c>
      <c r="C57" s="5"/>
      <c r="D57" s="5"/>
      <c r="E57" s="5"/>
      <c r="F57" s="5"/>
      <c r="G57" s="75"/>
      <c r="H57" s="76" t="s">
        <v>293</v>
      </c>
      <c r="I57" s="4" t="s">
        <v>277</v>
      </c>
      <c r="J57" s="4">
        <v>1.0</v>
      </c>
      <c r="K57" s="4" t="s">
        <v>390</v>
      </c>
      <c r="L57" s="4">
        <f>VLOOKUP(K57,'Item Helper Sheet'!A2:B16,2,FALSE)</f>
        <v>1</v>
      </c>
      <c r="M57" s="4">
        <v>30.0</v>
      </c>
      <c r="N57" s="4">
        <f>ROUNDUP(15*20*I59/J57,0)</f>
        <v>300</v>
      </c>
      <c r="O57" s="4">
        <f>M57*N57*J57</f>
        <v>9000</v>
      </c>
      <c r="P57" s="4" t="s">
        <v>393</v>
      </c>
      <c r="Q57" s="4">
        <f>VLOOKUP(P57,'Item Helper Sheet'!A2:B16,2,FALSE)</f>
        <v>2</v>
      </c>
      <c r="R57" s="5">
        <f>M57*(2^((Q57-L57)*2))</f>
        <v>120</v>
      </c>
      <c r="S57" s="5">
        <f>ROUNDUP(IF(I57="Yes",N57/(2^((Q57-L57)*2)),N57/(2^(Q57-L57))),0)</f>
        <v>150</v>
      </c>
      <c r="T57" s="77">
        <f>R57*S57*J57</f>
        <v>18000</v>
      </c>
      <c r="V57" s="22"/>
      <c r="AF57" s="6" t="s">
        <v>239</v>
      </c>
      <c r="AG57" s="6">
        <v>0.0</v>
      </c>
      <c r="AH57" s="6">
        <f>VLOOKUP(AF57,'Item List'!$A$2:$D$300,2,FALSE)</f>
        <v>1</v>
      </c>
      <c r="AI57" s="6">
        <f>VLOOKUP(AF57,'Item List'!$A$2:$D$300,3,FALSE)</f>
        <v>4</v>
      </c>
      <c r="AJ57" s="6">
        <f>VLOOKUP(AF57,'Item List'!$A$2:$D$300,4,FALSE)</f>
        <v>2</v>
      </c>
    </row>
    <row r="58">
      <c r="B58" s="78"/>
      <c r="C58" s="4" t="s">
        <v>239</v>
      </c>
      <c r="D58" s="4">
        <f>1000*I59</f>
        <v>1000</v>
      </c>
      <c r="E58" s="4" t="s">
        <v>206</v>
      </c>
      <c r="F58" s="4">
        <f>1*I59</f>
        <v>1</v>
      </c>
      <c r="G58" s="79"/>
      <c r="J58" s="5"/>
      <c r="K58" s="5"/>
      <c r="L58" s="5"/>
      <c r="M58" s="5"/>
      <c r="N58" s="5"/>
      <c r="O58" s="5"/>
      <c r="P58" s="5"/>
      <c r="Q58" s="5"/>
      <c r="R58" s="5"/>
      <c r="S58" s="5"/>
      <c r="T58" s="77"/>
      <c r="V58" s="22"/>
      <c r="AL58" s="1" t="s">
        <v>508</v>
      </c>
      <c r="AM58" s="1" t="s">
        <v>509</v>
      </c>
      <c r="AO58" s="1" t="s">
        <v>510</v>
      </c>
    </row>
    <row r="59">
      <c r="B59" s="81"/>
      <c r="C59" s="83" t="s">
        <v>87</v>
      </c>
      <c r="D59" s="83">
        <f>2000*I59</f>
        <v>2000</v>
      </c>
      <c r="E59" s="83" t="s">
        <v>85</v>
      </c>
      <c r="F59" s="83">
        <f>3000*I59</f>
        <v>3000</v>
      </c>
      <c r="G59" s="84"/>
      <c r="H59" s="85" t="s">
        <v>502</v>
      </c>
      <c r="I59" s="83">
        <v>1.0</v>
      </c>
      <c r="J59" s="82"/>
      <c r="K59" s="82"/>
      <c r="L59" s="82"/>
      <c r="M59" s="82"/>
      <c r="N59" s="82"/>
      <c r="O59" s="82"/>
      <c r="P59" s="82"/>
      <c r="Q59" s="82"/>
      <c r="R59" s="82"/>
      <c r="S59" s="82"/>
      <c r="T59" s="86"/>
      <c r="V59" s="22"/>
      <c r="X59" s="6" t="s">
        <v>457</v>
      </c>
      <c r="Y59" s="6" t="s">
        <v>467</v>
      </c>
      <c r="Z59" s="6" t="s">
        <v>471</v>
      </c>
      <c r="AB59" s="6" t="s">
        <v>457</v>
      </c>
      <c r="AC59" s="6" t="s">
        <v>466</v>
      </c>
      <c r="AD59" s="6" t="s">
        <v>470</v>
      </c>
      <c r="AF59" s="6" t="s">
        <v>457</v>
      </c>
      <c r="AG59" s="6" t="s">
        <v>484</v>
      </c>
      <c r="AH59" s="6" t="s">
        <v>485</v>
      </c>
      <c r="AI59" s="6" t="s">
        <v>486</v>
      </c>
      <c r="AL59" s="6">
        <f>VLOOKUP(AL56,E52:F59,2,FALSE)</f>
        <v>1</v>
      </c>
      <c r="AM59" s="1">
        <v>1.0</v>
      </c>
      <c r="AO59" s="6">
        <f>1/AM59*20</f>
        <v>20</v>
      </c>
    </row>
    <row r="60">
      <c r="V60" s="22"/>
      <c r="X60" s="6" t="s">
        <v>527</v>
      </c>
      <c r="Y60" s="6">
        <v>9000.0</v>
      </c>
      <c r="Z60" s="6">
        <v>18000.0</v>
      </c>
      <c r="AB60" s="6" t="s">
        <v>527</v>
      </c>
      <c r="AC60" s="6">
        <v>300.0</v>
      </c>
      <c r="AD60" s="6">
        <v>150.0</v>
      </c>
      <c r="AF60" s="6" t="s">
        <v>527</v>
      </c>
      <c r="AG60" s="6">
        <v>1.0</v>
      </c>
      <c r="AH60" s="6">
        <v>2.0</v>
      </c>
      <c r="AI60" s="6">
        <v>1.0</v>
      </c>
    </row>
    <row r="61">
      <c r="C61" s="1" t="s">
        <v>206</v>
      </c>
      <c r="E61" s="1" t="s">
        <v>522</v>
      </c>
      <c r="V61" s="22"/>
      <c r="X61" s="6" t="s">
        <v>507</v>
      </c>
      <c r="Y61" s="6">
        <v>9000.0</v>
      </c>
      <c r="Z61" s="6">
        <v>18000.0</v>
      </c>
      <c r="AB61" s="6" t="s">
        <v>507</v>
      </c>
      <c r="AC61" s="6">
        <v>300.0</v>
      </c>
      <c r="AD61" s="6">
        <v>150.0</v>
      </c>
      <c r="AF61" s="6" t="s">
        <v>507</v>
      </c>
      <c r="AG61" s="6">
        <v>1.0</v>
      </c>
      <c r="AH61" s="6">
        <v>2.0</v>
      </c>
      <c r="AI61" s="6">
        <v>1.0</v>
      </c>
      <c r="AN61" s="1" t="s">
        <v>513</v>
      </c>
      <c r="AO61" s="1" t="s">
        <v>514</v>
      </c>
      <c r="AP61" s="1" t="s">
        <v>515</v>
      </c>
      <c r="AQ61" s="1" t="s">
        <v>516</v>
      </c>
    </row>
    <row r="62">
      <c r="V62" s="22"/>
      <c r="X62" s="6" t="s">
        <v>487</v>
      </c>
      <c r="Y62" s="6">
        <v>18000.0</v>
      </c>
      <c r="Z62" s="6">
        <v>36000.0</v>
      </c>
      <c r="AN62" s="6">
        <f>VLOOKUP(AL62,X52:Y58,2)</f>
        <v>1</v>
      </c>
      <c r="AO62" s="6">
        <f>AN62/$AL$11</f>
        <v>1</v>
      </c>
      <c r="AP62" s="6">
        <f>$AM$8*AO62</f>
        <v>0.03125</v>
      </c>
      <c r="AQ62" s="6">
        <f>$AM$11*AO62</f>
        <v>1</v>
      </c>
    </row>
    <row r="63">
      <c r="V63" s="22"/>
    </row>
    <row r="64">
      <c r="C64" s="87"/>
      <c r="D64" s="87"/>
      <c r="E64" s="87"/>
      <c r="F64" s="87"/>
      <c r="G64" s="87"/>
      <c r="H64" s="87"/>
      <c r="I64" s="87"/>
      <c r="J64" s="87"/>
      <c r="K64" s="87"/>
      <c r="L64" s="87"/>
      <c r="M64" s="87"/>
      <c r="N64" s="87"/>
      <c r="O64" s="87"/>
      <c r="P64" s="87"/>
      <c r="Q64" s="87"/>
      <c r="R64" s="87"/>
      <c r="S64" s="87"/>
      <c r="T64" s="87"/>
      <c r="U64" s="87"/>
      <c r="V64" s="22"/>
      <c r="X64" s="6" t="s">
        <v>519</v>
      </c>
      <c r="Y64" s="6" t="s">
        <v>462</v>
      </c>
    </row>
    <row r="65">
      <c r="C65" s="4"/>
      <c r="D65" s="4"/>
      <c r="E65" s="4"/>
      <c r="F65" s="4"/>
      <c r="G65" s="4"/>
      <c r="H65" s="4"/>
      <c r="I65" s="4"/>
      <c r="J65" s="4"/>
      <c r="K65" s="4"/>
      <c r="L65" s="4"/>
      <c r="M65" s="4"/>
      <c r="N65" s="4"/>
      <c r="O65" s="4"/>
      <c r="P65" s="4"/>
      <c r="Q65" s="4"/>
      <c r="R65" s="4"/>
      <c r="S65" s="4"/>
      <c r="T65" s="4"/>
      <c r="U65" s="4"/>
      <c r="V65" s="22"/>
      <c r="X65" s="6" t="s">
        <v>457</v>
      </c>
      <c r="Y65" s="6" t="s">
        <v>293</v>
      </c>
      <c r="AB65" s="6" t="s">
        <v>519</v>
      </c>
      <c r="AC65" s="6" t="s">
        <v>495</v>
      </c>
      <c r="AD65" s="6"/>
      <c r="AF65" s="6" t="s">
        <v>519</v>
      </c>
      <c r="AG65" s="6" t="s">
        <v>468</v>
      </c>
      <c r="AH65" s="6"/>
    </row>
    <row r="66">
      <c r="V66" s="22"/>
      <c r="X66" s="6" t="s">
        <v>527</v>
      </c>
      <c r="Y66" s="6">
        <v>1.0</v>
      </c>
      <c r="AB66" s="6" t="s">
        <v>462</v>
      </c>
      <c r="AC66" s="6" t="s">
        <v>390</v>
      </c>
      <c r="AD66" s="6" t="s">
        <v>487</v>
      </c>
      <c r="AF66" s="6" t="s">
        <v>462</v>
      </c>
      <c r="AG66" s="6" t="s">
        <v>393</v>
      </c>
      <c r="AH66" s="6" t="s">
        <v>487</v>
      </c>
    </row>
    <row r="67">
      <c r="V67" s="22"/>
      <c r="X67" s="6" t="s">
        <v>507</v>
      </c>
      <c r="Y67" s="6">
        <v>1.0</v>
      </c>
      <c r="AB67" s="6" t="s">
        <v>293</v>
      </c>
      <c r="AC67" s="6">
        <v>2.0</v>
      </c>
      <c r="AD67" s="6">
        <v>2.0</v>
      </c>
      <c r="AF67" s="6" t="s">
        <v>293</v>
      </c>
      <c r="AG67" s="6">
        <v>2.0</v>
      </c>
      <c r="AH67" s="6">
        <v>2.0</v>
      </c>
    </row>
    <row r="68">
      <c r="V68" s="22"/>
      <c r="X68" s="6" t="s">
        <v>487</v>
      </c>
      <c r="Y68" s="6">
        <v>2.0</v>
      </c>
      <c r="AB68" s="6" t="s">
        <v>487</v>
      </c>
      <c r="AC68" s="6">
        <v>2.0</v>
      </c>
      <c r="AD68" s="6">
        <v>2.0</v>
      </c>
      <c r="AF68" s="6" t="s">
        <v>487</v>
      </c>
      <c r="AG68" s="6">
        <v>2.0</v>
      </c>
      <c r="AH68" s="6">
        <v>2.0</v>
      </c>
    </row>
    <row r="69">
      <c r="V69" s="22"/>
    </row>
    <row r="70">
      <c r="A70" s="8"/>
      <c r="B70" s="9" t="s">
        <v>528</v>
      </c>
      <c r="C70" s="10"/>
      <c r="D70" s="10"/>
      <c r="E70" s="10"/>
      <c r="F70" s="10"/>
      <c r="G70" s="10"/>
      <c r="H70" s="10"/>
      <c r="I70" s="10"/>
      <c r="J70" s="10"/>
      <c r="K70" s="10"/>
      <c r="L70" s="10"/>
      <c r="M70" s="10"/>
      <c r="N70" s="10"/>
      <c r="O70" s="10"/>
      <c r="P70" s="10"/>
      <c r="Q70" s="10"/>
      <c r="R70" s="10"/>
      <c r="S70" s="10"/>
      <c r="T70" s="10"/>
      <c r="U70" s="11"/>
      <c r="V70" s="12" t="s">
        <v>490</v>
      </c>
      <c r="W70" s="8"/>
      <c r="X70" s="9" t="s">
        <v>528</v>
      </c>
      <c r="Y70" s="10"/>
      <c r="Z70" s="10"/>
      <c r="AA70" s="10"/>
      <c r="AB70" s="10"/>
      <c r="AC70" s="10"/>
      <c r="AD70" s="10"/>
      <c r="AE70" s="10"/>
      <c r="AF70" s="10"/>
      <c r="AG70" s="10"/>
      <c r="AH70" s="10"/>
      <c r="AI70" s="10"/>
      <c r="AJ70" s="10"/>
      <c r="AK70" s="10"/>
      <c r="AL70" s="10"/>
      <c r="AM70" s="10"/>
      <c r="AN70" s="10"/>
      <c r="AO70" s="10"/>
      <c r="AP70" s="10"/>
      <c r="AQ70" s="10"/>
      <c r="AR70" s="13"/>
    </row>
    <row r="71">
      <c r="A71" s="14"/>
      <c r="B71" s="15" t="s">
        <v>529</v>
      </c>
      <c r="C71" s="16"/>
      <c r="D71" s="16"/>
      <c r="E71" s="16"/>
      <c r="F71" s="16"/>
      <c r="G71" s="16"/>
      <c r="H71" s="16"/>
      <c r="I71" s="16"/>
      <c r="J71" s="16"/>
      <c r="K71" s="16"/>
      <c r="L71" s="16"/>
      <c r="M71" s="16"/>
      <c r="N71" s="16"/>
      <c r="O71" s="16"/>
      <c r="P71" s="16"/>
      <c r="Q71" s="16"/>
      <c r="R71" s="16"/>
      <c r="S71" s="16"/>
      <c r="T71" s="16"/>
      <c r="U71" s="17"/>
      <c r="V71" s="12" t="s">
        <v>492</v>
      </c>
      <c r="W71" s="14"/>
      <c r="X71" s="15" t="s">
        <v>529</v>
      </c>
      <c r="Y71" s="16"/>
      <c r="Z71" s="16"/>
      <c r="AA71" s="16"/>
      <c r="AB71" s="16"/>
      <c r="AC71" s="16"/>
      <c r="AD71" s="16"/>
      <c r="AE71" s="16"/>
      <c r="AF71" s="16"/>
      <c r="AG71" s="16"/>
      <c r="AH71" s="16"/>
      <c r="AI71" s="16"/>
      <c r="AJ71" s="16"/>
      <c r="AK71" s="16"/>
      <c r="AL71" s="16"/>
      <c r="AM71" s="16"/>
      <c r="AN71" s="16"/>
      <c r="AO71" s="16"/>
      <c r="AP71" s="16"/>
      <c r="AQ71" s="16"/>
      <c r="AR71" s="18"/>
    </row>
    <row r="72">
      <c r="V72" s="22"/>
    </row>
    <row r="73">
      <c r="A73" s="1"/>
      <c r="B73" s="24" t="s">
        <v>457</v>
      </c>
      <c r="C73" s="25" t="s">
        <v>458</v>
      </c>
      <c r="D73" s="25" t="s">
        <v>459</v>
      </c>
      <c r="E73" s="25" t="s">
        <v>460</v>
      </c>
      <c r="F73" s="25" t="s">
        <v>461</v>
      </c>
      <c r="G73" s="25"/>
      <c r="H73" s="25" t="s">
        <v>462</v>
      </c>
      <c r="I73" s="25" t="s">
        <v>493</v>
      </c>
      <c r="J73" s="25" t="s">
        <v>494</v>
      </c>
      <c r="K73" s="25" t="s">
        <v>495</v>
      </c>
      <c r="L73" s="25" t="s">
        <v>421</v>
      </c>
      <c r="M73" s="25" t="s">
        <v>465</v>
      </c>
      <c r="N73" s="25" t="s">
        <v>466</v>
      </c>
      <c r="O73" s="25" t="s">
        <v>467</v>
      </c>
      <c r="P73" s="25" t="s">
        <v>468</v>
      </c>
      <c r="Q73" s="25" t="s">
        <v>496</v>
      </c>
      <c r="R73" s="25" t="s">
        <v>469</v>
      </c>
      <c r="S73" s="25" t="s">
        <v>470</v>
      </c>
      <c r="T73" s="26" t="s">
        <v>471</v>
      </c>
      <c r="U73" s="1"/>
      <c r="V73" s="22"/>
      <c r="AF73" s="6" t="s">
        <v>458</v>
      </c>
      <c r="AG73" s="6" t="s">
        <v>497</v>
      </c>
      <c r="AH73" s="7" t="s">
        <v>281</v>
      </c>
      <c r="AI73" s="7" t="s">
        <v>8</v>
      </c>
      <c r="AJ73" s="1" t="s">
        <v>9</v>
      </c>
      <c r="AK73" s="1"/>
      <c r="AM73" s="4" t="s">
        <v>498</v>
      </c>
      <c r="AO73" s="4" t="s">
        <v>499</v>
      </c>
      <c r="AP73" s="4" t="s">
        <v>500</v>
      </c>
      <c r="AQ73" s="4"/>
    </row>
    <row r="74">
      <c r="A74" s="1"/>
      <c r="B74" s="74" t="s">
        <v>527</v>
      </c>
      <c r="C74" s="5"/>
      <c r="D74" s="5"/>
      <c r="E74" s="5"/>
      <c r="F74" s="5"/>
      <c r="G74" s="75"/>
      <c r="H74" s="76" t="s">
        <v>293</v>
      </c>
      <c r="I74" s="4" t="s">
        <v>277</v>
      </c>
      <c r="J74" s="4">
        <v>1.0</v>
      </c>
      <c r="K74" s="4" t="s">
        <v>390</v>
      </c>
      <c r="L74" s="4">
        <f>VLOOKUP(K74,'Item Helper Sheet'!A2:B16,2,FALSE)</f>
        <v>1</v>
      </c>
      <c r="M74" s="4">
        <v>30.0</v>
      </c>
      <c r="N74" s="4">
        <f>ROUNDUP(15*20*I76/J74,0)</f>
        <v>1200</v>
      </c>
      <c r="O74" s="4">
        <f>M74*N74*J74</f>
        <v>36000</v>
      </c>
      <c r="P74" s="4" t="s">
        <v>430</v>
      </c>
      <c r="Q74" s="4" t="str">
        <f>VLOOKUP(P74,'Item Helper Sheet'!A2:B16,2,FALSE)</f>
        <v>#N/A</v>
      </c>
      <c r="R74" s="5" t="str">
        <f>M74*(2^((Q74-L74)*2))</f>
        <v>#N/A</v>
      </c>
      <c r="S74" s="5" t="str">
        <f>ROUNDUP(IF(I74="Yes",N74/(2^((Q74-L74)*2)),N74/(2^(Q74-L74))),0)</f>
        <v>#N/A</v>
      </c>
      <c r="T74" s="77" t="str">
        <f>R74*S74*J74</f>
        <v>#N/A</v>
      </c>
      <c r="V74" s="22"/>
      <c r="AF74" s="6" t="s">
        <v>48</v>
      </c>
      <c r="AG74" s="6">
        <v>0.0</v>
      </c>
      <c r="AH74" s="6">
        <f>VLOOKUP(AF74,'Item List'!$A$2:$D$300,2,FALSE)</f>
        <v>1</v>
      </c>
      <c r="AI74" s="6">
        <f>VLOOKUP(AF74,'Item List'!$A$2:$D$300,3,FALSE)</f>
        <v>4</v>
      </c>
      <c r="AJ74" s="6">
        <f>VLOOKUP(AF74,'Item List'!$A$2:$D$300,4,FALSE)</f>
        <v>1</v>
      </c>
      <c r="AM74" s="6">
        <f>AL80/AC93*20</f>
        <v>0.0625</v>
      </c>
      <c r="AO74" s="7">
        <f>Y92/AL80</f>
        <v>19440</v>
      </c>
      <c r="AP74" s="7" t="str">
        <f>Z92/AL80</f>
        <v>#N/A</v>
      </c>
      <c r="AQ74" s="7"/>
    </row>
    <row r="75">
      <c r="B75" s="78"/>
      <c r="C75" s="4" t="s">
        <v>522</v>
      </c>
      <c r="D75" s="4">
        <f>1*I76</f>
        <v>4</v>
      </c>
      <c r="E75" s="4" t="s">
        <v>239</v>
      </c>
      <c r="F75" s="4">
        <f>1000*I76</f>
        <v>4000</v>
      </c>
      <c r="G75" s="75"/>
      <c r="H75" s="88"/>
      <c r="I75" s="5"/>
      <c r="J75" s="5"/>
      <c r="K75" s="5"/>
      <c r="L75" s="5"/>
      <c r="M75" s="5"/>
      <c r="N75" s="5"/>
      <c r="O75" s="5"/>
      <c r="P75" s="5"/>
      <c r="Q75" s="5"/>
      <c r="R75" s="5"/>
      <c r="S75" s="5"/>
      <c r="T75" s="77"/>
      <c r="V75" s="22"/>
      <c r="AF75" s="6" t="s">
        <v>85</v>
      </c>
      <c r="AG75" s="6">
        <v>0.0</v>
      </c>
      <c r="AH75" s="6">
        <f>VLOOKUP(AF75,'Item List'!$A$2:$D$300,2,FALSE)</f>
        <v>1</v>
      </c>
      <c r="AI75" s="6">
        <f>VLOOKUP(AF75,'Item List'!$A$2:$D$300,3,FALSE)</f>
        <v>4</v>
      </c>
      <c r="AJ75" s="6">
        <f>VLOOKUP(AF75,'Item List'!$A$2:$D$300,4,FALSE)</f>
        <v>2</v>
      </c>
    </row>
    <row r="76">
      <c r="B76" s="78"/>
      <c r="C76" s="4" t="s">
        <v>85</v>
      </c>
      <c r="D76" s="4">
        <f>3000*I76</f>
        <v>12000</v>
      </c>
      <c r="E76" s="4" t="s">
        <v>87</v>
      </c>
      <c r="F76" s="4">
        <f>2000*I76</f>
        <v>8000</v>
      </c>
      <c r="G76" s="79"/>
      <c r="H76" s="76" t="s">
        <v>502</v>
      </c>
      <c r="I76" s="4">
        <v>4.0</v>
      </c>
      <c r="J76" s="5"/>
      <c r="K76" s="5"/>
      <c r="L76" s="5"/>
      <c r="M76" s="5"/>
      <c r="N76" s="5"/>
      <c r="O76" s="5"/>
      <c r="P76" s="5"/>
      <c r="Q76" s="5"/>
      <c r="R76" s="5"/>
      <c r="S76" s="5"/>
      <c r="T76" s="77"/>
      <c r="V76" s="22"/>
      <c r="AF76" s="6" t="s">
        <v>87</v>
      </c>
      <c r="AG76" s="6">
        <v>0.0</v>
      </c>
      <c r="AH76" s="6">
        <f>VLOOKUP(AF76,'Item List'!$A$2:$D$300,2,FALSE)</f>
        <v>1</v>
      </c>
      <c r="AI76" s="6">
        <f>VLOOKUP(AF76,'Item List'!$A$2:$D$300,3,FALSE)</f>
        <v>4</v>
      </c>
      <c r="AJ76" s="6">
        <f>VLOOKUP(AF76,'Item List'!$A$2:$D$300,4,FALSE)</f>
        <v>1</v>
      </c>
      <c r="AL76" s="4" t="s">
        <v>503</v>
      </c>
      <c r="AM76" s="4" t="s">
        <v>504</v>
      </c>
      <c r="AO76" s="1" t="s">
        <v>505</v>
      </c>
      <c r="AP76" s="1" t="s">
        <v>506</v>
      </c>
      <c r="AQ76" s="1"/>
    </row>
    <row r="77">
      <c r="B77" s="50"/>
      <c r="C77" s="52"/>
      <c r="D77" s="52"/>
      <c r="E77" s="52"/>
      <c r="F77" s="52"/>
      <c r="G77" s="43"/>
      <c r="H77" s="80"/>
      <c r="I77" s="52"/>
      <c r="J77" s="52"/>
      <c r="K77" s="52"/>
      <c r="L77" s="52"/>
      <c r="M77" s="52"/>
      <c r="N77" s="52"/>
      <c r="O77" s="52"/>
      <c r="P77" s="52"/>
      <c r="Q77" s="52"/>
      <c r="R77" s="52"/>
      <c r="S77" s="52"/>
      <c r="T77" s="53"/>
      <c r="V77" s="22"/>
      <c r="AF77" s="6" t="s">
        <v>522</v>
      </c>
      <c r="AG77" s="6">
        <v>-4.0</v>
      </c>
      <c r="AH77" s="6" t="str">
        <f>VLOOKUP(AF77,'Item List'!$A$2:$D$300,2,FALSE)</f>
        <v>#N/A</v>
      </c>
      <c r="AI77" s="6" t="str">
        <f>VLOOKUP(AF77,'Item List'!$A$2:$D$300,3,FALSE)</f>
        <v>#N/A</v>
      </c>
      <c r="AJ77" s="6" t="str">
        <f>VLOOKUP(AF77,'Item List'!$A$2:$D$300,4,FALSE)</f>
        <v>#N/A</v>
      </c>
      <c r="AL77" s="38" t="s">
        <v>206</v>
      </c>
      <c r="AM77" s="7">
        <f>AL80/AD93*20</f>
        <v>0.125</v>
      </c>
      <c r="AO77" s="6">
        <f>AC93/AL80</f>
        <v>320</v>
      </c>
      <c r="AP77" s="6">
        <f>AD93/AL80</f>
        <v>160</v>
      </c>
    </row>
    <row r="78">
      <c r="A78" s="1"/>
      <c r="B78" s="74" t="s">
        <v>530</v>
      </c>
      <c r="C78" s="5"/>
      <c r="D78" s="5"/>
      <c r="E78" s="5"/>
      <c r="F78" s="5"/>
      <c r="G78" s="75"/>
      <c r="H78" s="76" t="s">
        <v>293</v>
      </c>
      <c r="I78" s="4" t="s">
        <v>277</v>
      </c>
      <c r="J78" s="4">
        <v>1.0</v>
      </c>
      <c r="K78" s="4" t="s">
        <v>390</v>
      </c>
      <c r="L78" s="4">
        <f>VLOOKUP(K78,'Item Helper Sheet'!A2:B16,2,FALSE)</f>
        <v>1</v>
      </c>
      <c r="M78" s="4">
        <v>30.0</v>
      </c>
      <c r="N78" s="4">
        <f>ROUNDUP(12*20*I80/J78,0)</f>
        <v>240</v>
      </c>
      <c r="O78" s="4">
        <f>M78*N78*J78</f>
        <v>7200</v>
      </c>
      <c r="P78" s="4" t="s">
        <v>393</v>
      </c>
      <c r="Q78" s="4">
        <f>VLOOKUP(P78,'Item Helper Sheet'!A2:B16,2,FALSE)</f>
        <v>2</v>
      </c>
      <c r="R78" s="5">
        <f>M78*(2^((Q78-L78)*2))</f>
        <v>120</v>
      </c>
      <c r="S78" s="5">
        <f>ROUNDUP(IF(I78="Yes",N78/(2^((Q78-L78)*2)),N78/(2^(Q78-L78))),0)</f>
        <v>120</v>
      </c>
      <c r="T78" s="77">
        <f>R78*S78*J78</f>
        <v>14400</v>
      </c>
      <c r="V78" s="22"/>
      <c r="AF78" s="6" t="s">
        <v>205</v>
      </c>
      <c r="AG78" s="6">
        <v>0.0</v>
      </c>
      <c r="AH78" s="6">
        <f>VLOOKUP(AF78,'Item List'!$A$2:$D$300,2,FALSE)</f>
        <v>1</v>
      </c>
      <c r="AI78" s="6">
        <f>VLOOKUP(AF78,'Item List'!$A$2:$D$300,3,FALSE)</f>
        <v>3</v>
      </c>
      <c r="AJ78" s="6">
        <f>VLOOKUP(AF78,'Item List'!$A$2:$D$300,4,FALSE)</f>
        <v>2</v>
      </c>
    </row>
    <row r="79">
      <c r="B79" s="78"/>
      <c r="C79" s="4" t="s">
        <v>239</v>
      </c>
      <c r="D79" s="4">
        <f>4000*I80</f>
        <v>4000</v>
      </c>
      <c r="E79" s="4" t="s">
        <v>205</v>
      </c>
      <c r="F79" s="4">
        <f>1000*I80</f>
        <v>1000</v>
      </c>
      <c r="G79" s="79"/>
      <c r="H79" s="88"/>
      <c r="I79" s="5"/>
      <c r="J79" s="5"/>
      <c r="K79" s="5"/>
      <c r="L79" s="5"/>
      <c r="M79" s="5"/>
      <c r="N79" s="5"/>
      <c r="O79" s="5"/>
      <c r="P79" s="5"/>
      <c r="Q79" s="5"/>
      <c r="R79" s="5"/>
      <c r="S79" s="5"/>
      <c r="T79" s="77"/>
      <c r="V79" s="22"/>
      <c r="AF79" s="6" t="s">
        <v>206</v>
      </c>
      <c r="AG79" s="6">
        <v>4.0</v>
      </c>
      <c r="AH79" s="6">
        <f>VLOOKUP(AF79,'Item List'!$A$2:$D$300,2,FALSE)</f>
        <v>1</v>
      </c>
      <c r="AI79" s="6">
        <f>VLOOKUP(AF79,'Item List'!$A$2:$D$300,3,FALSE)</f>
        <v>5</v>
      </c>
      <c r="AJ79" s="6">
        <f>VLOOKUP(AF79,'Item List'!$A$2:$D$300,4,FALSE)</f>
        <v>3</v>
      </c>
      <c r="AL79" s="1" t="s">
        <v>508</v>
      </c>
      <c r="AM79" s="1" t="s">
        <v>509</v>
      </c>
      <c r="AO79" s="1" t="s">
        <v>510</v>
      </c>
    </row>
    <row r="80">
      <c r="B80" s="78"/>
      <c r="C80" s="5"/>
      <c r="D80" s="5"/>
      <c r="E80" s="4" t="s">
        <v>207</v>
      </c>
      <c r="F80" s="4">
        <f>3000*I80</f>
        <v>3000</v>
      </c>
      <c r="G80" s="79"/>
      <c r="H80" s="76" t="s">
        <v>502</v>
      </c>
      <c r="I80" s="4">
        <v>1.0</v>
      </c>
      <c r="J80" s="5"/>
      <c r="K80" s="5"/>
      <c r="L80" s="5"/>
      <c r="M80" s="5"/>
      <c r="N80" s="5"/>
      <c r="O80" s="5"/>
      <c r="P80" s="5"/>
      <c r="Q80" s="5"/>
      <c r="R80" s="5"/>
      <c r="S80" s="5"/>
      <c r="T80" s="77"/>
      <c r="V80" s="22"/>
      <c r="AF80" s="6" t="s">
        <v>207</v>
      </c>
      <c r="AG80" s="6">
        <v>0.0</v>
      </c>
      <c r="AH80" s="6">
        <f>VLOOKUP(AF80,'Item List'!$A$2:$D$300,2,FALSE)</f>
        <v>1</v>
      </c>
      <c r="AI80" s="6">
        <f>VLOOKUP(AF80,'Item List'!$A$2:$D$300,3,FALSE)</f>
        <v>4</v>
      </c>
      <c r="AJ80" s="6">
        <f>VLOOKUP(AF80,'Item List'!$A$2:$D$300,4,FALSE)</f>
        <v>2</v>
      </c>
      <c r="AL80" s="6">
        <f>VLOOKUP(AL77,AF73:AG83,2,FALSE)</f>
        <v>4</v>
      </c>
      <c r="AM80" s="1">
        <v>1.0</v>
      </c>
      <c r="AO80" s="6">
        <f>1/AM80*20</f>
        <v>20</v>
      </c>
    </row>
    <row r="81">
      <c r="B81" s="50"/>
      <c r="C81" s="52"/>
      <c r="D81" s="52"/>
      <c r="E81" s="52"/>
      <c r="F81" s="52"/>
      <c r="G81" s="43"/>
      <c r="H81" s="80"/>
      <c r="I81" s="52"/>
      <c r="J81" s="52"/>
      <c r="K81" s="52"/>
      <c r="L81" s="52"/>
      <c r="M81" s="52"/>
      <c r="N81" s="52"/>
      <c r="O81" s="52"/>
      <c r="P81" s="52"/>
      <c r="Q81" s="52"/>
      <c r="R81" s="52"/>
      <c r="S81" s="52"/>
      <c r="T81" s="53"/>
      <c r="V81" s="22"/>
      <c r="AF81" s="6" t="s">
        <v>239</v>
      </c>
      <c r="AG81" s="6">
        <v>0.0</v>
      </c>
      <c r="AH81" s="6">
        <f>VLOOKUP(AF81,'Item List'!$A$2:$D$300,2,FALSE)</f>
        <v>1</v>
      </c>
      <c r="AI81" s="6">
        <f>VLOOKUP(AF81,'Item List'!$A$2:$D$300,3,FALSE)</f>
        <v>4</v>
      </c>
      <c r="AJ81" s="6">
        <f>VLOOKUP(AF81,'Item List'!$A$2:$D$300,4,FALSE)</f>
        <v>2</v>
      </c>
    </row>
    <row r="82">
      <c r="A82" s="1"/>
      <c r="B82" s="74" t="s">
        <v>531</v>
      </c>
      <c r="C82" s="5"/>
      <c r="D82" s="5"/>
      <c r="E82" s="5"/>
      <c r="F82" s="5"/>
      <c r="G82" s="75"/>
      <c r="H82" s="76" t="s">
        <v>293</v>
      </c>
      <c r="I82" s="4" t="s">
        <v>277</v>
      </c>
      <c r="J82" s="4">
        <v>1.0</v>
      </c>
      <c r="K82" s="4" t="s">
        <v>390</v>
      </c>
      <c r="L82" s="4">
        <f>VLOOKUP(K82,'Item Helper Sheet'!A2:B16,2,FALSE)</f>
        <v>1</v>
      </c>
      <c r="M82" s="4">
        <v>30.0</v>
      </c>
      <c r="N82" s="4">
        <f>ROUNDUP(15*20*I84/J82,0)</f>
        <v>300</v>
      </c>
      <c r="O82" s="4">
        <f>M82*N82*J82</f>
        <v>9000</v>
      </c>
      <c r="P82" s="4" t="s">
        <v>393</v>
      </c>
      <c r="Q82" s="4">
        <f>VLOOKUP(P82,'Item Helper Sheet'!A2:B16,2,FALSE)</f>
        <v>2</v>
      </c>
      <c r="R82" s="5">
        <f>M82*(2^((Q82-L82)*2))</f>
        <v>120</v>
      </c>
      <c r="S82" s="5">
        <f>ROUNDUP(IF(I82="Yes",N82/(2^((Q82-L82)*2)),N82/(2^(Q82-L82))),0)</f>
        <v>150</v>
      </c>
      <c r="T82" s="77">
        <f>R82*S82*J82</f>
        <v>18000</v>
      </c>
      <c r="V82" s="22"/>
      <c r="AF82" s="6" t="s">
        <v>523</v>
      </c>
      <c r="AG82" s="6">
        <v>0.0</v>
      </c>
      <c r="AH82" s="6" t="str">
        <f>VLOOKUP(AF82,'Item List'!$A$2:$D$300,2,FALSE)</f>
        <v>#N/A</v>
      </c>
      <c r="AI82" s="6" t="str">
        <f>VLOOKUP(AF82,'Item List'!$A$2:$D$300,3,FALSE)</f>
        <v>#N/A</v>
      </c>
      <c r="AJ82" s="6" t="str">
        <f>VLOOKUP(AF82,'Item List'!$A$2:$D$300,4,FALSE)</f>
        <v>#N/A</v>
      </c>
      <c r="AN82" s="1" t="s">
        <v>513</v>
      </c>
      <c r="AO82" s="1" t="s">
        <v>514</v>
      </c>
      <c r="AP82" s="1" t="s">
        <v>515</v>
      </c>
      <c r="AQ82" s="1" t="s">
        <v>516</v>
      </c>
    </row>
    <row r="83">
      <c r="B83" s="78"/>
      <c r="C83" s="4" t="s">
        <v>205</v>
      </c>
      <c r="D83" s="4">
        <f>1000*I84</f>
        <v>1000</v>
      </c>
      <c r="E83" s="4" t="s">
        <v>206</v>
      </c>
      <c r="F83" s="4">
        <f>1*I84</f>
        <v>1</v>
      </c>
      <c r="G83" s="79"/>
      <c r="H83" s="88"/>
      <c r="I83" s="5"/>
      <c r="J83" s="5"/>
      <c r="K83" s="5"/>
      <c r="L83" s="5"/>
      <c r="M83" s="5"/>
      <c r="N83" s="5"/>
      <c r="O83" s="5"/>
      <c r="P83" s="5"/>
      <c r="Q83" s="5"/>
      <c r="R83" s="5"/>
      <c r="S83" s="5"/>
      <c r="T83" s="77"/>
      <c r="V83" s="22"/>
      <c r="AF83" s="6" t="s">
        <v>253</v>
      </c>
      <c r="AG83" s="6">
        <v>0.0</v>
      </c>
      <c r="AH83" s="6">
        <f>VLOOKUP(AF83,'Item List'!$A$2:$D$300,2,FALSE)</f>
        <v>2</v>
      </c>
      <c r="AI83" s="6">
        <f>VLOOKUP(AF83,'Item List'!$A$2:$D$300,3,FALSE)</f>
        <v>4</v>
      </c>
      <c r="AJ83" s="6">
        <f>VLOOKUP(AF83,'Item List'!$A$2:$D$300,4,FALSE)</f>
        <v>2</v>
      </c>
      <c r="AN83" s="6">
        <f>VLOOKUP(AL83,X73:Y79,2)</f>
        <v>4</v>
      </c>
      <c r="AO83" s="6">
        <f>AN83/$AL$11</f>
        <v>4</v>
      </c>
      <c r="AP83" s="6">
        <f>$AM$8*AO83</f>
        <v>0.125</v>
      </c>
      <c r="AQ83" s="6">
        <f>$AM$11*AO83</f>
        <v>4</v>
      </c>
    </row>
    <row r="84">
      <c r="B84" s="78"/>
      <c r="C84" s="5"/>
      <c r="D84" s="5"/>
      <c r="E84" s="4" t="s">
        <v>87</v>
      </c>
      <c r="F84" s="4">
        <f>4000*I84</f>
        <v>4000</v>
      </c>
      <c r="G84" s="79"/>
      <c r="H84" s="76" t="s">
        <v>502</v>
      </c>
      <c r="I84" s="4">
        <v>1.0</v>
      </c>
      <c r="J84" s="5"/>
      <c r="K84" s="5"/>
      <c r="L84" s="5"/>
      <c r="M84" s="5"/>
      <c r="N84" s="5"/>
      <c r="O84" s="5"/>
      <c r="P84" s="5"/>
      <c r="Q84" s="5"/>
      <c r="R84" s="5"/>
      <c r="S84" s="5"/>
      <c r="T84" s="77"/>
      <c r="V84" s="22"/>
    </row>
    <row r="85">
      <c r="B85" s="50"/>
      <c r="C85" s="52"/>
      <c r="D85" s="52"/>
      <c r="E85" s="52"/>
      <c r="F85" s="52"/>
      <c r="G85" s="43"/>
      <c r="H85" s="80"/>
      <c r="I85" s="52"/>
      <c r="J85" s="52"/>
      <c r="K85" s="52"/>
      <c r="L85" s="52"/>
      <c r="M85" s="52"/>
      <c r="N85" s="52"/>
      <c r="O85" s="52"/>
      <c r="P85" s="52"/>
      <c r="Q85" s="52"/>
      <c r="R85" s="52"/>
      <c r="S85" s="52"/>
      <c r="T85" s="53"/>
      <c r="V85" s="22"/>
      <c r="X85" s="6" t="s">
        <v>457</v>
      </c>
      <c r="Y85" s="6" t="s">
        <v>467</v>
      </c>
      <c r="Z85" s="6" t="s">
        <v>471</v>
      </c>
      <c r="AB85" s="6" t="s">
        <v>457</v>
      </c>
      <c r="AC85" s="6" t="s">
        <v>466</v>
      </c>
      <c r="AD85" s="6" t="s">
        <v>470</v>
      </c>
      <c r="AF85" s="6" t="s">
        <v>457</v>
      </c>
      <c r="AG85" s="6" t="s">
        <v>484</v>
      </c>
      <c r="AH85" s="6" t="s">
        <v>485</v>
      </c>
      <c r="AI85" s="6" t="s">
        <v>486</v>
      </c>
    </row>
    <row r="86">
      <c r="A86" s="1"/>
      <c r="B86" s="74" t="s">
        <v>532</v>
      </c>
      <c r="C86" s="5"/>
      <c r="D86" s="5"/>
      <c r="E86" s="5"/>
      <c r="F86" s="5"/>
      <c r="G86" s="75"/>
      <c r="H86" s="76" t="s">
        <v>293</v>
      </c>
      <c r="I86" s="4" t="s">
        <v>277</v>
      </c>
      <c r="J86" s="4">
        <v>1.0</v>
      </c>
      <c r="K86" s="4" t="s">
        <v>390</v>
      </c>
      <c r="L86" s="4">
        <f>VLOOKUP(K86,'Item Helper Sheet'!A2:B16,2,FALSE)</f>
        <v>1</v>
      </c>
      <c r="M86" s="4">
        <v>30.0</v>
      </c>
      <c r="N86" s="4">
        <f>ROUNDUP(5*20*I88/J86,0)</f>
        <v>300</v>
      </c>
      <c r="O86" s="4">
        <f>M86*N86*J86</f>
        <v>9000</v>
      </c>
      <c r="P86" s="4" t="s">
        <v>393</v>
      </c>
      <c r="Q86" s="4">
        <f>VLOOKUP(P86,'Item Helper Sheet'!A2:B16,2,FALSE)</f>
        <v>2</v>
      </c>
      <c r="R86" s="5">
        <f>M86*(2^((Q86-L86)*2))</f>
        <v>120</v>
      </c>
      <c r="S86" s="5">
        <f>ROUNDUP(IF(I86="Yes",N86/(2^((Q86-L86)*2)),N86/(2^(Q86-L86))),0)</f>
        <v>150</v>
      </c>
      <c r="T86" s="77">
        <f>R86*S86*J86</f>
        <v>18000</v>
      </c>
      <c r="V86" s="22"/>
      <c r="X86" s="6" t="s">
        <v>527</v>
      </c>
      <c r="Y86" s="6">
        <v>36000.0</v>
      </c>
      <c r="Z86" s="6" t="e">
        <v>#N/A</v>
      </c>
      <c r="AB86" s="6" t="s">
        <v>527</v>
      </c>
      <c r="AC86" s="6">
        <v>1200.0</v>
      </c>
      <c r="AD86" s="6" t="e">
        <v>#N/A</v>
      </c>
      <c r="AF86" s="6" t="s">
        <v>527</v>
      </c>
      <c r="AG86" s="6">
        <v>1.0</v>
      </c>
      <c r="AH86" s="6" t="e">
        <v>#N/A</v>
      </c>
      <c r="AI86" s="6">
        <v>-1.0</v>
      </c>
    </row>
    <row r="87">
      <c r="B87" s="78"/>
      <c r="C87" s="4" t="s">
        <v>523</v>
      </c>
      <c r="D87" s="4">
        <f>2*I88</f>
        <v>6</v>
      </c>
      <c r="E87" s="4" t="s">
        <v>206</v>
      </c>
      <c r="F87" s="4">
        <f>1*I88</f>
        <v>3</v>
      </c>
      <c r="G87" s="75"/>
      <c r="H87" s="88"/>
      <c r="I87" s="5"/>
      <c r="J87" s="5"/>
      <c r="K87" s="5"/>
      <c r="L87" s="5"/>
      <c r="M87" s="5"/>
      <c r="N87" s="5"/>
      <c r="O87" s="5"/>
      <c r="P87" s="5"/>
      <c r="Q87" s="5"/>
      <c r="R87" s="5"/>
      <c r="S87" s="5"/>
      <c r="T87" s="77"/>
      <c r="V87" s="22"/>
      <c r="X87" s="6" t="s">
        <v>530</v>
      </c>
      <c r="Y87" s="6">
        <v>7200.0</v>
      </c>
      <c r="Z87" s="6">
        <v>14400.0</v>
      </c>
      <c r="AB87" s="6" t="s">
        <v>530</v>
      </c>
      <c r="AC87" s="6">
        <v>240.0</v>
      </c>
      <c r="AD87" s="6">
        <v>120.0</v>
      </c>
      <c r="AF87" s="6" t="s">
        <v>530</v>
      </c>
      <c r="AG87" s="6">
        <v>1.0</v>
      </c>
      <c r="AH87" s="6">
        <v>2.0</v>
      </c>
      <c r="AI87" s="6">
        <v>1.0</v>
      </c>
    </row>
    <row r="88">
      <c r="B88" s="78"/>
      <c r="C88" s="4" t="s">
        <v>207</v>
      </c>
      <c r="D88" s="4">
        <f>1000*I88</f>
        <v>3000</v>
      </c>
      <c r="E88" s="4" t="s">
        <v>253</v>
      </c>
      <c r="F88" s="4">
        <f>6*I88</f>
        <v>18</v>
      </c>
      <c r="G88" s="79"/>
      <c r="H88" s="76" t="s">
        <v>502</v>
      </c>
      <c r="I88" s="4">
        <v>3.0</v>
      </c>
      <c r="J88" s="5"/>
      <c r="K88" s="5"/>
      <c r="L88" s="5"/>
      <c r="M88" s="5"/>
      <c r="N88" s="5"/>
      <c r="O88" s="5"/>
      <c r="P88" s="5"/>
      <c r="Q88" s="5"/>
      <c r="R88" s="5"/>
      <c r="S88" s="5"/>
      <c r="T88" s="77"/>
      <c r="V88" s="22"/>
      <c r="X88" s="6" t="s">
        <v>531</v>
      </c>
      <c r="Y88" s="6">
        <v>9000.0</v>
      </c>
      <c r="Z88" s="6">
        <v>18000.0</v>
      </c>
      <c r="AB88" s="6" t="s">
        <v>531</v>
      </c>
      <c r="AC88" s="6">
        <v>300.0</v>
      </c>
      <c r="AD88" s="6">
        <v>150.0</v>
      </c>
      <c r="AF88" s="6" t="s">
        <v>531</v>
      </c>
      <c r="AG88" s="6">
        <v>1.0</v>
      </c>
      <c r="AH88" s="6">
        <v>2.0</v>
      </c>
      <c r="AI88" s="6">
        <v>1.0</v>
      </c>
    </row>
    <row r="89">
      <c r="B89" s="50"/>
      <c r="C89" s="52"/>
      <c r="D89" s="52"/>
      <c r="E89" s="52"/>
      <c r="F89" s="52"/>
      <c r="G89" s="43"/>
      <c r="H89" s="80"/>
      <c r="I89" s="52"/>
      <c r="J89" s="52"/>
      <c r="K89" s="52"/>
      <c r="L89" s="52"/>
      <c r="M89" s="52"/>
      <c r="N89" s="52"/>
      <c r="O89" s="52"/>
      <c r="P89" s="52"/>
      <c r="Q89" s="52"/>
      <c r="R89" s="52"/>
      <c r="S89" s="52"/>
      <c r="T89" s="53"/>
      <c r="V89" s="22"/>
      <c r="X89" s="6" t="s">
        <v>532</v>
      </c>
      <c r="Y89" s="6">
        <v>9000.0</v>
      </c>
      <c r="Z89" s="6">
        <v>18000.0</v>
      </c>
      <c r="AB89" s="6" t="s">
        <v>532</v>
      </c>
      <c r="AC89" s="6">
        <v>300.0</v>
      </c>
      <c r="AD89" s="6">
        <v>150.0</v>
      </c>
      <c r="AF89" s="6" t="s">
        <v>532</v>
      </c>
      <c r="AG89" s="6">
        <v>1.0</v>
      </c>
      <c r="AH89" s="6">
        <v>2.0</v>
      </c>
      <c r="AI89" s="6">
        <v>1.0</v>
      </c>
    </row>
    <row r="90">
      <c r="A90" s="1"/>
      <c r="B90" s="74" t="s">
        <v>533</v>
      </c>
      <c r="C90" s="5"/>
      <c r="D90" s="5"/>
      <c r="E90" s="5"/>
      <c r="F90" s="5"/>
      <c r="G90" s="75"/>
      <c r="H90" s="76" t="s">
        <v>303</v>
      </c>
      <c r="I90" s="4" t="s">
        <v>277</v>
      </c>
      <c r="J90" s="4">
        <v>1.0</v>
      </c>
      <c r="K90" s="4" t="s">
        <v>393</v>
      </c>
      <c r="L90" s="4">
        <f>VLOOKUP(K90,'Item Helper Sheet'!A2:B16,2,FALSE)</f>
        <v>2</v>
      </c>
      <c r="M90" s="4">
        <v>60.0</v>
      </c>
      <c r="N90" s="4">
        <f>ROUNDUP(1.6*20*I92/J90,0)</f>
        <v>192</v>
      </c>
      <c r="O90" s="4">
        <f>M90*N90*J90</f>
        <v>11520</v>
      </c>
      <c r="P90" s="4" t="s">
        <v>393</v>
      </c>
      <c r="Q90" s="4">
        <f>VLOOKUP(P90,'Item Helper Sheet'!A2:B16,2,FALSE)</f>
        <v>2</v>
      </c>
      <c r="R90" s="5">
        <f>M90*(2^((Q90-L90)*2))</f>
        <v>60</v>
      </c>
      <c r="S90" s="5">
        <f>ROUNDUP(IF(I90="Yes",N90/(2^((Q90-L90)*2)),N90/(2^(Q90-L90))),0)</f>
        <v>192</v>
      </c>
      <c r="T90" s="77">
        <f>R90*S90*J90</f>
        <v>11520</v>
      </c>
      <c r="V90" s="22"/>
      <c r="X90" s="6" t="s">
        <v>533</v>
      </c>
      <c r="Y90" s="6">
        <v>11520.0</v>
      </c>
      <c r="Z90" s="6">
        <v>11520.0</v>
      </c>
      <c r="AB90" s="6" t="s">
        <v>533</v>
      </c>
      <c r="AC90" s="6">
        <v>192.0</v>
      </c>
      <c r="AD90" s="6">
        <v>192.0</v>
      </c>
      <c r="AF90" s="6" t="s">
        <v>533</v>
      </c>
      <c r="AG90" s="6">
        <v>2.0</v>
      </c>
      <c r="AH90" s="6">
        <v>2.0</v>
      </c>
      <c r="AI90" s="6">
        <v>0.0</v>
      </c>
    </row>
    <row r="91">
      <c r="B91" s="78"/>
      <c r="C91" s="4" t="s">
        <v>253</v>
      </c>
      <c r="D91" s="4">
        <f>3*I92</f>
        <v>18</v>
      </c>
      <c r="E91" s="4" t="s">
        <v>523</v>
      </c>
      <c r="F91" s="4">
        <f>1*I92</f>
        <v>6</v>
      </c>
      <c r="G91" s="75"/>
      <c r="H91" s="88"/>
      <c r="I91" s="5"/>
      <c r="J91" s="5"/>
      <c r="K91" s="5"/>
      <c r="L91" s="5"/>
      <c r="M91" s="5"/>
      <c r="N91" s="5"/>
      <c r="O91" s="5"/>
      <c r="P91" s="5"/>
      <c r="Q91" s="5"/>
      <c r="R91" s="5"/>
      <c r="S91" s="5"/>
      <c r="T91" s="77"/>
      <c r="V91" s="22"/>
      <c r="X91" s="6" t="s">
        <v>534</v>
      </c>
      <c r="Y91" s="6">
        <v>5040.0</v>
      </c>
      <c r="Z91" s="6">
        <v>10080.0</v>
      </c>
      <c r="AB91" s="6" t="s">
        <v>534</v>
      </c>
      <c r="AC91" s="6">
        <v>720.0</v>
      </c>
      <c r="AD91" s="6">
        <v>360.0</v>
      </c>
      <c r="AF91" s="6" t="s">
        <v>534</v>
      </c>
      <c r="AG91" s="6">
        <v>1.0</v>
      </c>
      <c r="AH91" s="6">
        <v>2.0</v>
      </c>
      <c r="AI91" s="6">
        <v>1.0</v>
      </c>
    </row>
    <row r="92">
      <c r="B92" s="78"/>
      <c r="C92" s="5"/>
      <c r="D92" s="5"/>
      <c r="E92" s="4" t="s">
        <v>48</v>
      </c>
      <c r="F92" s="4">
        <f>2000*I92</f>
        <v>12000</v>
      </c>
      <c r="G92" s="79"/>
      <c r="H92" s="76" t="s">
        <v>502</v>
      </c>
      <c r="I92" s="4">
        <v>6.0</v>
      </c>
      <c r="J92" s="5"/>
      <c r="K92" s="5"/>
      <c r="L92" s="5"/>
      <c r="M92" s="5"/>
      <c r="N92" s="5"/>
      <c r="O92" s="5"/>
      <c r="P92" s="5"/>
      <c r="Q92" s="5"/>
      <c r="R92" s="5"/>
      <c r="S92" s="5"/>
      <c r="T92" s="77"/>
      <c r="V92" s="22"/>
      <c r="X92" s="6" t="s">
        <v>487</v>
      </c>
      <c r="Y92" s="6">
        <v>77760.0</v>
      </c>
      <c r="Z92" s="6" t="e">
        <v>#N/A</v>
      </c>
    </row>
    <row r="93">
      <c r="B93" s="50"/>
      <c r="C93" s="52"/>
      <c r="D93" s="52"/>
      <c r="E93" s="52"/>
      <c r="F93" s="52"/>
      <c r="G93" s="43"/>
      <c r="H93" s="80"/>
      <c r="I93" s="52"/>
      <c r="J93" s="52"/>
      <c r="K93" s="52"/>
      <c r="L93" s="52"/>
      <c r="M93" s="52"/>
      <c r="N93" s="52"/>
      <c r="O93" s="52"/>
      <c r="P93" s="52"/>
      <c r="Q93" s="52"/>
      <c r="R93" s="52"/>
      <c r="S93" s="52"/>
      <c r="T93" s="53"/>
      <c r="V93" s="22"/>
    </row>
    <row r="94">
      <c r="A94" s="1"/>
      <c r="B94" s="74" t="s">
        <v>534</v>
      </c>
      <c r="C94" s="5"/>
      <c r="D94" s="5"/>
      <c r="E94" s="5"/>
      <c r="F94" s="5"/>
      <c r="G94" s="75"/>
      <c r="H94" s="76" t="s">
        <v>293</v>
      </c>
      <c r="I94" s="4" t="s">
        <v>277</v>
      </c>
      <c r="J94" s="4">
        <v>1.0</v>
      </c>
      <c r="K94" s="4" t="s">
        <v>390</v>
      </c>
      <c r="L94" s="4">
        <f>VLOOKUP(K94,'Item Helper Sheet'!A2:B16,2,FALSE)</f>
        <v>1</v>
      </c>
      <c r="M94" s="4">
        <v>7.0</v>
      </c>
      <c r="N94" s="4">
        <f>ROUNDUP(3*20*I96/J94,0)</f>
        <v>720</v>
      </c>
      <c r="O94" s="4">
        <f>M94*N94*J94</f>
        <v>5040</v>
      </c>
      <c r="P94" s="4" t="s">
        <v>393</v>
      </c>
      <c r="Q94" s="4">
        <f>VLOOKUP(P94,'Item Helper Sheet'!A2:B16,2,FALSE)</f>
        <v>2</v>
      </c>
      <c r="R94" s="5">
        <f>M94*(2^((Q94-L94)*2))</f>
        <v>28</v>
      </c>
      <c r="S94" s="5">
        <f>ROUNDUP(IF(I94="Yes",N94/(2^((Q94-L94)*2)),N94/(2^(Q94-L94))),0)</f>
        <v>360</v>
      </c>
      <c r="T94" s="77">
        <f>R94*S94*J94</f>
        <v>10080</v>
      </c>
      <c r="V94" s="22"/>
      <c r="X94" s="6" t="s">
        <v>519</v>
      </c>
      <c r="Y94" s="6" t="s">
        <v>462</v>
      </c>
      <c r="Z94" s="6"/>
    </row>
    <row r="95">
      <c r="B95" s="78"/>
      <c r="C95" s="4" t="s">
        <v>87</v>
      </c>
      <c r="D95" s="4">
        <f>1000*I96</f>
        <v>12000</v>
      </c>
      <c r="E95" s="4" t="s">
        <v>85</v>
      </c>
      <c r="F95" s="4">
        <f>1000*I96</f>
        <v>12000</v>
      </c>
      <c r="G95" s="75"/>
      <c r="H95" s="5"/>
      <c r="I95" s="5"/>
      <c r="J95" s="5"/>
      <c r="K95" s="5"/>
      <c r="L95" s="5"/>
      <c r="M95" s="5"/>
      <c r="N95" s="5"/>
      <c r="O95" s="5"/>
      <c r="P95" s="5"/>
      <c r="Q95" s="5"/>
      <c r="R95" s="5"/>
      <c r="S95" s="5"/>
      <c r="T95" s="77"/>
      <c r="V95" s="22"/>
      <c r="X95" s="6" t="s">
        <v>457</v>
      </c>
      <c r="Y95" s="6" t="s">
        <v>293</v>
      </c>
      <c r="Z95" s="6" t="s">
        <v>303</v>
      </c>
    </row>
    <row r="96">
      <c r="B96" s="81"/>
      <c r="C96" s="83" t="s">
        <v>48</v>
      </c>
      <c r="D96" s="83">
        <f>1000*I96</f>
        <v>12000</v>
      </c>
      <c r="E96" s="82"/>
      <c r="F96" s="82"/>
      <c r="G96" s="84"/>
      <c r="H96" s="85" t="s">
        <v>502</v>
      </c>
      <c r="I96" s="83">
        <v>12.0</v>
      </c>
      <c r="J96" s="82"/>
      <c r="K96" s="82"/>
      <c r="L96" s="82"/>
      <c r="M96" s="82"/>
      <c r="N96" s="82"/>
      <c r="O96" s="82"/>
      <c r="P96" s="82"/>
      <c r="Q96" s="82"/>
      <c r="R96" s="82"/>
      <c r="S96" s="82"/>
      <c r="T96" s="86"/>
      <c r="V96" s="22"/>
      <c r="X96" s="6" t="s">
        <v>527</v>
      </c>
      <c r="Y96" s="6">
        <v>1.0</v>
      </c>
      <c r="Z96" s="6"/>
    </row>
    <row r="97">
      <c r="V97" s="22"/>
      <c r="X97" s="6" t="s">
        <v>530</v>
      </c>
      <c r="Y97" s="6">
        <v>1.0</v>
      </c>
      <c r="Z97" s="6"/>
    </row>
    <row r="98">
      <c r="C98" s="1" t="s">
        <v>206</v>
      </c>
      <c r="E98" s="1" t="s">
        <v>522</v>
      </c>
      <c r="V98" s="22"/>
      <c r="X98" s="6" t="s">
        <v>531</v>
      </c>
      <c r="Y98" s="6">
        <v>1.0</v>
      </c>
      <c r="Z98" s="6"/>
      <c r="AB98" s="6" t="s">
        <v>519</v>
      </c>
      <c r="AC98" s="6" t="s">
        <v>495</v>
      </c>
      <c r="AD98" s="6"/>
      <c r="AE98" s="6"/>
      <c r="AF98" s="6" t="s">
        <v>519</v>
      </c>
      <c r="AG98" s="6" t="s">
        <v>468</v>
      </c>
      <c r="AH98" s="6"/>
      <c r="AI98" s="6"/>
    </row>
    <row r="99">
      <c r="V99" s="22"/>
      <c r="X99" s="6" t="s">
        <v>532</v>
      </c>
      <c r="Y99" s="6">
        <v>1.0</v>
      </c>
      <c r="Z99" s="6"/>
      <c r="AB99" s="6" t="s">
        <v>462</v>
      </c>
      <c r="AC99" s="6" t="s">
        <v>390</v>
      </c>
      <c r="AD99" s="6" t="s">
        <v>393</v>
      </c>
      <c r="AE99" s="6" t="s">
        <v>487</v>
      </c>
      <c r="AF99" s="6" t="s">
        <v>462</v>
      </c>
      <c r="AG99" s="6" t="s">
        <v>393</v>
      </c>
      <c r="AH99" s="6" t="s">
        <v>430</v>
      </c>
      <c r="AI99" s="6" t="s">
        <v>487</v>
      </c>
    </row>
    <row r="100">
      <c r="C100" s="87"/>
      <c r="D100" s="87"/>
      <c r="E100" s="87"/>
      <c r="F100" s="87"/>
      <c r="G100" s="87"/>
      <c r="H100" s="87"/>
      <c r="I100" s="87"/>
      <c r="J100" s="87"/>
      <c r="K100" s="87"/>
      <c r="L100" s="87"/>
      <c r="M100" s="87"/>
      <c r="N100" s="87"/>
      <c r="O100" s="87"/>
      <c r="P100" s="87"/>
      <c r="Q100" s="87"/>
      <c r="R100" s="87"/>
      <c r="S100" s="87"/>
      <c r="T100" s="87"/>
      <c r="U100" s="87"/>
      <c r="V100" s="22"/>
      <c r="X100" s="6" t="s">
        <v>533</v>
      </c>
      <c r="Y100" s="6"/>
      <c r="Z100" s="6">
        <v>1.0</v>
      </c>
      <c r="AB100" s="6" t="s">
        <v>293</v>
      </c>
      <c r="AC100" s="6">
        <v>5.0</v>
      </c>
      <c r="AD100" s="6"/>
      <c r="AE100" s="6">
        <v>5.0</v>
      </c>
      <c r="AF100" s="6" t="s">
        <v>293</v>
      </c>
      <c r="AG100" s="6">
        <v>4.0</v>
      </c>
      <c r="AH100" s="6">
        <v>1.0</v>
      </c>
      <c r="AI100" s="6">
        <v>5.0</v>
      </c>
    </row>
    <row r="101">
      <c r="C101" s="4"/>
      <c r="D101" s="4"/>
      <c r="E101" s="4"/>
      <c r="F101" s="4"/>
      <c r="G101" s="4"/>
      <c r="H101" s="4"/>
      <c r="I101" s="4"/>
      <c r="J101" s="4"/>
      <c r="K101" s="4"/>
      <c r="L101" s="4"/>
      <c r="M101" s="4"/>
      <c r="N101" s="4"/>
      <c r="O101" s="4"/>
      <c r="P101" s="4"/>
      <c r="Q101" s="4"/>
      <c r="R101" s="4"/>
      <c r="S101" s="4"/>
      <c r="T101" s="4"/>
      <c r="U101" s="4"/>
      <c r="V101" s="22"/>
      <c r="X101" s="6" t="s">
        <v>534</v>
      </c>
      <c r="Y101" s="6">
        <v>1.0</v>
      </c>
      <c r="Z101" s="6"/>
      <c r="AB101" s="6" t="s">
        <v>303</v>
      </c>
      <c r="AC101" s="6"/>
      <c r="AD101" s="6">
        <v>1.0</v>
      </c>
      <c r="AE101" s="6">
        <v>1.0</v>
      </c>
      <c r="AF101" s="6" t="s">
        <v>303</v>
      </c>
      <c r="AG101" s="6">
        <v>1.0</v>
      </c>
      <c r="AH101" s="6"/>
      <c r="AI101" s="6">
        <v>1.0</v>
      </c>
    </row>
    <row r="102">
      <c r="C102" s="4" t="s">
        <v>535</v>
      </c>
      <c r="U102" s="4"/>
      <c r="V102" s="22"/>
      <c r="X102" s="6" t="s">
        <v>487</v>
      </c>
      <c r="Y102" s="6">
        <v>5.0</v>
      </c>
      <c r="Z102" s="6">
        <v>1.0</v>
      </c>
      <c r="AB102" s="6" t="s">
        <v>487</v>
      </c>
      <c r="AC102" s="6">
        <v>5.0</v>
      </c>
      <c r="AD102" s="6">
        <v>1.0</v>
      </c>
      <c r="AE102" s="6">
        <v>6.0</v>
      </c>
      <c r="AF102" s="6" t="s">
        <v>487</v>
      </c>
      <c r="AG102" s="6">
        <v>5.0</v>
      </c>
      <c r="AH102" s="6">
        <v>1.0</v>
      </c>
      <c r="AI102" s="6">
        <v>6.0</v>
      </c>
    </row>
    <row r="103">
      <c r="V103" s="22"/>
    </row>
  </sheetData>
  <mergeCells count="17">
    <mergeCell ref="B1:T1"/>
    <mergeCell ref="X1:AR1"/>
    <mergeCell ref="B2:T2"/>
    <mergeCell ref="X2:AR2"/>
    <mergeCell ref="B25:T25"/>
    <mergeCell ref="X25:AR25"/>
    <mergeCell ref="X26:AR26"/>
    <mergeCell ref="X70:AR70"/>
    <mergeCell ref="X71:AR71"/>
    <mergeCell ref="B26:T26"/>
    <mergeCell ref="B49:T49"/>
    <mergeCell ref="X49:AR49"/>
    <mergeCell ref="B50:T50"/>
    <mergeCell ref="X50:AR50"/>
    <mergeCell ref="B70:T70"/>
    <mergeCell ref="B71:T71"/>
    <mergeCell ref="C102:T102"/>
  </mergeCells>
  <dataValidations>
    <dataValidation type="list" allowBlank="1" showErrorMessage="1" sqref="K5 P5 K9 P9 K13 P13 K29 P29 K33 P33 K37 P37 K53 P53 K57 P57 K74 P74 K78 P78 K82 P82 K86 P86 K90 P90 K94 P94">
      <formula1>'Item Helper Sheet'!$A$2:$A$16</formula1>
    </dataValidation>
    <dataValidation type="list" allowBlank="1" showErrorMessage="1" sqref="H5 H9 H13 H29 H33 H37 H53 H57 H74 H78 H82 H86 H90 H94">
      <formula1>'Machine List'!$A$2:$A$107</formula1>
    </dataValidation>
    <dataValidation type="list" allowBlank="1" sqref="E6 C6:C7 AL8 C10:C11 E10:E11 C14 E14:E15 C17 E17 E30 C30:C31 AL32 C34:C35 E34:E35 C38 E38:E39 C41 E41 C54:C55 E54:E55 AL56 C58:C59 E58:E59 C61 E61 C75:C76 E75:E76 AL77 C79 E79:E80 C83 E83:E84 C87:C88 E87:E88 C91 E91:E92 E95 C95:C96 C98 E98">
      <formula1>'Item List'!$A$2:$A$300</formula1>
    </dataValidation>
    <dataValidation type="list" allowBlank="1" showErrorMessage="1" sqref="I5 I9 I13 I29 I33 I37 I53 I57 I74 I78 I82 I86 I90 I94">
      <formula1>"Yes,No"</formula1>
    </dataValidation>
  </dataValidation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19.75"/>
    <col customWidth="1" min="5" max="5" width="20.5"/>
    <col customWidth="1" min="8" max="8" width="20.0"/>
    <col customWidth="1" min="9" max="9" width="12.63"/>
    <col customWidth="1" min="10" max="10" width="17.63"/>
    <col customWidth="1" min="11" max="44" width="9.5"/>
    <col customWidth="1" min="45" max="45" width="11.38"/>
    <col customWidth="1" min="46" max="59" width="9.5"/>
    <col customWidth="1" min="63" max="63" width="22.38"/>
    <col customWidth="1" min="64" max="64" width="13.88"/>
    <col customWidth="1" min="65" max="65" width="9.63"/>
    <col customWidth="1" min="66" max="67" width="22.38"/>
    <col customWidth="1" min="68" max="68" width="10.25"/>
    <col customWidth="1" min="69" max="69" width="22.38"/>
    <col customWidth="1" min="70" max="70" width="14.0"/>
    <col customWidth="1" min="71" max="71" width="13.88"/>
    <col customWidth="1" min="72" max="72" width="22.38"/>
    <col customWidth="1" min="73" max="73" width="9.25"/>
    <col customWidth="1" min="75" max="75" width="22.38"/>
    <col customWidth="1" min="77" max="77" width="22.5"/>
    <col customWidth="1" min="78" max="78" width="15.88"/>
    <col customWidth="1" min="79" max="79" width="22.38"/>
    <col customWidth="1" min="80" max="80" width="18.88"/>
    <col customWidth="1" min="81" max="81" width="19.88"/>
    <col customWidth="1" min="82" max="82" width="18.13"/>
    <col customWidth="1" min="83" max="83" width="20.25"/>
    <col customWidth="1" min="84" max="84" width="18.25"/>
    <col customWidth="1" min="85" max="85" width="14.38"/>
    <col customWidth="1" min="86" max="86" width="17.25"/>
    <col customWidth="1" min="87" max="87" width="15.88"/>
  </cols>
  <sheetData>
    <row r="1">
      <c r="A1" s="8"/>
      <c r="B1" s="9" t="s">
        <v>536</v>
      </c>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3"/>
      <c r="BI1" s="12" t="s">
        <v>490</v>
      </c>
      <c r="BJ1" s="8"/>
      <c r="BK1" s="9" t="s">
        <v>537</v>
      </c>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3"/>
    </row>
    <row r="2">
      <c r="A2" s="14"/>
      <c r="B2" s="15" t="s">
        <v>538</v>
      </c>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8"/>
      <c r="BI2" s="12" t="s">
        <v>492</v>
      </c>
      <c r="BJ2" s="14"/>
      <c r="BK2" s="15" t="s">
        <v>539</v>
      </c>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8"/>
    </row>
    <row r="3">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1"/>
      <c r="BI3" s="22"/>
      <c r="BJ3" s="19"/>
      <c r="BK3" s="20"/>
      <c r="BL3" s="20"/>
      <c r="BM3" s="20"/>
      <c r="BN3" s="20"/>
      <c r="BO3" s="20"/>
      <c r="BP3" s="20"/>
      <c r="BQ3" s="20"/>
      <c r="BR3" s="20"/>
      <c r="BS3" s="20"/>
      <c r="BT3" s="20"/>
      <c r="BU3" s="20"/>
      <c r="BV3" s="20"/>
      <c r="BW3" s="20"/>
      <c r="BX3" s="20"/>
      <c r="BY3" s="20"/>
      <c r="BZ3" s="20"/>
      <c r="CA3" s="20"/>
      <c r="CB3" s="20"/>
      <c r="CC3" s="20"/>
      <c r="CD3" s="20"/>
      <c r="CE3" s="20"/>
      <c r="CF3" s="4"/>
      <c r="CG3" s="4"/>
      <c r="CH3" s="4"/>
      <c r="CI3" s="4"/>
      <c r="CJ3" s="4"/>
      <c r="CK3" s="4"/>
    </row>
    <row r="4">
      <c r="A4" s="23"/>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2" t="s">
        <v>495</v>
      </c>
      <c r="Z4" s="90" t="s">
        <v>421</v>
      </c>
      <c r="AA4" s="92" t="s">
        <v>553</v>
      </c>
      <c r="AB4" s="90" t="s">
        <v>554</v>
      </c>
      <c r="AC4" s="92" t="s">
        <v>555</v>
      </c>
      <c r="AD4" s="93" t="s">
        <v>467</v>
      </c>
      <c r="AE4" s="90"/>
      <c r="AF4" s="90" t="s">
        <v>556</v>
      </c>
      <c r="AG4" s="94" t="s">
        <v>475</v>
      </c>
      <c r="AH4" s="90" t="s">
        <v>557</v>
      </c>
      <c r="AI4" s="90" t="s">
        <v>558</v>
      </c>
      <c r="AJ4" s="90" t="s">
        <v>559</v>
      </c>
      <c r="AK4" s="92" t="s">
        <v>560</v>
      </c>
      <c r="AL4" s="90" t="s">
        <v>561</v>
      </c>
      <c r="AM4" s="90" t="s">
        <v>562</v>
      </c>
      <c r="AN4" s="92" t="s">
        <v>563</v>
      </c>
      <c r="AO4" s="90" t="s">
        <v>564</v>
      </c>
      <c r="AP4" s="90" t="s">
        <v>565</v>
      </c>
      <c r="AQ4" s="95" t="s">
        <v>566</v>
      </c>
      <c r="AR4" s="90"/>
      <c r="AS4" s="90" t="s">
        <v>468</v>
      </c>
      <c r="AT4" s="92" t="s">
        <v>496</v>
      </c>
      <c r="AU4" s="94" t="s">
        <v>567</v>
      </c>
      <c r="AV4" s="90" t="s">
        <v>568</v>
      </c>
      <c r="AW4" s="90" t="s">
        <v>569</v>
      </c>
      <c r="AX4" s="90" t="s">
        <v>570</v>
      </c>
      <c r="AY4" s="92" t="s">
        <v>571</v>
      </c>
      <c r="AZ4" s="90" t="s">
        <v>572</v>
      </c>
      <c r="BA4" s="90" t="s">
        <v>573</v>
      </c>
      <c r="BB4" s="90" t="s">
        <v>574</v>
      </c>
      <c r="BC4" s="90" t="s">
        <v>575</v>
      </c>
      <c r="BD4" s="92" t="s">
        <v>576</v>
      </c>
      <c r="BE4" s="92" t="s">
        <v>577</v>
      </c>
      <c r="BF4" s="92" t="s">
        <v>578</v>
      </c>
      <c r="BG4" s="96" t="s">
        <v>471</v>
      </c>
      <c r="BH4" s="27"/>
      <c r="BI4" s="28"/>
      <c r="BJ4" s="29"/>
      <c r="BZ4" s="7"/>
      <c r="CB4" s="7"/>
      <c r="CC4" s="7"/>
      <c r="CE4" s="7"/>
    </row>
    <row r="5">
      <c r="A5" s="23"/>
      <c r="B5" s="31" t="s">
        <v>579</v>
      </c>
      <c r="C5" s="32"/>
      <c r="D5" s="33"/>
      <c r="E5" s="33"/>
      <c r="F5" s="34"/>
      <c r="G5" s="35"/>
      <c r="H5" s="55" t="s">
        <v>298</v>
      </c>
      <c r="I5" s="38" t="str">
        <f>VLOOKUP(H5,'Machine List'!$A$1:$I$300,9,FALSE)</f>
        <v>4000+500(7O-5)</v>
      </c>
      <c r="J5" s="38">
        <f>IF(VLOOKUP(H5,'Machine List'!$A$1:$I$300,5,FALSE)="Multi",IF(VLOOKUP(H5,'Machine List'!$A$1:$I$300,6,FALSE)="Yes",AG5*3*10^Z5,AG5*(2*3)*10^(Z5-1)),0)</f>
        <v>600</v>
      </c>
      <c r="K5" s="38">
        <f>J5+IF(ISNUMBER(I5),I5,
  SWITCH(
      I5,
      "1T",1*10^Z5,
      "2T",2*10^Z5,
      "3T",3*10^Z5,
      "4T",4*10^Z5,
      "4000+500(7O-5)",4000+500*(7*I6-5),
      "13500 + 16C",13500+16*VLOOKUP(J7,'Machine Helper Sheet'!$G$1:$K$16,5,FALSE),
      1
  )
)</f>
        <v>19600</v>
      </c>
      <c r="L5" s="38">
        <f>IF(VLOOKUP(H5,'Machine List'!$A$1:$I$300,5,FALSE)="Multi",IF(VLOOKUP(H5,'Machine List'!$A$1:$I$300,6,FALSE)="Yes",AU5*3*10^AT5,AU5*(2*3)*10^(AT5-1)),0)</f>
        <v>240000</v>
      </c>
      <c r="M5" s="38">
        <f>L5+IF(ISNUMBER(I5),I5,
  SWITCH(
      I5,
      "1T",1*10^AT5,
      "2T",2*10^AT5,
      "3T",3*10^AT5,
      "4T",4*10^AT5,
      "4000+500(7O-5)",4000+500*(7*I6-5),
      1
  )
)</f>
        <v>259000</v>
      </c>
      <c r="N5" s="38" t="str">
        <f>VLOOKUP(H5,'Machine List'!$A$1:$I$300,8,FALSE)</f>
        <v>Tier</v>
      </c>
      <c r="O5" s="38">
        <f>IF(ISNUMBER(N5),N5,10^Z5)</f>
        <v>1000</v>
      </c>
      <c r="P5" s="38">
        <f>IF(ISNUMBER(N5),N5,10^AT5)</f>
        <v>100000</v>
      </c>
      <c r="Q5" s="38">
        <f>VLOOKUP(H5,'Machine List'!$A$1:$B$138,2,FALSE)</f>
        <v>1</v>
      </c>
      <c r="R5" s="38" t="s">
        <v>277</v>
      </c>
      <c r="S5" s="45">
        <f>IF(ISNUMBER(Q5),Q5,
  SWITCH(
      Q5,
      "1",1,
      "2T",Z5*2,
      "4T",Z5*4,
      "6T",Z5*6,
      "8T",Z5*8,
      "10T",Z5*10,
      "12T",Z5*12,
      "14T",Z5*14,
      "16T",Z5*16,
      "2(T+1)",2*(Z5+1),
      "1T*C",Z5*J7,
      1
  )
)</f>
        <v>1</v>
      </c>
      <c r="T5" s="38" t="s">
        <v>277</v>
      </c>
      <c r="U5" s="38">
        <f>IF(OR(T5="No",T5=""),S5,T5)</f>
        <v>1</v>
      </c>
      <c r="V5" s="38">
        <f>IF(ISNUMBER(Q5),Q5,
  SWITCH(
      Q5,
      "1",1,
      "2T",AT5*2,
      "4T",AT5*4,
      "6T",AT5*6,
      "8T",AT5*8,
      "10T",AT5*10,
      "12T",AT5*12,
      "14T",AT5*14,
      "16T",AT5*16,
      "2(T+1)",2*(AT5+1),
      "1T*C",AT5*J7,
      1
  )
)</f>
        <v>1</v>
      </c>
      <c r="W5" s="38" t="str">
        <f>T5</f>
        <v>No</v>
      </c>
      <c r="X5" s="38">
        <f>IF(OR(W5="No",W5=""),V5,W5)</f>
        <v>1</v>
      </c>
      <c r="Y5" s="38" t="s">
        <v>397</v>
      </c>
      <c r="Z5" s="38">
        <f>VLOOKUP(Y5,'Item Helper Sheet'!$A$2:$B$16,2,FALSE)</f>
        <v>3</v>
      </c>
      <c r="AA5" s="38">
        <v>480.0</v>
      </c>
      <c r="AB5" s="38">
        <f>1.6*20</f>
        <v>32</v>
      </c>
      <c r="AC5" s="38">
        <f>AB5*I7</f>
        <v>19200</v>
      </c>
      <c r="AD5" s="38">
        <f>AA5*AC5</f>
        <v>9216000</v>
      </c>
      <c r="AE5" s="75"/>
      <c r="AF5" s="38" t="str">
        <f>Y5</f>
        <v>03 - HV</v>
      </c>
      <c r="AG5" s="38">
        <v>1.0</v>
      </c>
      <c r="AH5" s="38">
        <v>1.0</v>
      </c>
      <c r="AI5" s="38">
        <f>AH5*8*4^Z5</f>
        <v>512</v>
      </c>
      <c r="AJ5" s="38">
        <f>MIN(ROUNDDOWN(AI5/AL5,0),U5)</f>
        <v>1</v>
      </c>
      <c r="AK5" s="38">
        <f>AJ5*AG5</f>
        <v>1</v>
      </c>
      <c r="AL5" s="38">
        <f>ROUNDUP(AA5*VLOOKUP(H5,'Machine List'!$A$2:$D$219,4,FALSE),0)</f>
        <v>480</v>
      </c>
      <c r="AM5" s="38">
        <f>AL5*AK5</f>
        <v>480</v>
      </c>
      <c r="AN5" s="38">
        <f>ROUNDUP(AB5*I7,0)</f>
        <v>19200</v>
      </c>
      <c r="AO5" s="38">
        <f>ROUNDUP(AN5/VLOOKUP(H5,'Machine List'!$A$2:$D$219,3,FALSE),0)</f>
        <v>19200</v>
      </c>
      <c r="AP5" s="38">
        <f>ROUNDUP(AO5/AK5,0)</f>
        <v>19200</v>
      </c>
      <c r="AQ5" s="38">
        <f>AM5*AP5</f>
        <v>9216000</v>
      </c>
      <c r="AR5" s="75"/>
      <c r="AS5" s="38" t="s">
        <v>405</v>
      </c>
      <c r="AT5" s="38">
        <f>VLOOKUP(AS5,'Item Helper Sheet'!$A$2:$B$16,2,FALSE)</f>
        <v>5</v>
      </c>
      <c r="AU5" s="38">
        <v>4.0</v>
      </c>
      <c r="AV5" s="38">
        <v>1.0</v>
      </c>
      <c r="AW5" s="38">
        <f>AV5*8*4^AT5</f>
        <v>8192</v>
      </c>
      <c r="AX5" s="38">
        <f>MIN(ROUNDDOWN(AW5/AL5,0),X5)</f>
        <v>1</v>
      </c>
      <c r="AY5" s="38">
        <f>AX5*AU5</f>
        <v>4</v>
      </c>
      <c r="AZ5" s="38">
        <f>AL5</f>
        <v>480</v>
      </c>
      <c r="BA5" s="38">
        <f>MIN(AT5-Z5,IF(AW5&gt;=AZ6*4,
IF(AW5&gt;=AZ6*4^2,
IF(AW5&gt;=AZ6*4^3,
IF(AW5&gt;=AZ6*4^4,
IF(AW5&gt;=AZ6*4^5,
IF(AW5&gt;=AZ6*4^6,
IF(AW5&gt;=AZ6*4^7,
IF(AW5&gt;=AZ6*4^8,
IF(AW5&gt;=AZ6*4^9,
IF(AW5&gt;=AZ6*4^10,
9),
8),
7),
6),
5),
4),
3),
2),
1),
0))</f>
        <v>2</v>
      </c>
      <c r="BB5" s="38">
        <f>AZ5*AX5*4^BA5</f>
        <v>7680</v>
      </c>
      <c r="BC5" s="38">
        <f>BB5*AU5</f>
        <v>30720</v>
      </c>
      <c r="BD5" s="45">
        <f>ROUNDUP(IF(R5="Yes",AN5/(2^((BA5)*2)),AN5/(2^(BA5))),0)</f>
        <v>4800</v>
      </c>
      <c r="BE5" s="45">
        <f>ROUNDUP(BD5/VLOOKUP(H5,'Machine List'!$A$2:$D$219,3,FALSE),0)</f>
        <v>4800</v>
      </c>
      <c r="BF5" s="45">
        <f>ROUNDUP(BE5/AY5,0)</f>
        <v>1200</v>
      </c>
      <c r="BG5" s="46">
        <f>BF5*BC5</f>
        <v>36864000</v>
      </c>
      <c r="BH5" s="30"/>
      <c r="BI5" s="28"/>
      <c r="BJ5" s="29"/>
      <c r="BQ5" s="6" t="s">
        <v>458</v>
      </c>
      <c r="BR5" s="6" t="s">
        <v>497</v>
      </c>
      <c r="BS5" s="7" t="s">
        <v>281</v>
      </c>
      <c r="BT5" s="7" t="s">
        <v>8</v>
      </c>
      <c r="BU5" s="1" t="s">
        <v>9</v>
      </c>
      <c r="BY5" s="97" t="s">
        <v>513</v>
      </c>
      <c r="BZ5" s="97" t="s">
        <v>514</v>
      </c>
      <c r="CA5" s="97" t="s">
        <v>580</v>
      </c>
      <c r="CB5" s="97" t="s">
        <v>581</v>
      </c>
      <c r="CC5" s="97" t="s">
        <v>582</v>
      </c>
      <c r="CE5" s="98" t="s">
        <v>503</v>
      </c>
      <c r="CF5" s="98" t="s">
        <v>583</v>
      </c>
      <c r="CG5" s="98" t="s">
        <v>498</v>
      </c>
      <c r="CH5" s="98" t="s">
        <v>504</v>
      </c>
      <c r="CI5" s="98" t="s">
        <v>509</v>
      </c>
    </row>
    <row r="6">
      <c r="A6" s="29"/>
      <c r="B6" s="40"/>
      <c r="C6" s="41" t="s">
        <v>138</v>
      </c>
      <c r="D6" s="38">
        <f>500*I7</f>
        <v>300000</v>
      </c>
      <c r="E6" s="38" t="s">
        <v>228</v>
      </c>
      <c r="F6" s="42">
        <f>600*I7</f>
        <v>360000</v>
      </c>
      <c r="G6" s="43"/>
      <c r="H6" s="99" t="s">
        <v>584</v>
      </c>
      <c r="I6" s="45">
        <f t="array" ref="I6">match(TRUE,ISBLANK(F6:F18),0)-1</f>
        <v>5</v>
      </c>
      <c r="J6" s="100" t="s">
        <v>420</v>
      </c>
      <c r="K6" s="100" t="s">
        <v>585</v>
      </c>
      <c r="L6" s="38"/>
      <c r="M6" s="38"/>
      <c r="N6" s="38"/>
      <c r="O6" s="38"/>
      <c r="P6" s="38"/>
      <c r="Q6" s="38"/>
      <c r="R6" s="101"/>
      <c r="S6" s="101"/>
      <c r="T6" s="101"/>
      <c r="U6" s="45"/>
      <c r="V6" s="45"/>
      <c r="W6" s="45"/>
      <c r="X6" s="45"/>
      <c r="Y6" s="45"/>
      <c r="Z6" s="45"/>
      <c r="AA6" s="45"/>
      <c r="AB6" s="45"/>
      <c r="AC6" s="45"/>
      <c r="AD6" s="45"/>
      <c r="AE6" s="79"/>
      <c r="AF6" s="45"/>
      <c r="AG6" s="45"/>
      <c r="AH6" s="45"/>
      <c r="AI6" s="45"/>
      <c r="AJ6" s="45"/>
      <c r="AK6" s="45"/>
      <c r="AL6" s="45"/>
      <c r="AM6" s="45"/>
      <c r="AN6" s="45"/>
      <c r="AO6" s="45"/>
      <c r="AP6" s="45"/>
      <c r="AQ6" s="45"/>
      <c r="AR6" s="79"/>
      <c r="AS6" s="45"/>
      <c r="AT6" s="45"/>
      <c r="AU6" s="45"/>
      <c r="AV6" s="45"/>
      <c r="AW6" s="45"/>
      <c r="AX6" s="45"/>
      <c r="AY6" s="45"/>
      <c r="AZ6" s="45">
        <f>AZ5*AX5</f>
        <v>480</v>
      </c>
      <c r="BA6" s="45"/>
      <c r="BB6" s="45"/>
      <c r="BC6" s="45"/>
      <c r="BD6" s="45"/>
      <c r="BE6" s="45"/>
      <c r="BF6" s="45"/>
      <c r="BG6" s="46"/>
      <c r="BH6" s="30"/>
      <c r="BI6" s="28"/>
      <c r="BJ6" s="29"/>
      <c r="BQ6" s="6" t="s">
        <v>54</v>
      </c>
      <c r="BR6" s="6">
        <v>360000.0</v>
      </c>
      <c r="BS6" s="6">
        <f>VLOOKUP(BQ6,'Item List'!$A$2:$D$300,2,FALSE)</f>
        <v>2</v>
      </c>
      <c r="BT6" s="6">
        <f>VLOOKUP(BQ6,'Item List'!$A$2:$D$300,3,FALSE)</f>
        <v>4</v>
      </c>
      <c r="BU6" s="6">
        <f>VLOOKUP(BQ6,'Item List'!$A$2:$D$300,4,FALSE)</f>
        <v>3</v>
      </c>
      <c r="BY6" s="6">
        <f t="shared" ref="BY6:BY8" si="1">VLOOKUP(BW6,$BK$5:$BL$15,2)</f>
        <v>134000</v>
      </c>
      <c r="BZ6" s="6">
        <f t="shared" ref="BZ6:BZ7" si="2">BY6/$CF$21</f>
        <v>0.3722222222</v>
      </c>
      <c r="CA6" s="102">
        <f t="shared" ref="CA6:CA7" si="3">1/($CG$8/BZ6)</f>
        <v>4.166666667</v>
      </c>
      <c r="CB6" s="102">
        <f t="shared" ref="CB6:CB7" si="4">1/($CH$8/BZ6)</f>
        <v>111.6666667</v>
      </c>
      <c r="CC6" s="102">
        <f t="shared" ref="CC6:CC7" si="5">1/($CI$8/BZ6)</f>
        <v>372.2222222</v>
      </c>
      <c r="CE6" s="38" t="s">
        <v>54</v>
      </c>
      <c r="CF6" s="5">
        <f>VLOOKUP(CE6,BQ5:BR16,2,FALSE)</f>
        <v>360000</v>
      </c>
      <c r="CG6" s="5">
        <f>CF21/BO31*20</f>
        <v>223.880597</v>
      </c>
      <c r="CH6" s="103">
        <f>CF21/BP31*20</f>
        <v>6000</v>
      </c>
      <c r="CI6" s="4">
        <v>1000.0</v>
      </c>
    </row>
    <row r="7">
      <c r="A7" s="29"/>
      <c r="B7" s="40"/>
      <c r="C7" s="41"/>
      <c r="D7" s="38"/>
      <c r="E7" s="38" t="s">
        <v>231</v>
      </c>
      <c r="F7" s="42">
        <f>200*I7</f>
        <v>120000</v>
      </c>
      <c r="G7" s="43"/>
      <c r="H7" s="56" t="s">
        <v>502</v>
      </c>
      <c r="I7" s="49">
        <v>600.0</v>
      </c>
      <c r="J7" s="100" t="s">
        <v>424</v>
      </c>
      <c r="K7" s="100">
        <v>0.0</v>
      </c>
      <c r="L7" s="45"/>
      <c r="M7" s="45"/>
      <c r="N7" s="45"/>
      <c r="O7" s="45"/>
      <c r="P7" s="45"/>
      <c r="Q7" s="45"/>
      <c r="R7" s="45"/>
      <c r="S7" s="101"/>
      <c r="T7" s="101"/>
      <c r="U7" s="45"/>
      <c r="V7" s="45"/>
      <c r="W7" s="45"/>
      <c r="X7" s="45"/>
      <c r="Y7" s="45"/>
      <c r="Z7" s="45"/>
      <c r="AA7" s="45"/>
      <c r="AB7" s="45"/>
      <c r="AC7" s="45"/>
      <c r="AD7" s="45"/>
      <c r="AE7" s="79"/>
      <c r="AF7" s="45"/>
      <c r="AG7" s="45"/>
      <c r="AH7" s="45"/>
      <c r="AI7" s="45"/>
      <c r="AJ7" s="45"/>
      <c r="AK7" s="45"/>
      <c r="AL7" s="45"/>
      <c r="AM7" s="45"/>
      <c r="AN7" s="45"/>
      <c r="AO7" s="45"/>
      <c r="AP7" s="45"/>
      <c r="AQ7" s="45"/>
      <c r="AR7" s="79"/>
      <c r="AS7" s="45"/>
      <c r="AT7" s="45"/>
      <c r="AU7" s="45"/>
      <c r="AV7" s="45"/>
      <c r="AW7" s="45"/>
      <c r="AX7" s="45"/>
      <c r="AY7" s="45"/>
      <c r="AZ7" s="45"/>
      <c r="BA7" s="45"/>
      <c r="BB7" s="45"/>
      <c r="BC7" s="45"/>
      <c r="BD7" s="45"/>
      <c r="BE7" s="45"/>
      <c r="BF7" s="45"/>
      <c r="BG7" s="46"/>
      <c r="BH7" s="30"/>
      <c r="BI7" s="28"/>
      <c r="BJ7" s="29"/>
      <c r="BQ7" s="6" t="s">
        <v>81</v>
      </c>
      <c r="BR7" s="6">
        <v>20000.0</v>
      </c>
      <c r="BS7" s="6">
        <f>VLOOKUP(BQ7,'Item List'!$A$2:$D$300,2,FALSE)</f>
        <v>1</v>
      </c>
      <c r="BT7" s="6">
        <f>VLOOKUP(BQ7,'Item List'!$A$2:$D$300,3,FALSE)</f>
        <v>4</v>
      </c>
      <c r="BU7" s="6">
        <f>VLOOKUP(BQ7,'Item List'!$A$2:$D$300,4,FALSE)</f>
        <v>2</v>
      </c>
      <c r="BY7" s="6">
        <f t="shared" si="1"/>
        <v>300000</v>
      </c>
      <c r="BZ7" s="6">
        <f t="shared" si="2"/>
        <v>0.8333333333</v>
      </c>
      <c r="CA7" s="102">
        <f t="shared" si="3"/>
        <v>9.328358209</v>
      </c>
      <c r="CB7" s="102">
        <f t="shared" si="4"/>
        <v>250</v>
      </c>
      <c r="CC7" s="102">
        <f t="shared" si="5"/>
        <v>833.3333333</v>
      </c>
      <c r="CE7" s="5"/>
      <c r="CF7" s="5"/>
      <c r="CG7" s="98" t="s">
        <v>505</v>
      </c>
      <c r="CH7" s="98" t="s">
        <v>506</v>
      </c>
      <c r="CI7" s="98" t="s">
        <v>586</v>
      </c>
    </row>
    <row r="8">
      <c r="A8" s="29"/>
      <c r="B8" s="40"/>
      <c r="C8" s="41"/>
      <c r="D8" s="38"/>
      <c r="E8" s="38" t="s">
        <v>230</v>
      </c>
      <c r="F8" s="42">
        <f>500*I7</f>
        <v>300000</v>
      </c>
      <c r="G8" s="43"/>
      <c r="H8" s="44"/>
      <c r="I8" s="45"/>
      <c r="J8" s="45"/>
      <c r="K8" s="45"/>
      <c r="L8" s="45"/>
      <c r="M8" s="45"/>
      <c r="N8" s="45"/>
      <c r="O8" s="45"/>
      <c r="P8" s="45"/>
      <c r="Q8" s="45"/>
      <c r="R8" s="45"/>
      <c r="S8" s="101"/>
      <c r="T8" s="101"/>
      <c r="U8" s="45"/>
      <c r="V8" s="45"/>
      <c r="W8" s="45"/>
      <c r="X8" s="45"/>
      <c r="Y8" s="45"/>
      <c r="Z8" s="45"/>
      <c r="AA8" s="45"/>
      <c r="AB8" s="45"/>
      <c r="AC8" s="45"/>
      <c r="AD8" s="45"/>
      <c r="AE8" s="79"/>
      <c r="AF8" s="45"/>
      <c r="AG8" s="45"/>
      <c r="AH8" s="45"/>
      <c r="AI8" s="45"/>
      <c r="AJ8" s="45"/>
      <c r="AK8" s="45"/>
      <c r="AL8" s="45"/>
      <c r="AM8" s="45"/>
      <c r="AN8" s="45"/>
      <c r="AO8" s="45"/>
      <c r="AP8" s="45"/>
      <c r="AQ8" s="45"/>
      <c r="AR8" s="79"/>
      <c r="AS8" s="45"/>
      <c r="AT8" s="45"/>
      <c r="AU8" s="45"/>
      <c r="AV8" s="45"/>
      <c r="AW8" s="45"/>
      <c r="AX8" s="45"/>
      <c r="AY8" s="45"/>
      <c r="AZ8" s="45"/>
      <c r="BA8" s="45"/>
      <c r="BB8" s="45"/>
      <c r="BC8" s="45"/>
      <c r="BD8" s="45"/>
      <c r="BE8" s="45"/>
      <c r="BF8" s="45"/>
      <c r="BG8" s="46"/>
      <c r="BH8" s="30"/>
      <c r="BI8" s="28"/>
      <c r="BJ8" s="29"/>
      <c r="BQ8" s="6" t="s">
        <v>87</v>
      </c>
      <c r="BR8" s="6">
        <v>-134000.0</v>
      </c>
      <c r="BS8" s="6">
        <f>VLOOKUP(BQ8,'Item List'!$A$2:$D$300,2,FALSE)</f>
        <v>1</v>
      </c>
      <c r="BT8" s="6">
        <f>VLOOKUP(BQ8,'Item List'!$A$2:$D$300,3,FALSE)</f>
        <v>4</v>
      </c>
      <c r="BU8" s="6">
        <f>VLOOKUP(BQ8,'Item List'!$A$2:$D$300,4,FALSE)</f>
        <v>1</v>
      </c>
      <c r="BY8" s="6">
        <f t="shared" si="1"/>
        <v>268000</v>
      </c>
      <c r="CE8" s="5"/>
      <c r="CF8" s="5"/>
      <c r="CG8" s="105">
        <f>BO31/CF6</f>
        <v>0.08933333333</v>
      </c>
      <c r="CH8" s="106">
        <f>BP31/CF6</f>
        <v>0.003333333333</v>
      </c>
      <c r="CI8" s="5">
        <f>1/CI6</f>
        <v>0.001</v>
      </c>
    </row>
    <row r="9">
      <c r="A9" s="29"/>
      <c r="B9" s="40"/>
      <c r="C9" s="41"/>
      <c r="D9" s="38"/>
      <c r="E9" s="38" t="s">
        <v>229</v>
      </c>
      <c r="F9" s="42">
        <f>150*I7</f>
        <v>90000</v>
      </c>
      <c r="G9" s="43"/>
      <c r="H9" s="44"/>
      <c r="I9" s="45"/>
      <c r="J9" s="45"/>
      <c r="K9" s="45"/>
      <c r="L9" s="45"/>
      <c r="M9" s="45"/>
      <c r="N9" s="45"/>
      <c r="O9" s="45"/>
      <c r="P9" s="45"/>
      <c r="Q9" s="45"/>
      <c r="R9" s="45"/>
      <c r="S9" s="101"/>
      <c r="T9" s="101"/>
      <c r="U9" s="45"/>
      <c r="V9" s="45"/>
      <c r="W9" s="45"/>
      <c r="X9" s="45"/>
      <c r="Y9" s="45"/>
      <c r="Z9" s="45"/>
      <c r="AA9" s="45"/>
      <c r="AB9" s="45"/>
      <c r="AC9" s="45"/>
      <c r="AD9" s="45"/>
      <c r="AE9" s="79"/>
      <c r="AF9" s="45"/>
      <c r="AG9" s="45"/>
      <c r="AH9" s="45"/>
      <c r="AI9" s="45"/>
      <c r="AJ9" s="45"/>
      <c r="AK9" s="45"/>
      <c r="AL9" s="45"/>
      <c r="AM9" s="45"/>
      <c r="AN9" s="45"/>
      <c r="AO9" s="45"/>
      <c r="AP9" s="45"/>
      <c r="AQ9" s="45"/>
      <c r="AR9" s="79"/>
      <c r="AS9" s="45"/>
      <c r="AT9" s="45"/>
      <c r="AU9" s="45"/>
      <c r="AV9" s="45"/>
      <c r="AW9" s="45"/>
      <c r="AX9" s="45"/>
      <c r="AY9" s="45"/>
      <c r="AZ9" s="45"/>
      <c r="BA9" s="45"/>
      <c r="BB9" s="45"/>
      <c r="BC9" s="45"/>
      <c r="BD9" s="45"/>
      <c r="BE9" s="45"/>
      <c r="BF9" s="45"/>
      <c r="BG9" s="46"/>
      <c r="BH9" s="30"/>
      <c r="BI9" s="28"/>
      <c r="BJ9" s="29"/>
      <c r="BQ9" s="6" t="s">
        <v>88</v>
      </c>
      <c r="BR9" s="6">
        <v>0.0</v>
      </c>
      <c r="BS9" s="6">
        <f>VLOOKUP(BQ9,'Item List'!$A$2:$D$300,2,FALSE)</f>
        <v>1</v>
      </c>
      <c r="BT9" s="6">
        <f>VLOOKUP(BQ9,'Item List'!$A$2:$D$300,3,FALSE)</f>
        <v>4</v>
      </c>
      <c r="BU9" s="6">
        <f>VLOOKUP(BQ9,'Item List'!$A$2:$D$300,4,FALSE)</f>
        <v>2</v>
      </c>
      <c r="CE9" s="5"/>
      <c r="CF9" s="5"/>
      <c r="CG9" s="98" t="s">
        <v>587</v>
      </c>
      <c r="CH9" s="98" t="s">
        <v>588</v>
      </c>
    </row>
    <row r="10">
      <c r="A10" s="29"/>
      <c r="B10" s="40"/>
      <c r="C10" s="41"/>
      <c r="D10" s="38"/>
      <c r="E10" s="38" t="s">
        <v>125</v>
      </c>
      <c r="F10" s="42">
        <f>25*I7</f>
        <v>15000</v>
      </c>
      <c r="G10" s="43"/>
      <c r="H10" s="44"/>
      <c r="I10" s="45"/>
      <c r="J10" s="45"/>
      <c r="K10" s="45"/>
      <c r="L10" s="45"/>
      <c r="M10" s="45"/>
      <c r="N10" s="45"/>
      <c r="O10" s="45"/>
      <c r="P10" s="45"/>
      <c r="Q10" s="45"/>
      <c r="R10" s="45"/>
      <c r="S10" s="101"/>
      <c r="T10" s="101"/>
      <c r="U10" s="45"/>
      <c r="V10" s="45"/>
      <c r="W10" s="45"/>
      <c r="X10" s="45"/>
      <c r="Y10" s="45"/>
      <c r="Z10" s="45"/>
      <c r="AA10" s="45"/>
      <c r="AB10" s="45"/>
      <c r="AC10" s="45"/>
      <c r="AD10" s="45"/>
      <c r="AE10" s="79"/>
      <c r="AF10" s="45"/>
      <c r="AG10" s="45"/>
      <c r="AH10" s="45"/>
      <c r="AI10" s="45"/>
      <c r="AJ10" s="45"/>
      <c r="AK10" s="45"/>
      <c r="AL10" s="45"/>
      <c r="AM10" s="45"/>
      <c r="AN10" s="45"/>
      <c r="AO10" s="45"/>
      <c r="AP10" s="45"/>
      <c r="AQ10" s="45"/>
      <c r="AR10" s="79"/>
      <c r="AS10" s="45"/>
      <c r="AT10" s="45"/>
      <c r="AU10" s="45"/>
      <c r="AV10" s="45"/>
      <c r="AW10" s="45"/>
      <c r="AX10" s="45"/>
      <c r="AY10" s="45"/>
      <c r="AZ10" s="45"/>
      <c r="BA10" s="45"/>
      <c r="BB10" s="45"/>
      <c r="BC10" s="45"/>
      <c r="BD10" s="45"/>
      <c r="BE10" s="45"/>
      <c r="BF10" s="45"/>
      <c r="BG10" s="46"/>
      <c r="BH10" s="30"/>
      <c r="BI10" s="28"/>
      <c r="BJ10" s="29"/>
      <c r="BQ10" s="6" t="s">
        <v>106</v>
      </c>
      <c r="BR10" s="6">
        <v>0.0</v>
      </c>
      <c r="BS10" s="6">
        <f>VLOOKUP(BQ10,'Item List'!$A$2:$D$300,2,FALSE)</f>
        <v>1</v>
      </c>
      <c r="BT10" s="6">
        <f>VLOOKUP(BQ10,'Item List'!$A$2:$D$300,3,FALSE)</f>
        <v>4</v>
      </c>
      <c r="BU10" s="6">
        <f>VLOOKUP(BQ10,'Item List'!$A$2:$D$300,4,FALSE)</f>
        <v>2</v>
      </c>
      <c r="BY10" s="97" t="s">
        <v>589</v>
      </c>
      <c r="BZ10" s="97" t="s">
        <v>514</v>
      </c>
      <c r="CA10" s="97" t="s">
        <v>590</v>
      </c>
      <c r="CB10" s="97" t="s">
        <v>591</v>
      </c>
      <c r="CC10" s="97" t="s">
        <v>592</v>
      </c>
      <c r="CE10" s="5"/>
      <c r="CF10" s="5"/>
      <c r="CG10" s="107">
        <f>BL30/CF6</f>
        <v>31.17333333</v>
      </c>
      <c r="CH10" s="107">
        <f>BM30/CF6</f>
        <v>107.9973333</v>
      </c>
      <c r="CI10" s="5"/>
    </row>
    <row r="11">
      <c r="A11" s="29"/>
      <c r="B11" s="50"/>
      <c r="C11" s="51"/>
      <c r="D11" s="52"/>
      <c r="E11" s="52"/>
      <c r="F11" s="52"/>
      <c r="G11" s="43"/>
      <c r="H11" s="52"/>
      <c r="I11" s="52"/>
      <c r="J11" s="52"/>
      <c r="K11" s="52"/>
      <c r="L11" s="52"/>
      <c r="M11" s="52"/>
      <c r="N11" s="52"/>
      <c r="O11" s="52"/>
      <c r="P11" s="52"/>
      <c r="Q11" s="52"/>
      <c r="R11" s="52"/>
      <c r="S11" s="52"/>
      <c r="T11" s="52"/>
      <c r="U11" s="52"/>
      <c r="V11" s="52"/>
      <c r="W11" s="52"/>
      <c r="X11" s="52"/>
      <c r="Y11" s="52"/>
      <c r="Z11" s="52"/>
      <c r="AA11" s="52"/>
      <c r="AB11" s="52"/>
      <c r="AC11" s="52"/>
      <c r="AD11" s="52"/>
      <c r="AE11" s="43"/>
      <c r="AF11" s="52"/>
      <c r="AG11" s="52"/>
      <c r="AH11" s="52"/>
      <c r="AI11" s="52"/>
      <c r="AJ11" s="52"/>
      <c r="AK11" s="52"/>
      <c r="AL11" s="52"/>
      <c r="AM11" s="52"/>
      <c r="AN11" s="52"/>
      <c r="AO11" s="52"/>
      <c r="AP11" s="52"/>
      <c r="AQ11" s="52"/>
      <c r="AR11" s="43"/>
      <c r="AS11" s="52"/>
      <c r="AT11" s="52"/>
      <c r="AU11" s="52"/>
      <c r="AV11" s="52"/>
      <c r="AW11" s="52"/>
      <c r="AX11" s="52"/>
      <c r="AY11" s="52"/>
      <c r="AZ11" s="52"/>
      <c r="BA11" s="52"/>
      <c r="BB11" s="52"/>
      <c r="BC11" s="52"/>
      <c r="BD11" s="52"/>
      <c r="BE11" s="52"/>
      <c r="BF11" s="52"/>
      <c r="BG11" s="53"/>
      <c r="BH11" s="30"/>
      <c r="BI11" s="28"/>
      <c r="BJ11" s="29"/>
      <c r="BQ11" s="6" t="s">
        <v>124</v>
      </c>
      <c r="BR11" s="6">
        <v>120000.0</v>
      </c>
      <c r="BS11" s="6">
        <f>VLOOKUP(BQ11,'Item List'!$A$2:$D$300,2,FALSE)</f>
        <v>1</v>
      </c>
      <c r="BT11" s="6">
        <f>VLOOKUP(BQ11,'Item List'!$A$2:$D$300,3,FALSE)</f>
        <v>4</v>
      </c>
      <c r="BU11" s="6">
        <f>VLOOKUP(BQ11,'Item List'!$A$2:$D$300,4,FALSE)</f>
        <v>2</v>
      </c>
      <c r="BY11" s="6">
        <f t="shared" ref="BY11:BY14" si="6">BX11</f>
        <v>360000</v>
      </c>
      <c r="BZ11" s="6">
        <f t="shared" ref="BZ11:BZ14" si="7">BY11/$CF$21</f>
        <v>1</v>
      </c>
      <c r="CA11" s="102">
        <f t="shared" ref="CA11:CA14" si="8">1/($CG$8/BZ11)</f>
        <v>11.19402985</v>
      </c>
      <c r="CB11" s="102">
        <f t="shared" ref="CB11:CB14" si="9">1/($CH$8/BZ11)</f>
        <v>300</v>
      </c>
      <c r="CC11" s="102">
        <f t="shared" ref="CC11:CC14" si="10">1/($CI$8/BZ11)</f>
        <v>1000</v>
      </c>
    </row>
    <row r="12">
      <c r="A12" s="23"/>
      <c r="B12" s="31" t="s">
        <v>593</v>
      </c>
      <c r="C12" s="54"/>
      <c r="D12" s="45"/>
      <c r="E12" s="45"/>
      <c r="F12" s="47"/>
      <c r="G12" s="35"/>
      <c r="H12" s="55" t="s">
        <v>349</v>
      </c>
      <c r="I12" s="38">
        <f>VLOOKUP(H12,'Machine List'!$A$1:$I$300,9,FALSE)</f>
        <v>4000</v>
      </c>
      <c r="J12" s="38">
        <f>IF(VLOOKUP(H12,'Machine List'!$A$1:$I$300,5,FALSE)="Multi",IF(VLOOKUP(H12,'Machine List'!$A$1:$I$300,6,FALSE)="Yes",AG12*3*10^Z12,AG12*(2*3)*10^(Z12-1)),0)</f>
        <v>6</v>
      </c>
      <c r="K12" s="38">
        <f>J12+IF(ISNUMBER(I12),I12,
  SWITCH(
      I12,
      "1T",1*10^Z12,
      "2T",2*10^Z12,
      "3T",3*10^Z12,
      "4T",4*10^Z12,
      "4000+500(7O-5)",4000+500*(7*I13-5),
      "13500 + 16C",13500+16*VLOOKUP(J14,'Machine Helper Sheet'!$G$1:$K$16,5,FALSE),
      1
  )
)</f>
        <v>4006</v>
      </c>
      <c r="L12" s="38">
        <f>IF(VLOOKUP(H12,'Machine List'!$A$1:$I$300,5,FALSE)="Multi",IF(VLOOKUP(H12,'Machine List'!$A$1:$I$300,6,FALSE)="Yes",AU12*3*10^AT12,AU12*(2*3)*10^(AT12-1)),0)</f>
        <v>60000</v>
      </c>
      <c r="M12" s="38">
        <f>L12+IF(ISNUMBER(I12),I12,
  SWITCH(
      I12,
      "1T",1*10^AT12,
      "2T",2*10^AT12,
      "3T",3*10^AT12,
      "4T",4*10^AT12,
      "4000+500(7O-5)",4000+500*(7*I13-5),
      1
  )
)</f>
        <v>64000</v>
      </c>
      <c r="N12" s="38" t="str">
        <f>VLOOKUP(H12,'Machine List'!$A$1:$I$300,8,FALSE)</f>
        <v>Tier</v>
      </c>
      <c r="O12" s="38">
        <f>IF(ISNUMBER(N12),N12,10^Z12)</f>
        <v>10</v>
      </c>
      <c r="P12" s="38">
        <f>IF(ISNUMBER(N12),N12,10^AT12)</f>
        <v>100000</v>
      </c>
      <c r="Q12" s="38">
        <f>VLOOKUP(H12,'Machine List'!$A$1:$B$138,2,FALSE)</f>
        <v>1</v>
      </c>
      <c r="R12" s="38" t="s">
        <v>594</v>
      </c>
      <c r="S12" s="45">
        <f>IF(ISNUMBER(Q12),Q12,
  SWITCH(
      Q12,
      "1",1,
      "2T",Z12*2,
      "4T",Z12*4,
      "6T",Z12*6,
      "8T",Z12*8,
      "10T",Z12*10,
      "12T",Z12*12,
      "14T",Z12*14,
      "16T",Z12*16,
      "2(T+1)",2*(Z12+1),
      "1T*C",Z12*J14,
      1
  )
)</f>
        <v>1</v>
      </c>
      <c r="T12" s="38" t="s">
        <v>277</v>
      </c>
      <c r="U12" s="38">
        <f>IF(OR(T12="No",T12=""),S12,T12)</f>
        <v>1</v>
      </c>
      <c r="V12" s="38">
        <f>IF(ISNUMBER(Q12),Q12,
  SWITCH(
      Q12,
      "1",1,
      "2T",AT12*2,
      "4T",AT12*4,
      "6T",AT12*6,
      "8T",AT12*8,
      "10T",AT12*10,
      "12T",AT12*12,
      "14T",AT12*14,
      "16T",AT12*16,
      "2(T+1)",2*(AT12+1),
      "1T*C",AT12*J14,
      1
  )
)</f>
        <v>1</v>
      </c>
      <c r="W12" s="38" t="str">
        <f>T12</f>
        <v>No</v>
      </c>
      <c r="X12" s="38">
        <f>IF(OR(W12="No",W12=""),V12,W12)</f>
        <v>1</v>
      </c>
      <c r="Y12" s="38" t="s">
        <v>390</v>
      </c>
      <c r="Z12" s="38">
        <f>VLOOKUP(Y12,'Item Helper Sheet'!$A$2:$B$16,2,FALSE)</f>
        <v>1</v>
      </c>
      <c r="AA12" s="38">
        <v>30.0</v>
      </c>
      <c r="AB12" s="38">
        <f>8*20</f>
        <v>160</v>
      </c>
      <c r="AC12" s="38">
        <f>AB12*I14</f>
        <v>3520</v>
      </c>
      <c r="AD12" s="38">
        <f>AA12*AC12</f>
        <v>105600</v>
      </c>
      <c r="AE12" s="75"/>
      <c r="AF12" s="38" t="str">
        <f>Y12</f>
        <v>01 - LV</v>
      </c>
      <c r="AG12" s="38">
        <v>1.0</v>
      </c>
      <c r="AH12" s="38">
        <v>1.0</v>
      </c>
      <c r="AI12" s="38">
        <f>AH12*8*4^Z12</f>
        <v>32</v>
      </c>
      <c r="AJ12" s="38">
        <f>MIN(ROUNDDOWN(AI12/AL12,0),U12)</f>
        <v>1</v>
      </c>
      <c r="AK12" s="38">
        <f>IF(OR(T12="No",T12=""),AG12*S12,AG12*T12)</f>
        <v>1</v>
      </c>
      <c r="AL12" s="38">
        <f>ROUNDUP(AA12*VLOOKUP(H12,'Machine List'!$A$2:$D$219,4,FALSE),0)</f>
        <v>30</v>
      </c>
      <c r="AM12" s="38">
        <f>AL12*AK12</f>
        <v>30</v>
      </c>
      <c r="AN12" s="38">
        <f>ROUNDUP(AB12*I14,0)</f>
        <v>3520</v>
      </c>
      <c r="AO12" s="38">
        <f>ROUNDUP(AN12/VLOOKUP(H12,'Machine List'!$A$2:$D$219,3,FALSE),0)</f>
        <v>3520</v>
      </c>
      <c r="AP12" s="38">
        <f>ROUNDUP(AO12/AK12,0)</f>
        <v>3520</v>
      </c>
      <c r="AQ12" s="38">
        <f>AM12*AP12</f>
        <v>105600</v>
      </c>
      <c r="AR12" s="75"/>
      <c r="AS12" s="38" t="s">
        <v>405</v>
      </c>
      <c r="AT12" s="38">
        <f>VLOOKUP(AS12,'Item Helper Sheet'!$A$2:$B$16,2,FALSE)</f>
        <v>5</v>
      </c>
      <c r="AU12" s="38">
        <f>AG12</f>
        <v>1</v>
      </c>
      <c r="AV12" s="38">
        <v>1.0</v>
      </c>
      <c r="AW12" s="38">
        <f>AV12*8*4^AT12</f>
        <v>8192</v>
      </c>
      <c r="AX12" s="38">
        <f>MIN(ROUNDDOWN(AW12/AL12,0),X12)</f>
        <v>1</v>
      </c>
      <c r="AY12" s="38">
        <f>AX12*AU12</f>
        <v>1</v>
      </c>
      <c r="AZ12" s="38">
        <f>AL12</f>
        <v>30</v>
      </c>
      <c r="BA12" s="38">
        <f>MIN(AT12-Z12,IF(AW12&gt;=AZ13*4,
IF(AW12&gt;=AZ13*4^2,
IF(AW12&gt;=AZ13*4^3,
IF(AW12&gt;=AZ13*4^4,
IF(AW12&gt;=AZ13*4^5,
IF(AW12&gt;=AZ13*4^6,
IF(AW12&gt;=AZ13*4^7,
IF(AW12&gt;=AZ13*4^8,
IF(AW12&gt;=AZ13*4^9,
IF(AW12&gt;=AZ13*4^10,
9),
8),
7),
6),
5),
4),
3),
2),
1),
0))</f>
        <v>4</v>
      </c>
      <c r="BB12" s="38">
        <f>AZ12*AX12*4^BA12</f>
        <v>7680</v>
      </c>
      <c r="BC12" s="38">
        <f>BB12*AU12</f>
        <v>7680</v>
      </c>
      <c r="BD12" s="45">
        <f>ROUNDUP(IF(R12="Yes",AN12/(2^((BA12)*2)),AN12/(2^(BA12))),0)</f>
        <v>14</v>
      </c>
      <c r="BE12" s="45">
        <f>ROUNDUP(BD12/VLOOKUP(H12,'Machine List'!$A$2:$D$219,3,FALSE),0)</f>
        <v>14</v>
      </c>
      <c r="BF12" s="45">
        <f>ROUNDUP(BE12/AY12,0)</f>
        <v>14</v>
      </c>
      <c r="BG12" s="46">
        <f>BF12*BC12</f>
        <v>107520</v>
      </c>
      <c r="BH12" s="30"/>
      <c r="BI12" s="28"/>
      <c r="BJ12" s="29"/>
      <c r="BQ12" s="6" t="s">
        <v>125</v>
      </c>
      <c r="BR12" s="6">
        <v>15000.0</v>
      </c>
      <c r="BS12" s="6">
        <f>VLOOKUP(BQ12,'Item List'!$A$2:$D$300,2,FALSE)</f>
        <v>3</v>
      </c>
      <c r="BT12" s="6">
        <f>VLOOKUP(BQ12,'Item List'!$A$2:$D$300,3,FALSE)</f>
        <v>2</v>
      </c>
      <c r="BU12" s="6">
        <f>VLOOKUP(BQ12,'Item List'!$A$2:$D$300,4,FALSE)</f>
        <v>2</v>
      </c>
      <c r="BY12" s="6">
        <f t="shared" si="6"/>
        <v>120000</v>
      </c>
      <c r="BZ12" s="6">
        <f t="shared" si="7"/>
        <v>0.3333333333</v>
      </c>
      <c r="CA12" s="102">
        <f t="shared" si="8"/>
        <v>3.731343284</v>
      </c>
      <c r="CB12" s="102">
        <f t="shared" si="9"/>
        <v>100</v>
      </c>
      <c r="CC12" s="102">
        <f t="shared" si="10"/>
        <v>333.3333333</v>
      </c>
      <c r="CE12" s="108" t="s">
        <v>595</v>
      </c>
      <c r="CF12" s="108" t="s">
        <v>596</v>
      </c>
    </row>
    <row r="13">
      <c r="A13" s="29"/>
      <c r="B13" s="40"/>
      <c r="C13" s="41" t="s">
        <v>228</v>
      </c>
      <c r="D13" s="38">
        <f>16000*I14</f>
        <v>352000</v>
      </c>
      <c r="E13" s="38" t="s">
        <v>183</v>
      </c>
      <c r="F13" s="42">
        <f>16000*I14</f>
        <v>352000</v>
      </c>
      <c r="G13" s="43"/>
      <c r="H13" s="99" t="s">
        <v>584</v>
      </c>
      <c r="I13" s="45">
        <f t="array" ref="I13">match(TRUE,ISBLANK(F13:F25),0)-1</f>
        <v>2</v>
      </c>
      <c r="J13" s="100" t="s">
        <v>420</v>
      </c>
      <c r="K13" s="100" t="s">
        <v>585</v>
      </c>
      <c r="L13" s="38"/>
      <c r="M13" s="38"/>
      <c r="N13" s="38"/>
      <c r="O13" s="38"/>
      <c r="P13" s="38"/>
      <c r="Q13" s="38"/>
      <c r="R13" s="101"/>
      <c r="S13" s="101"/>
      <c r="T13" s="101"/>
      <c r="U13" s="45"/>
      <c r="V13" s="45"/>
      <c r="W13" s="45"/>
      <c r="X13" s="45"/>
      <c r="Y13" s="45"/>
      <c r="Z13" s="45"/>
      <c r="AA13" s="45"/>
      <c r="AB13" s="45"/>
      <c r="AC13" s="45"/>
      <c r="AD13" s="45"/>
      <c r="AE13" s="79"/>
      <c r="AF13" s="45"/>
      <c r="AG13" s="45"/>
      <c r="AH13" s="45"/>
      <c r="AI13" s="45"/>
      <c r="AJ13" s="45"/>
      <c r="AK13" s="45"/>
      <c r="AL13" s="45"/>
      <c r="AM13" s="45"/>
      <c r="AN13" s="45"/>
      <c r="AO13" s="45"/>
      <c r="AP13" s="45"/>
      <c r="AQ13" s="45"/>
      <c r="AR13" s="79"/>
      <c r="AS13" s="45"/>
      <c r="AT13" s="45"/>
      <c r="AU13" s="45"/>
      <c r="AV13" s="45"/>
      <c r="AW13" s="45"/>
      <c r="AX13" s="45"/>
      <c r="AY13" s="45"/>
      <c r="AZ13" s="45">
        <f>AZ12*AX12</f>
        <v>30</v>
      </c>
      <c r="BA13" s="45"/>
      <c r="BB13" s="45"/>
      <c r="BC13" s="45"/>
      <c r="BD13" s="45"/>
      <c r="BE13" s="45"/>
      <c r="BF13" s="45"/>
      <c r="BG13" s="46"/>
      <c r="BH13" s="30"/>
      <c r="BI13" s="28"/>
      <c r="BJ13" s="29"/>
      <c r="BQ13" s="6" t="s">
        <v>138</v>
      </c>
      <c r="BR13" s="6">
        <v>-300000.0</v>
      </c>
      <c r="BS13" s="6">
        <f>VLOOKUP(BQ13,'Item List'!$A$2:$D$300,2,FALSE)</f>
        <v>1</v>
      </c>
      <c r="BT13" s="6">
        <f>VLOOKUP(BQ13,'Item List'!$A$2:$D$300,3,FALSE)</f>
        <v>4</v>
      </c>
      <c r="BU13" s="6">
        <f>VLOOKUP(BQ13,'Item List'!$A$2:$D$300,4,FALSE)</f>
        <v>1</v>
      </c>
      <c r="BY13" s="6">
        <f t="shared" si="6"/>
        <v>352000</v>
      </c>
      <c r="BZ13" s="6">
        <f t="shared" si="7"/>
        <v>0.9777777778</v>
      </c>
      <c r="CA13" s="102">
        <f t="shared" si="8"/>
        <v>10.94527363</v>
      </c>
      <c r="CB13" s="102">
        <f t="shared" si="9"/>
        <v>293.3333333</v>
      </c>
      <c r="CC13" s="102">
        <f t="shared" si="10"/>
        <v>977.7777778</v>
      </c>
      <c r="CE13" s="98" t="s">
        <v>597</v>
      </c>
      <c r="CF13" s="98" t="s">
        <v>597</v>
      </c>
    </row>
    <row r="14">
      <c r="A14" s="29"/>
      <c r="B14" s="40"/>
      <c r="C14" s="41" t="s">
        <v>87</v>
      </c>
      <c r="D14" s="38">
        <f>2000*I14</f>
        <v>44000</v>
      </c>
      <c r="E14" s="38" t="s">
        <v>88</v>
      </c>
      <c r="F14" s="42">
        <f>1000*I14</f>
        <v>22000</v>
      </c>
      <c r="G14" s="43"/>
      <c r="H14" s="56" t="s">
        <v>502</v>
      </c>
      <c r="I14" s="57">
        <v>22.0</v>
      </c>
      <c r="J14" s="100" t="s">
        <v>424</v>
      </c>
      <c r="K14" s="100">
        <v>0.0</v>
      </c>
      <c r="L14" s="45"/>
      <c r="M14" s="45"/>
      <c r="N14" s="45"/>
      <c r="O14" s="45"/>
      <c r="P14" s="45"/>
      <c r="Q14" s="45"/>
      <c r="R14" s="45"/>
      <c r="S14" s="101"/>
      <c r="T14" s="101"/>
      <c r="U14" s="45"/>
      <c r="V14" s="45"/>
      <c r="W14" s="45"/>
      <c r="X14" s="45"/>
      <c r="Y14" s="45"/>
      <c r="Z14" s="45"/>
      <c r="AA14" s="45"/>
      <c r="AB14" s="45"/>
      <c r="AC14" s="45"/>
      <c r="AD14" s="45"/>
      <c r="AE14" s="79"/>
      <c r="AF14" s="45"/>
      <c r="AG14" s="45"/>
      <c r="AH14" s="45"/>
      <c r="AI14" s="45"/>
      <c r="AJ14" s="45"/>
      <c r="AK14" s="45"/>
      <c r="AL14" s="45"/>
      <c r="AM14" s="45"/>
      <c r="AN14" s="45"/>
      <c r="AO14" s="45"/>
      <c r="AP14" s="45"/>
      <c r="AQ14" s="45"/>
      <c r="AR14" s="79"/>
      <c r="AS14" s="45"/>
      <c r="AT14" s="45"/>
      <c r="AU14" s="45"/>
      <c r="AV14" s="45"/>
      <c r="AW14" s="45"/>
      <c r="AX14" s="45"/>
      <c r="AY14" s="45"/>
      <c r="AZ14" s="45"/>
      <c r="BA14" s="45"/>
      <c r="BB14" s="45"/>
      <c r="BC14" s="45"/>
      <c r="BD14" s="45"/>
      <c r="BE14" s="45"/>
      <c r="BF14" s="45"/>
      <c r="BG14" s="46"/>
      <c r="BH14" s="30"/>
      <c r="BI14" s="28"/>
      <c r="BJ14" s="29"/>
      <c r="BQ14" s="6" t="s">
        <v>142</v>
      </c>
      <c r="BR14" s="6">
        <v>-268000.0</v>
      </c>
      <c r="BS14" s="6">
        <f>VLOOKUP(BQ14,'Item List'!$A$2:$D$300,2,FALSE)</f>
        <v>1</v>
      </c>
      <c r="BT14" s="6">
        <f>VLOOKUP(BQ14,'Item List'!$A$2:$D$300,3,FALSE)</f>
        <v>5</v>
      </c>
      <c r="BU14" s="6">
        <f>VLOOKUP(BQ14,'Item List'!$A$2:$D$300,4,FALSE)</f>
        <v>1</v>
      </c>
      <c r="BY14" s="6">
        <f t="shared" si="6"/>
        <v>67000</v>
      </c>
      <c r="BZ14" s="6">
        <f t="shared" si="7"/>
        <v>0.1861111111</v>
      </c>
      <c r="CA14" s="102">
        <f t="shared" si="8"/>
        <v>2.083333333</v>
      </c>
      <c r="CB14" s="102">
        <f t="shared" si="9"/>
        <v>55.83333333</v>
      </c>
      <c r="CC14" s="102">
        <f t="shared" si="10"/>
        <v>186.1111111</v>
      </c>
      <c r="CE14" s="5">
        <f>BR37</f>
        <v>7</v>
      </c>
      <c r="CF14" s="5">
        <f>BR43</f>
        <v>6</v>
      </c>
    </row>
    <row r="15">
      <c r="A15" s="29"/>
      <c r="B15" s="50"/>
      <c r="C15" s="51"/>
      <c r="D15" s="52"/>
      <c r="E15" s="52"/>
      <c r="F15" s="52"/>
      <c r="G15" s="43"/>
      <c r="H15" s="52"/>
      <c r="I15" s="52"/>
      <c r="J15" s="52"/>
      <c r="K15" s="52"/>
      <c r="L15" s="52"/>
      <c r="M15" s="52"/>
      <c r="N15" s="52"/>
      <c r="O15" s="52"/>
      <c r="P15" s="52"/>
      <c r="Q15" s="52"/>
      <c r="R15" s="52"/>
      <c r="S15" s="52"/>
      <c r="T15" s="52"/>
      <c r="U15" s="52"/>
      <c r="V15" s="52"/>
      <c r="W15" s="52"/>
      <c r="X15" s="52"/>
      <c r="Y15" s="52"/>
      <c r="Z15" s="52"/>
      <c r="AA15" s="52"/>
      <c r="AB15" s="52"/>
      <c r="AC15" s="52"/>
      <c r="AD15" s="52"/>
      <c r="AE15" s="43"/>
      <c r="AF15" s="52"/>
      <c r="AG15" s="52"/>
      <c r="AH15" s="52"/>
      <c r="AI15" s="52"/>
      <c r="AJ15" s="52"/>
      <c r="AK15" s="52"/>
      <c r="AL15" s="52"/>
      <c r="AM15" s="52"/>
      <c r="AN15" s="52"/>
      <c r="AO15" s="52"/>
      <c r="AP15" s="52"/>
      <c r="AQ15" s="52"/>
      <c r="AR15" s="43"/>
      <c r="AS15" s="52"/>
      <c r="AT15" s="52"/>
      <c r="AU15" s="52"/>
      <c r="AV15" s="52"/>
      <c r="AW15" s="52"/>
      <c r="AX15" s="52"/>
      <c r="AY15" s="52"/>
      <c r="AZ15" s="52"/>
      <c r="BA15" s="52"/>
      <c r="BB15" s="52"/>
      <c r="BC15" s="52"/>
      <c r="BD15" s="52"/>
      <c r="BE15" s="52"/>
      <c r="BF15" s="52"/>
      <c r="BG15" s="53"/>
      <c r="BH15" s="30"/>
      <c r="BI15" s="28"/>
      <c r="BJ15" s="29"/>
      <c r="BQ15" s="6" t="s">
        <v>183</v>
      </c>
      <c r="BR15" s="6">
        <v>352000.0</v>
      </c>
      <c r="BS15" s="6">
        <f>VLOOKUP(BQ15,'Item List'!$A$2:$D$300,2,FALSE)</f>
        <v>1</v>
      </c>
      <c r="BT15" s="6">
        <f>VLOOKUP(BQ15,'Item List'!$A$2:$D$300,3,FALSE)</f>
        <v>4</v>
      </c>
      <c r="BU15" s="6">
        <f>VLOOKUP(BQ15,'Item List'!$A$2:$D$300,4,FALSE)</f>
        <v>2</v>
      </c>
      <c r="CE15" s="98" t="s">
        <v>598</v>
      </c>
      <c r="CF15" s="98" t="s">
        <v>598</v>
      </c>
    </row>
    <row r="16">
      <c r="A16" s="23"/>
      <c r="B16" s="31" t="s">
        <v>599</v>
      </c>
      <c r="C16" s="54"/>
      <c r="D16" s="45"/>
      <c r="E16" s="45"/>
      <c r="F16" s="47"/>
      <c r="G16" s="35"/>
      <c r="H16" s="55" t="s">
        <v>349</v>
      </c>
      <c r="I16" s="38">
        <f>VLOOKUP(H16,'Machine List'!$A$1:$I$300,9,FALSE)</f>
        <v>4000</v>
      </c>
      <c r="J16" s="38">
        <f>IF(VLOOKUP(H16,'Machine List'!$A$1:$I$300,5,FALSE)="Multi",IF(VLOOKUP(H16,'Machine List'!$A$1:$I$300,6,FALSE)="Yes",AG16*3*10^Z16,AG16*(2*3)*10^(Z16-1)),0)</f>
        <v>6</v>
      </c>
      <c r="K16" s="38">
        <f>J16+IF(ISNUMBER(I16),I16,
  SWITCH(
      I16,
      "1T",1*10^Z16,
      "2T",2*10^Z16,
      "3T",3*10^Z16,
      "4T",4*10^Z16,
      "4000+500(7O-5)",4000+500*(7*I17-5),
      "13500 + 16C",13500+16*VLOOKUP(J18,'Machine Helper Sheet'!$G$1:$K$16,5,FALSE),
      1
  )
)</f>
        <v>4006</v>
      </c>
      <c r="L16" s="38">
        <f>IF(VLOOKUP(H16,'Machine List'!$A$1:$I$300,5,FALSE)="Multi",IF(VLOOKUP(H16,'Machine List'!$A$1:$I$300,6,FALSE)="Yes",AU16*3*10^AT16,AU16*(2*3)*10^(AT16-1)),0)</f>
        <v>60000</v>
      </c>
      <c r="M16" s="38">
        <f>L16+IF(ISNUMBER(I16),I16,
  SWITCH(
      I16,
      "1T",1*10^AT16,
      "2T",2*10^AT16,
      "3T",3*10^AT16,
      "4T",4*10^AT16,
      "4000+500(7O-5)",4000+500*(7*I17-5),
      1
  )
)</f>
        <v>64000</v>
      </c>
      <c r="N16" s="38" t="str">
        <f>VLOOKUP(H16,'Machine List'!$A$1:$I$300,8,FALSE)</f>
        <v>Tier</v>
      </c>
      <c r="O16" s="38">
        <f>IF(ISNUMBER(N16),N16,10^Z16)</f>
        <v>10</v>
      </c>
      <c r="P16" s="38">
        <f>IF(ISNUMBER(N16),N16,10^AT16)</f>
        <v>100000</v>
      </c>
      <c r="Q16" s="38">
        <f>VLOOKUP(H16,'Machine List'!$A$1:$B$138,2,FALSE)</f>
        <v>1</v>
      </c>
      <c r="R16" s="38" t="s">
        <v>594</v>
      </c>
      <c r="S16" s="45">
        <f>IF(ISNUMBER(Q16),Q16,
  SWITCH(
      Q16,
      "1",1,
      "2T",Z16*2,
      "4T",Z16*4,
      "6T",Z16*6,
      "8T",Z16*8,
      "10T",Z16*10,
      "12T",Z16*12,
      "14T",Z16*14,
      "16T",Z16*16,
      "2(T+1)",2*(Z16+1),
      "1T*C",Z16*J18,
      1
  )
)</f>
        <v>1</v>
      </c>
      <c r="T16" s="38" t="s">
        <v>277</v>
      </c>
      <c r="U16" s="38">
        <f>IF(OR(T16="No",T16=""),S16,T16)</f>
        <v>1</v>
      </c>
      <c r="V16" s="38">
        <f>IF(ISNUMBER(Q16),Q16,
  SWITCH(
      Q16,
      "1",1,
      "2T",AT16*2,
      "4T",AT16*4,
      "6T",AT16*6,
      "8T",AT16*8,
      "10T",AT16*10,
      "12T",AT16*12,
      "14T",AT16*14,
      "16T",AT16*16,
      "2(T+1)",2*(AT16+1),
      "1T*C",AT16*J18,
      1
  )
)</f>
        <v>1</v>
      </c>
      <c r="W16" s="38" t="str">
        <f>T16</f>
        <v>No</v>
      </c>
      <c r="X16" s="38">
        <f>IF(OR(W16="No",W16=""),V16,W16)</f>
        <v>1</v>
      </c>
      <c r="Y16" s="38" t="s">
        <v>390</v>
      </c>
      <c r="Z16" s="38">
        <f>VLOOKUP(Y16,'Item Helper Sheet'!$A$2:$B$16,2,FALSE)</f>
        <v>1</v>
      </c>
      <c r="AA16" s="38">
        <v>30.0</v>
      </c>
      <c r="AB16" s="38">
        <f>8*20</f>
        <v>160</v>
      </c>
      <c r="AC16" s="38">
        <f>AB16*I18</f>
        <v>1600</v>
      </c>
      <c r="AD16" s="38">
        <f>AA16*AC16</f>
        <v>48000</v>
      </c>
      <c r="AE16" s="75"/>
      <c r="AF16" s="38" t="str">
        <f>Y16</f>
        <v>01 - LV</v>
      </c>
      <c r="AG16" s="38">
        <v>1.0</v>
      </c>
      <c r="AH16" s="38">
        <v>1.0</v>
      </c>
      <c r="AI16" s="38">
        <f>AH16*8*4^Z16</f>
        <v>32</v>
      </c>
      <c r="AJ16" s="38">
        <f>MIN(ROUNDDOWN(AI16/AL16,0),U16)</f>
        <v>1</v>
      </c>
      <c r="AK16" s="38">
        <f>IF(OR(T16="No",T16=""),AG16*S16,AG16*T16)</f>
        <v>1</v>
      </c>
      <c r="AL16" s="38">
        <f>ROUNDUP(AA16*VLOOKUP(H16,'Machine List'!$A$2:$D$219,4,FALSE),0)</f>
        <v>30</v>
      </c>
      <c r="AM16" s="38">
        <f>AL16*AK16</f>
        <v>30</v>
      </c>
      <c r="AN16" s="38">
        <f>ROUNDUP(AB16*I18,0)</f>
        <v>1600</v>
      </c>
      <c r="AO16" s="38">
        <f>ROUNDUP(AN16/VLOOKUP(H16,'Machine List'!$A$2:$D$219,3,FALSE),0)</f>
        <v>1600</v>
      </c>
      <c r="AP16" s="38">
        <f>ROUNDUP(AO16/AK16,0)</f>
        <v>1600</v>
      </c>
      <c r="AQ16" s="38">
        <f>AM16*AP16</f>
        <v>48000</v>
      </c>
      <c r="AR16" s="75"/>
      <c r="AS16" s="38" t="s">
        <v>405</v>
      </c>
      <c r="AT16" s="38">
        <f>VLOOKUP(AS16,'Item Helper Sheet'!$A$2:$B$16,2,FALSE)</f>
        <v>5</v>
      </c>
      <c r="AU16" s="38">
        <f>AG16</f>
        <v>1</v>
      </c>
      <c r="AV16" s="38">
        <v>1.0</v>
      </c>
      <c r="AW16" s="38">
        <f>AV16*8*4^AT16</f>
        <v>8192</v>
      </c>
      <c r="AX16" s="38">
        <f>MIN(ROUNDDOWN(AW16/AL16,0),X16)</f>
        <v>1</v>
      </c>
      <c r="AY16" s="38">
        <f>AX16*AU16</f>
        <v>1</v>
      </c>
      <c r="AZ16" s="38">
        <f>AL16</f>
        <v>30</v>
      </c>
      <c r="BA16" s="38">
        <f>MIN(AT16-Z16,IF(AW16&gt;=AZ17*4,
IF(AW16&gt;=AZ17*4^2,
IF(AW16&gt;=AZ17*4^3,
IF(AW16&gt;=AZ17*4^4,
IF(AW16&gt;=AZ17*4^5,
IF(AW16&gt;=AZ17*4^6,
IF(AW16&gt;=AZ17*4^7,
IF(AW16&gt;=AZ17*4^8,
IF(AW16&gt;=AZ17*4^9,
IF(AW16&gt;=AZ17*4^10,
9),
8),
7),
6),
5),
4),
3),
2),
1),
0))</f>
        <v>4</v>
      </c>
      <c r="BB16" s="38">
        <f>AZ16*AX16*4^BA16</f>
        <v>7680</v>
      </c>
      <c r="BC16" s="38">
        <f>BB16*AU16</f>
        <v>7680</v>
      </c>
      <c r="BD16" s="45">
        <f>ROUNDUP(IF(R16="Yes",AN16/(2^((BA16)*2)),AN16/(2^(BA16))),0)</f>
        <v>7</v>
      </c>
      <c r="BE16" s="45">
        <f>ROUNDUP(BD16/VLOOKUP(H16,'Machine List'!$A$2:$D$219,3,FALSE),0)</f>
        <v>7</v>
      </c>
      <c r="BF16" s="45">
        <f>ROUNDUP(BE16/AY16,0)</f>
        <v>7</v>
      </c>
      <c r="BG16" s="46">
        <f>BF16*BC16</f>
        <v>53760</v>
      </c>
      <c r="BH16" s="30"/>
      <c r="BI16" s="28"/>
      <c r="BJ16" s="29"/>
      <c r="BQ16" s="6" t="s">
        <v>227</v>
      </c>
      <c r="BR16" s="6">
        <v>67000.0</v>
      </c>
      <c r="BS16" s="6">
        <f>VLOOKUP(BQ16,'Item List'!$A$2:$D$300,2,FALSE)</f>
        <v>1</v>
      </c>
      <c r="BT16" s="6">
        <f>VLOOKUP(BQ16,'Item List'!$A$2:$D$300,3,FALSE)</f>
        <v>4</v>
      </c>
      <c r="BU16" s="6">
        <f>VLOOKUP(BQ16,'Item List'!$A$2:$D$300,4,FALSE)</f>
        <v>1</v>
      </c>
      <c r="CE16" s="5">
        <f>SUM(BZ23:BZ29)</f>
        <v>44230</v>
      </c>
      <c r="CF16" s="5">
        <f>SUM(BZ34:BZ40)</f>
        <v>1193200</v>
      </c>
    </row>
    <row r="17">
      <c r="A17" s="29"/>
      <c r="B17" s="40"/>
      <c r="C17" s="41" t="s">
        <v>231</v>
      </c>
      <c r="D17" s="38">
        <f>12000*I18</f>
        <v>120000</v>
      </c>
      <c r="E17" s="38" t="s">
        <v>124</v>
      </c>
      <c r="F17" s="42">
        <f>12000*I18</f>
        <v>120000</v>
      </c>
      <c r="G17" s="43"/>
      <c r="H17" s="99" t="s">
        <v>584</v>
      </c>
      <c r="I17" s="45">
        <f t="array" ref="I17">match(TRUE,ISBLANK(F17:F29),0)-1</f>
        <v>2</v>
      </c>
      <c r="J17" s="100" t="s">
        <v>420</v>
      </c>
      <c r="K17" s="100" t="s">
        <v>585</v>
      </c>
      <c r="L17" s="38"/>
      <c r="M17" s="38"/>
      <c r="N17" s="38"/>
      <c r="O17" s="38"/>
      <c r="P17" s="38"/>
      <c r="Q17" s="38"/>
      <c r="R17" s="101"/>
      <c r="S17" s="101"/>
      <c r="T17" s="101"/>
      <c r="U17" s="45"/>
      <c r="V17" s="45"/>
      <c r="W17" s="45"/>
      <c r="X17" s="45"/>
      <c r="Y17" s="45"/>
      <c r="Z17" s="45"/>
      <c r="AA17" s="45"/>
      <c r="AB17" s="45"/>
      <c r="AC17" s="45"/>
      <c r="AD17" s="45"/>
      <c r="AE17" s="79"/>
      <c r="AF17" s="45"/>
      <c r="AG17" s="45"/>
      <c r="AH17" s="45"/>
      <c r="AI17" s="45"/>
      <c r="AJ17" s="45"/>
      <c r="AK17" s="45"/>
      <c r="AL17" s="45"/>
      <c r="AM17" s="45"/>
      <c r="AN17" s="45"/>
      <c r="AO17" s="45"/>
      <c r="AP17" s="45"/>
      <c r="AQ17" s="45"/>
      <c r="AR17" s="79"/>
      <c r="AS17" s="45"/>
      <c r="AT17" s="45"/>
      <c r="AU17" s="45"/>
      <c r="AV17" s="45"/>
      <c r="AW17" s="45"/>
      <c r="AX17" s="45"/>
      <c r="AY17" s="45"/>
      <c r="AZ17" s="45">
        <f>AZ16*AX16</f>
        <v>30</v>
      </c>
      <c r="BA17" s="45"/>
      <c r="BB17" s="45"/>
      <c r="BC17" s="45"/>
      <c r="BD17" s="45"/>
      <c r="BE17" s="45"/>
      <c r="BF17" s="45"/>
      <c r="BG17" s="46"/>
      <c r="BH17" s="30"/>
      <c r="BI17" s="28"/>
      <c r="BJ17" s="29"/>
      <c r="BQ17" s="6" t="s">
        <v>228</v>
      </c>
      <c r="BR17" s="6">
        <v>8000.0</v>
      </c>
      <c r="BS17" s="6">
        <f>VLOOKUP(BQ17,'Item List'!$A$2:$D$300,2,FALSE)</f>
        <v>1</v>
      </c>
      <c r="BT17" s="6">
        <f>VLOOKUP(BQ17,'Item List'!$A$2:$D$300,3,FALSE)</f>
        <v>4</v>
      </c>
      <c r="BU17" s="6">
        <f>VLOOKUP(BQ17,'Item List'!$A$2:$D$300,4,FALSE)</f>
        <v>2</v>
      </c>
      <c r="CE17" s="98" t="s">
        <v>600</v>
      </c>
      <c r="CF17" s="98" t="s">
        <v>600</v>
      </c>
    </row>
    <row r="18">
      <c r="A18" s="29"/>
      <c r="B18" s="40"/>
      <c r="C18" s="41" t="s">
        <v>87</v>
      </c>
      <c r="D18" s="38">
        <f>2000*I18</f>
        <v>20000</v>
      </c>
      <c r="E18" s="38" t="s">
        <v>88</v>
      </c>
      <c r="F18" s="42">
        <f>1000*I18</f>
        <v>10000</v>
      </c>
      <c r="G18" s="43"/>
      <c r="H18" s="56" t="s">
        <v>502</v>
      </c>
      <c r="I18" s="57">
        <v>10.0</v>
      </c>
      <c r="J18" s="100" t="s">
        <v>424</v>
      </c>
      <c r="K18" s="100">
        <v>0.0</v>
      </c>
      <c r="L18" s="45"/>
      <c r="M18" s="45"/>
      <c r="N18" s="45"/>
      <c r="O18" s="45"/>
      <c r="P18" s="45"/>
      <c r="Q18" s="45"/>
      <c r="R18" s="45"/>
      <c r="S18" s="101"/>
      <c r="T18" s="101"/>
      <c r="U18" s="45"/>
      <c r="V18" s="45"/>
      <c r="W18" s="45"/>
      <c r="X18" s="45"/>
      <c r="Y18" s="45"/>
      <c r="Z18" s="45"/>
      <c r="AA18" s="45"/>
      <c r="AB18" s="45"/>
      <c r="AC18" s="45"/>
      <c r="AD18" s="45"/>
      <c r="AE18" s="79"/>
      <c r="AF18" s="45"/>
      <c r="AG18" s="45"/>
      <c r="AH18" s="45"/>
      <c r="AI18" s="45"/>
      <c r="AJ18" s="45"/>
      <c r="AK18" s="45"/>
      <c r="AL18" s="45"/>
      <c r="AM18" s="45"/>
      <c r="AN18" s="45"/>
      <c r="AO18" s="45"/>
      <c r="AP18" s="45"/>
      <c r="AQ18" s="45"/>
      <c r="AR18" s="79"/>
      <c r="AS18" s="45"/>
      <c r="AT18" s="45"/>
      <c r="AU18" s="45"/>
      <c r="AV18" s="45"/>
      <c r="AW18" s="45"/>
      <c r="AX18" s="45"/>
      <c r="AY18" s="45"/>
      <c r="AZ18" s="45"/>
      <c r="BA18" s="45"/>
      <c r="BB18" s="45"/>
      <c r="BC18" s="45"/>
      <c r="BD18" s="45"/>
      <c r="BE18" s="45"/>
      <c r="BF18" s="45"/>
      <c r="BG18" s="46"/>
      <c r="BH18" s="30"/>
      <c r="BI18" s="28"/>
      <c r="BJ18" s="29"/>
      <c r="BQ18" s="6" t="s">
        <v>229</v>
      </c>
      <c r="BR18" s="6">
        <v>10000.0</v>
      </c>
      <c r="BS18" s="6">
        <f>VLOOKUP(BQ18,'Item List'!$A$2:$D$300,2,FALSE)</f>
        <v>1</v>
      </c>
      <c r="BT18" s="6">
        <f>VLOOKUP(BQ18,'Item List'!$A$2:$D$300,3,FALSE)</f>
        <v>4</v>
      </c>
      <c r="BU18" s="6">
        <f>VLOOKUP(BQ18,'Item List'!$A$2:$D$300,4,FALSE)</f>
        <v>2</v>
      </c>
      <c r="CE18" s="5">
        <f>CA31</f>
        <v>1000</v>
      </c>
      <c r="CF18" s="5">
        <f>CA42</f>
        <v>100000</v>
      </c>
    </row>
    <row r="19">
      <c r="A19" s="29"/>
      <c r="B19" s="50"/>
      <c r="C19" s="51"/>
      <c r="D19" s="52"/>
      <c r="E19" s="52"/>
      <c r="F19" s="52"/>
      <c r="G19" s="43"/>
      <c r="H19" s="52"/>
      <c r="I19" s="52"/>
      <c r="J19" s="52"/>
      <c r="K19" s="52"/>
      <c r="L19" s="52"/>
      <c r="M19" s="52"/>
      <c r="N19" s="52"/>
      <c r="O19" s="52"/>
      <c r="P19" s="52"/>
      <c r="Q19" s="52"/>
      <c r="R19" s="52"/>
      <c r="S19" s="52"/>
      <c r="T19" s="52"/>
      <c r="U19" s="52"/>
      <c r="V19" s="52"/>
      <c r="W19" s="52"/>
      <c r="X19" s="52"/>
      <c r="Y19" s="52"/>
      <c r="Z19" s="52"/>
      <c r="AA19" s="52"/>
      <c r="AB19" s="52"/>
      <c r="AC19" s="52"/>
      <c r="AD19" s="52"/>
      <c r="AE19" s="43"/>
      <c r="AF19" s="52"/>
      <c r="AG19" s="52"/>
      <c r="AH19" s="52"/>
      <c r="AI19" s="52"/>
      <c r="AJ19" s="52"/>
      <c r="AK19" s="52"/>
      <c r="AL19" s="52"/>
      <c r="AM19" s="52"/>
      <c r="AN19" s="52"/>
      <c r="AO19" s="52"/>
      <c r="AP19" s="52"/>
      <c r="AQ19" s="52"/>
      <c r="AR19" s="43"/>
      <c r="AS19" s="52"/>
      <c r="AT19" s="52"/>
      <c r="AU19" s="52"/>
      <c r="AV19" s="52"/>
      <c r="AW19" s="52"/>
      <c r="AX19" s="52"/>
      <c r="AY19" s="52"/>
      <c r="AZ19" s="52"/>
      <c r="BA19" s="52"/>
      <c r="BB19" s="52"/>
      <c r="BC19" s="52"/>
      <c r="BD19" s="52"/>
      <c r="BE19" s="52"/>
      <c r="BF19" s="52"/>
      <c r="BG19" s="53"/>
      <c r="BH19" s="30"/>
      <c r="BI19" s="28"/>
      <c r="BJ19" s="29"/>
      <c r="BQ19" s="6" t="s">
        <v>230</v>
      </c>
      <c r="BR19" s="6">
        <v>0.0</v>
      </c>
      <c r="BS19" s="6">
        <f>VLOOKUP(BQ19,'Item List'!$A$2:$D$300,2,FALSE)</f>
        <v>1</v>
      </c>
      <c r="BT19" s="6">
        <f>VLOOKUP(BQ19,'Item List'!$A$2:$D$300,3,FALSE)</f>
        <v>4</v>
      </c>
      <c r="BU19" s="6">
        <f>VLOOKUP(BQ19,'Item List'!$A$2:$D$300,4,FALSE)</f>
        <v>2</v>
      </c>
    </row>
    <row r="20">
      <c r="A20" s="29"/>
      <c r="B20" s="31" t="s">
        <v>601</v>
      </c>
      <c r="C20" s="54"/>
      <c r="D20" s="45"/>
      <c r="E20" s="45"/>
      <c r="F20" s="47"/>
      <c r="G20" s="35"/>
      <c r="H20" s="55" t="s">
        <v>349</v>
      </c>
      <c r="I20" s="38">
        <f>VLOOKUP(H20,'Machine List'!$A$1:$I$300,9,FALSE)</f>
        <v>4000</v>
      </c>
      <c r="J20" s="38">
        <f>IF(VLOOKUP(H20,'Machine List'!$A$1:$I$300,5,FALSE)="Multi",IF(VLOOKUP(H20,'Machine List'!$A$1:$I$300,6,FALSE)="Yes",AG20*3*10^Z20,AG20*(2*3)*10^(Z20-1)),0)</f>
        <v>6</v>
      </c>
      <c r="K20" s="38">
        <f>J20+IF(ISNUMBER(I20),I20,
  SWITCH(
      I20,
      "1T",1*10^Z20,
      "2T",2*10^Z20,
      "3T",3*10^Z20,
      "4T",4*10^Z20,
      "4000+500(7O-5)",4000+500*(7*I21-5),
      "13500 + 16C",13500+16*VLOOKUP(J22,'Machine Helper Sheet'!$G$1:$K$16,5,FALSE),
      1
  )
)</f>
        <v>4006</v>
      </c>
      <c r="L20" s="38">
        <f>IF(VLOOKUP(H20,'Machine List'!$A$1:$I$300,5,FALSE)="Multi",IF(VLOOKUP(H20,'Machine List'!$A$1:$I$300,6,FALSE)="Yes",AU20*3*10^AT20,AU20*(2*3)*10^(AT20-1)),0)</f>
        <v>600</v>
      </c>
      <c r="M20" s="38">
        <f>L20+IF(ISNUMBER(I20),I20,
  SWITCH(
      I20,
      "1T",1*10^AT20,
      "2T",2*10^AT20,
      "3T",3*10^AT20,
      "4T",4*10^AT20,
      "4000+500(7O-5)",4000+500*(7*I21-5),
      1
  )
)</f>
        <v>4600</v>
      </c>
      <c r="N20" s="38" t="str">
        <f>VLOOKUP(H20,'Machine List'!$A$1:$I$300,8,FALSE)</f>
        <v>Tier</v>
      </c>
      <c r="O20" s="38">
        <f>IF(ISNUMBER(N20),N20,10^Z20)</f>
        <v>10</v>
      </c>
      <c r="P20" s="38">
        <f>IF(ISNUMBER(N20),N20,10^AT20)</f>
        <v>1000</v>
      </c>
      <c r="Q20" s="38">
        <f>VLOOKUP(H20,'Machine List'!$A$1:$B$138,2,FALSE)</f>
        <v>1</v>
      </c>
      <c r="R20" s="38" t="s">
        <v>594</v>
      </c>
      <c r="S20" s="45">
        <f>IF(ISNUMBER(Q20),Q20,
  SWITCH(
      Q20,
      "1",1,
      "2T",Z20*2,
      "4T",Z20*4,
      "6T",Z20*6,
      "8T",Z20*8,
      "10T",Z20*10,
      "12T",Z20*12,
      "14T",Z20*14,
      "16T",Z20*16,
      "2(T+1)",2*(Z20+1),
      "1T*C",Z20*J22,
      1
  )
)</f>
        <v>1</v>
      </c>
      <c r="T20" s="38" t="s">
        <v>277</v>
      </c>
      <c r="U20" s="38">
        <f>IF(OR(T20="No",T20=""),S20,T20)</f>
        <v>1</v>
      </c>
      <c r="V20" s="38">
        <f>IF(ISNUMBER(Q20),Q20,
  SWITCH(
      Q20,
      "1",1,
      "2T",AT20*2,
      "4T",AT20*4,
      "6T",AT20*6,
      "8T",AT20*8,
      "10T",AT20*10,
      "12T",AT20*12,
      "14T",AT20*14,
      "16T",AT20*16,
      "2(T+1)",2*(AT20+1),
      "1T*C",AT20*J22,
      1
  )
)</f>
        <v>1</v>
      </c>
      <c r="W20" s="38" t="str">
        <f>T20</f>
        <v>No</v>
      </c>
      <c r="X20" s="38">
        <f>IF(OR(W20="No",W20=""),V20,W20)</f>
        <v>1</v>
      </c>
      <c r="Y20" s="38" t="s">
        <v>390</v>
      </c>
      <c r="Z20" s="38">
        <f>VLOOKUP(Y20,'Item Helper Sheet'!$A$2:$B$16,2,FALSE)</f>
        <v>1</v>
      </c>
      <c r="AA20" s="38">
        <v>30.0</v>
      </c>
      <c r="AB20" s="38">
        <f>8*20</f>
        <v>160</v>
      </c>
      <c r="AC20" s="38">
        <f>AB20*I22</f>
        <v>4000</v>
      </c>
      <c r="AD20" s="38">
        <f>AA20*AC20</f>
        <v>120000</v>
      </c>
      <c r="AE20" s="75"/>
      <c r="AF20" s="38" t="str">
        <f>Y20</f>
        <v>01 - LV</v>
      </c>
      <c r="AG20" s="38">
        <v>1.0</v>
      </c>
      <c r="AH20" s="38">
        <v>1.0</v>
      </c>
      <c r="AI20" s="38">
        <f>AH20*8*4^Z20</f>
        <v>32</v>
      </c>
      <c r="AJ20" s="38">
        <f>MIN(ROUNDDOWN(AI20/AL20,0),U20)</f>
        <v>1</v>
      </c>
      <c r="AK20" s="38">
        <f>IF(OR(T20="No",T20=""),AG20*S20,AG20*T20)</f>
        <v>1</v>
      </c>
      <c r="AL20" s="38">
        <f>ROUNDUP(AA20*VLOOKUP(H20,'Machine List'!$A$2:$D$219,4,FALSE),0)</f>
        <v>30</v>
      </c>
      <c r="AM20" s="38">
        <f>AL20*AK20</f>
        <v>30</v>
      </c>
      <c r="AN20" s="38">
        <f>ROUNDUP(AB20*I22,0)</f>
        <v>4000</v>
      </c>
      <c r="AO20" s="38">
        <f>ROUNDUP(AN20/VLOOKUP(H20,'Machine List'!$A$2:$D$219,3,FALSE),0)</f>
        <v>4000</v>
      </c>
      <c r="AP20" s="38">
        <f>ROUNDUP(AO20/AK20,0)</f>
        <v>4000</v>
      </c>
      <c r="AQ20" s="38">
        <f>AM20*AP20</f>
        <v>120000</v>
      </c>
      <c r="AR20" s="75"/>
      <c r="AS20" s="38" t="s">
        <v>397</v>
      </c>
      <c r="AT20" s="38">
        <f>VLOOKUP(AS20,'Item Helper Sheet'!$A$2:$B$16,2,FALSE)</f>
        <v>3</v>
      </c>
      <c r="AU20" s="38">
        <f>AG20</f>
        <v>1</v>
      </c>
      <c r="AV20" s="38">
        <v>1.0</v>
      </c>
      <c r="AW20" s="38">
        <f>AV20*8*4^AT20</f>
        <v>512</v>
      </c>
      <c r="AX20" s="38">
        <f>MIN(ROUNDDOWN(AW20/AL20,0),X20)</f>
        <v>1</v>
      </c>
      <c r="AY20" s="38">
        <f>AX20*AU20</f>
        <v>1</v>
      </c>
      <c r="AZ20" s="38">
        <f>AL20</f>
        <v>30</v>
      </c>
      <c r="BA20" s="38">
        <f>MIN(AT20-Z20,IF(AW20&gt;=AZ21*4,
IF(AW20&gt;=AZ21*4^2,
IF(AW20&gt;=AZ21*4^3,
IF(AW20&gt;=AZ21*4^4,
IF(AW20&gt;=AZ21*4^5,
IF(AW20&gt;=AZ21*4^6,
IF(AW20&gt;=AZ21*4^7,
IF(AW20&gt;=AZ21*4^8,
IF(AW20&gt;=AZ21*4^9,
IF(AW20&gt;=AZ21*4^10,
9),
8),
7),
6),
5),
4),
3),
2),
1),
0))</f>
        <v>2</v>
      </c>
      <c r="BB20" s="38">
        <f>AZ20*AX20*4^BA20</f>
        <v>480</v>
      </c>
      <c r="BC20" s="38">
        <f>BB20*AU20</f>
        <v>480</v>
      </c>
      <c r="BD20" s="45">
        <f>ROUNDUP(IF(R20="Yes",AN20/(2^((BA20)*2)),AN20/(2^(BA20))),0)</f>
        <v>250</v>
      </c>
      <c r="BE20" s="45">
        <f>ROUNDUP(BD20/VLOOKUP(H20,'Machine List'!$A$2:$D$219,3,FALSE),0)</f>
        <v>250</v>
      </c>
      <c r="BF20" s="45">
        <f>ROUNDUP(BE20/AY20,0)</f>
        <v>250</v>
      </c>
      <c r="BG20" s="46">
        <f>BF20*BC20</f>
        <v>120000</v>
      </c>
      <c r="BH20" s="30"/>
      <c r="BI20" s="28"/>
      <c r="BJ20" s="29"/>
      <c r="BQ20" s="6" t="s">
        <v>231</v>
      </c>
      <c r="BR20" s="6">
        <v>0.0</v>
      </c>
      <c r="BS20" s="6">
        <f>VLOOKUP(BQ20,'Item List'!$A$2:$D$300,2,FALSE)</f>
        <v>1</v>
      </c>
      <c r="BT20" s="6">
        <f>VLOOKUP(BQ20,'Item List'!$A$2:$D$300,3,FALSE)</f>
        <v>4</v>
      </c>
      <c r="BU20" s="6">
        <f>VLOOKUP(BQ20,'Item List'!$A$2:$D$300,4,FALSE)</f>
        <v>2</v>
      </c>
      <c r="CE20" s="98" t="s">
        <v>602</v>
      </c>
      <c r="CF20" s="98" t="s">
        <v>583</v>
      </c>
      <c r="CG20" s="98" t="s">
        <v>603</v>
      </c>
      <c r="CH20" s="98" t="s">
        <v>604</v>
      </c>
    </row>
    <row r="21">
      <c r="A21" s="29"/>
      <c r="B21" s="40"/>
      <c r="C21" s="41" t="s">
        <v>230</v>
      </c>
      <c r="D21" s="38">
        <f>12000*I22</f>
        <v>300000</v>
      </c>
      <c r="E21" s="38" t="s">
        <v>106</v>
      </c>
      <c r="F21" s="42">
        <f>12000*I22</f>
        <v>300000</v>
      </c>
      <c r="G21" s="43"/>
      <c r="H21" s="99" t="s">
        <v>584</v>
      </c>
      <c r="I21" s="45">
        <f t="array" ref="I21">match(TRUE,ISBLANK(F21:F33),0)-1</f>
        <v>2</v>
      </c>
      <c r="J21" s="100" t="s">
        <v>420</v>
      </c>
      <c r="K21" s="100" t="s">
        <v>585</v>
      </c>
      <c r="L21" s="38"/>
      <c r="M21" s="38"/>
      <c r="N21" s="38"/>
      <c r="O21" s="38"/>
      <c r="P21" s="38"/>
      <c r="Q21" s="38"/>
      <c r="R21" s="101"/>
      <c r="S21" s="101"/>
      <c r="T21" s="101"/>
      <c r="U21" s="45"/>
      <c r="V21" s="45"/>
      <c r="W21" s="45"/>
      <c r="X21" s="45"/>
      <c r="Y21" s="45"/>
      <c r="Z21" s="45"/>
      <c r="AA21" s="45"/>
      <c r="AB21" s="45"/>
      <c r="AC21" s="45"/>
      <c r="AD21" s="45"/>
      <c r="AE21" s="79"/>
      <c r="AF21" s="45"/>
      <c r="AG21" s="45"/>
      <c r="AH21" s="45"/>
      <c r="AI21" s="45"/>
      <c r="AJ21" s="45"/>
      <c r="AK21" s="45"/>
      <c r="AL21" s="45"/>
      <c r="AM21" s="45"/>
      <c r="AN21" s="45"/>
      <c r="AO21" s="45"/>
      <c r="AP21" s="45"/>
      <c r="AQ21" s="45"/>
      <c r="AR21" s="79"/>
      <c r="AS21" s="45"/>
      <c r="AT21" s="45"/>
      <c r="AU21" s="45"/>
      <c r="AV21" s="45"/>
      <c r="AW21" s="45"/>
      <c r="AX21" s="45"/>
      <c r="AY21" s="45"/>
      <c r="AZ21" s="45">
        <f>AZ20*AX20</f>
        <v>30</v>
      </c>
      <c r="BA21" s="45"/>
      <c r="BB21" s="45"/>
      <c r="BC21" s="45"/>
      <c r="BD21" s="45"/>
      <c r="BE21" s="45"/>
      <c r="BF21" s="45"/>
      <c r="BG21" s="46"/>
      <c r="BH21" s="30"/>
      <c r="BI21" s="28"/>
      <c r="BJ21" s="29"/>
      <c r="CE21" s="5" t="str">
        <f t="shared" ref="CE21:CF21" si="11">CE6</f>
        <v>Diesel</v>
      </c>
      <c r="CF21" s="5">
        <f t="shared" si="11"/>
        <v>360000</v>
      </c>
      <c r="CG21" s="4">
        <v>480.0</v>
      </c>
      <c r="CH21" s="109">
        <v>1.5</v>
      </c>
    </row>
    <row r="22">
      <c r="A22" s="29"/>
      <c r="B22" s="40"/>
      <c r="C22" s="41" t="s">
        <v>87</v>
      </c>
      <c r="D22" s="38">
        <f>2000*I22</f>
        <v>50000</v>
      </c>
      <c r="E22" s="38" t="s">
        <v>88</v>
      </c>
      <c r="F22" s="42">
        <f>1000*I22</f>
        <v>25000</v>
      </c>
      <c r="G22" s="43"/>
      <c r="H22" s="56" t="s">
        <v>502</v>
      </c>
      <c r="I22" s="57">
        <v>25.0</v>
      </c>
      <c r="J22" s="100" t="s">
        <v>424</v>
      </c>
      <c r="K22" s="100">
        <v>0.0</v>
      </c>
      <c r="L22" s="45"/>
      <c r="M22" s="45"/>
      <c r="N22" s="45"/>
      <c r="O22" s="45"/>
      <c r="P22" s="45"/>
      <c r="Q22" s="45"/>
      <c r="R22" s="45"/>
      <c r="S22" s="101"/>
      <c r="T22" s="101"/>
      <c r="U22" s="45"/>
      <c r="V22" s="45"/>
      <c r="W22" s="45"/>
      <c r="X22" s="45"/>
      <c r="Y22" s="45"/>
      <c r="Z22" s="45"/>
      <c r="AA22" s="45"/>
      <c r="AB22" s="45"/>
      <c r="AC22" s="45"/>
      <c r="AD22" s="45"/>
      <c r="AE22" s="79"/>
      <c r="AF22" s="45"/>
      <c r="AG22" s="45"/>
      <c r="AH22" s="45"/>
      <c r="AI22" s="45"/>
      <c r="AJ22" s="45"/>
      <c r="AK22" s="45"/>
      <c r="AL22" s="45"/>
      <c r="AM22" s="45"/>
      <c r="AN22" s="45"/>
      <c r="AO22" s="45"/>
      <c r="AP22" s="45"/>
      <c r="AQ22" s="45"/>
      <c r="AR22" s="79"/>
      <c r="AS22" s="45"/>
      <c r="AT22" s="45"/>
      <c r="AU22" s="45"/>
      <c r="AV22" s="45"/>
      <c r="AW22" s="45"/>
      <c r="AX22" s="45"/>
      <c r="AY22" s="45"/>
      <c r="AZ22" s="45"/>
      <c r="BA22" s="45"/>
      <c r="BB22" s="45"/>
      <c r="BC22" s="45"/>
      <c r="BD22" s="45"/>
      <c r="BE22" s="45"/>
      <c r="BF22" s="45"/>
      <c r="BG22" s="46"/>
      <c r="BH22" s="69"/>
      <c r="BI22" s="28"/>
      <c r="BJ22" s="29"/>
      <c r="BK22" s="6" t="s">
        <v>457</v>
      </c>
      <c r="BL22" s="6" t="s">
        <v>467</v>
      </c>
      <c r="BM22" s="6" t="s">
        <v>471</v>
      </c>
      <c r="BN22" s="6" t="s">
        <v>457</v>
      </c>
      <c r="BO22" s="6" t="s">
        <v>466</v>
      </c>
      <c r="BP22" s="6" t="s">
        <v>470</v>
      </c>
      <c r="BQ22" s="6" t="s">
        <v>457</v>
      </c>
      <c r="BR22" s="6" t="s">
        <v>484</v>
      </c>
      <c r="BS22" s="6" t="s">
        <v>605</v>
      </c>
      <c r="BT22" s="6" t="s">
        <v>606</v>
      </c>
      <c r="BY22" s="6" t="s">
        <v>457</v>
      </c>
      <c r="BZ22" s="6" t="s">
        <v>607</v>
      </c>
      <c r="CA22" s="6" t="s">
        <v>545</v>
      </c>
      <c r="CD22" s="102"/>
      <c r="CH22" s="5"/>
    </row>
    <row r="23">
      <c r="A23" s="29"/>
      <c r="B23" s="50"/>
      <c r="C23" s="51"/>
      <c r="D23" s="52"/>
      <c r="E23" s="52"/>
      <c r="F23" s="52"/>
      <c r="G23" s="43"/>
      <c r="H23" s="52"/>
      <c r="I23" s="52"/>
      <c r="J23" s="52"/>
      <c r="K23" s="52"/>
      <c r="L23" s="52"/>
      <c r="M23" s="52"/>
      <c r="N23" s="52"/>
      <c r="O23" s="52"/>
      <c r="P23" s="52"/>
      <c r="Q23" s="52"/>
      <c r="R23" s="52"/>
      <c r="S23" s="52"/>
      <c r="T23" s="52"/>
      <c r="U23" s="52"/>
      <c r="V23" s="52"/>
      <c r="W23" s="52"/>
      <c r="X23" s="52"/>
      <c r="Y23" s="52"/>
      <c r="Z23" s="52"/>
      <c r="AA23" s="52"/>
      <c r="AB23" s="52"/>
      <c r="AC23" s="52"/>
      <c r="AD23" s="52"/>
      <c r="AE23" s="43"/>
      <c r="AF23" s="52"/>
      <c r="AG23" s="52"/>
      <c r="AH23" s="52"/>
      <c r="AI23" s="52"/>
      <c r="AJ23" s="52"/>
      <c r="AK23" s="52"/>
      <c r="AL23" s="52"/>
      <c r="AM23" s="52"/>
      <c r="AN23" s="52"/>
      <c r="AO23" s="52"/>
      <c r="AP23" s="52"/>
      <c r="AQ23" s="52"/>
      <c r="AR23" s="43"/>
      <c r="AS23" s="52"/>
      <c r="AT23" s="52"/>
      <c r="AU23" s="52"/>
      <c r="AV23" s="52"/>
      <c r="AW23" s="52"/>
      <c r="AX23" s="52"/>
      <c r="AY23" s="52"/>
      <c r="AZ23" s="52"/>
      <c r="BA23" s="52"/>
      <c r="BB23" s="52"/>
      <c r="BC23" s="52"/>
      <c r="BD23" s="52"/>
      <c r="BE23" s="52"/>
      <c r="BF23" s="52"/>
      <c r="BG23" s="53"/>
      <c r="BH23" s="70"/>
      <c r="BI23" s="28"/>
      <c r="BJ23" s="29"/>
      <c r="BK23" s="6" t="s">
        <v>579</v>
      </c>
      <c r="BL23" s="6">
        <v>9216000.0</v>
      </c>
      <c r="BM23" s="6">
        <v>3.6864E7</v>
      </c>
      <c r="BN23" s="6" t="s">
        <v>579</v>
      </c>
      <c r="BO23" s="6">
        <v>19200.0</v>
      </c>
      <c r="BP23" s="6">
        <v>1200.0</v>
      </c>
      <c r="BQ23" s="6" t="s">
        <v>579</v>
      </c>
      <c r="BR23" s="6">
        <v>3.0</v>
      </c>
      <c r="BS23" s="6">
        <v>5.0</v>
      </c>
      <c r="BT23" s="6">
        <v>2.0</v>
      </c>
      <c r="BY23" s="6" t="s">
        <v>579</v>
      </c>
      <c r="BZ23" s="6">
        <v>19600.0</v>
      </c>
      <c r="CA23" s="6">
        <v>1000.0</v>
      </c>
      <c r="CE23" s="98" t="s">
        <v>608</v>
      </c>
      <c r="CF23" s="98" t="s">
        <v>609</v>
      </c>
      <c r="CG23" s="98" t="s">
        <v>610</v>
      </c>
      <c r="CH23" s="5"/>
    </row>
    <row r="24">
      <c r="A24" s="29"/>
      <c r="B24" s="31" t="s">
        <v>611</v>
      </c>
      <c r="C24" s="54"/>
      <c r="D24" s="45"/>
      <c r="E24" s="45"/>
      <c r="F24" s="47"/>
      <c r="G24" s="35"/>
      <c r="H24" s="55" t="s">
        <v>349</v>
      </c>
      <c r="I24" s="38">
        <f>VLOOKUP(H24,'Machine List'!$A$1:$I$300,9,FALSE)</f>
        <v>4000</v>
      </c>
      <c r="J24" s="38">
        <f>IF(VLOOKUP(H24,'Machine List'!$A$1:$I$300,5,FALSE)="Multi",IF(VLOOKUP(H24,'Machine List'!$A$1:$I$300,6,FALSE)="Yes",AG24*3*10^Z24,AG24*(2*3)*10^(Z24-1)),0)</f>
        <v>6</v>
      </c>
      <c r="K24" s="38">
        <f>J24+IF(ISNUMBER(I24),I24,
  SWITCH(
      I24,
      "1T",1*10^Z24,
      "2T",2*10^Z24,
      "3T",3*10^Z24,
      "4T",4*10^Z24,
      "4000+500(7O-5)",4000+500*(7*I25-5),
      "13500 + 16C",13500+16*VLOOKUP(J26,'Machine Helper Sheet'!$G$1:$K$16,5,FALSE),
      1
  )
)</f>
        <v>4006</v>
      </c>
      <c r="L24" s="38">
        <f>IF(VLOOKUP(H24,'Machine List'!$A$1:$I$300,5,FALSE)="Multi",IF(VLOOKUP(H24,'Machine List'!$A$1:$I$300,6,FALSE)="Yes",AU24*3*10^AT24,AU24*(2*3)*10^(AT24-1)),0)</f>
        <v>600</v>
      </c>
      <c r="M24" s="38">
        <f>L24+IF(ISNUMBER(I24),I24,
  SWITCH(
      I24,
      "1T",1*10^AT24,
      "2T",2*10^AT24,
      "3T",3*10^AT24,
      "4T",4*10^AT24,
      "4000+500(7O-5)",4000+500*(7*I25-5),
      1
  )
)</f>
        <v>4600</v>
      </c>
      <c r="N24" s="38" t="str">
        <f>VLOOKUP(H24,'Machine List'!$A$1:$I$300,8,FALSE)</f>
        <v>Tier</v>
      </c>
      <c r="O24" s="38">
        <f>IF(ISNUMBER(N24),N24,10^Z24)</f>
        <v>10</v>
      </c>
      <c r="P24" s="38">
        <f>IF(ISNUMBER(N24),N24,10^AT24)</f>
        <v>1000</v>
      </c>
      <c r="Q24" s="38">
        <f>VLOOKUP(H24,'Machine List'!$A$1:$B$138,2,FALSE)</f>
        <v>1</v>
      </c>
      <c r="R24" s="38" t="s">
        <v>594</v>
      </c>
      <c r="S24" s="45">
        <f>IF(ISNUMBER(Q24),Q24,
  SWITCH(
      Q24,
      "1",1,
      "2T",Z24*2,
      "4T",Z24*4,
      "6T",Z24*6,
      "8T",Z24*8,
      "10T",Z24*10,
      "12T",Z24*12,
      "14T",Z24*14,
      "16T",Z24*16,
      "2(T+1)",2*(Z24+1),
      "1T*C",Z24*J26,
      1
  )
)</f>
        <v>1</v>
      </c>
      <c r="T24" s="38" t="s">
        <v>277</v>
      </c>
      <c r="U24" s="38">
        <f>IF(OR(T24="No",T24=""),S24,T24)</f>
        <v>1</v>
      </c>
      <c r="V24" s="38">
        <f>IF(ISNUMBER(Q24),Q24,
  SWITCH(
      Q24,
      "1",1,
      "2T",AT24*2,
      "4T",AT24*4,
      "6T",AT24*6,
      "8T",AT24*8,
      "10T",AT24*10,
      "12T",AT24*12,
      "14T",AT24*14,
      "16T",AT24*16,
      "2(T+1)",2*(AT24+1),
      "1T*C",AT24*J26,
      1
  )
)</f>
        <v>1</v>
      </c>
      <c r="W24" s="38" t="str">
        <f>T24</f>
        <v>No</v>
      </c>
      <c r="X24" s="38">
        <f>IF(OR(W24="No",W24=""),V24,W24)</f>
        <v>1</v>
      </c>
      <c r="Y24" s="38" t="s">
        <v>390</v>
      </c>
      <c r="Z24" s="38">
        <f>VLOOKUP(Y24,'Item Helper Sheet'!$A$2:$B$16,2,FALSE)</f>
        <v>1</v>
      </c>
      <c r="AA24" s="38">
        <v>30.0</v>
      </c>
      <c r="AB24" s="38">
        <f>8*20</f>
        <v>160</v>
      </c>
      <c r="AC24" s="38">
        <f>AB24*I26</f>
        <v>1600</v>
      </c>
      <c r="AD24" s="38">
        <f>AA24*AC24</f>
        <v>48000</v>
      </c>
      <c r="AE24" s="75"/>
      <c r="AF24" s="38" t="str">
        <f>Y24</f>
        <v>01 - LV</v>
      </c>
      <c r="AG24" s="38">
        <v>1.0</v>
      </c>
      <c r="AH24" s="38">
        <v>1.0</v>
      </c>
      <c r="AI24" s="38">
        <f>AH24*8*4^Z24</f>
        <v>32</v>
      </c>
      <c r="AJ24" s="38">
        <f>MIN(ROUNDDOWN(AI24/AL24,0),U24)</f>
        <v>1</v>
      </c>
      <c r="AK24" s="38">
        <f>IF(OR(T24="No",T24=""),AG24*S24,AG24*T24)</f>
        <v>1</v>
      </c>
      <c r="AL24" s="38">
        <f>ROUNDUP(AA24*VLOOKUP(H24,'Machine List'!$A$2:$D$219,4,FALSE),0)</f>
        <v>30</v>
      </c>
      <c r="AM24" s="38">
        <f>AL24*AK24</f>
        <v>30</v>
      </c>
      <c r="AN24" s="38">
        <f>ROUNDUP(AB24*I26,0)</f>
        <v>1600</v>
      </c>
      <c r="AO24" s="38">
        <f>ROUNDUP(AN24/VLOOKUP(H24,'Machine List'!$A$2:$D$219,3,FALSE),0)</f>
        <v>1600</v>
      </c>
      <c r="AP24" s="38">
        <f>ROUNDUP(AO24/AK24,0)</f>
        <v>1600</v>
      </c>
      <c r="AQ24" s="38">
        <f>AM24*AP24</f>
        <v>48000</v>
      </c>
      <c r="AR24" s="75"/>
      <c r="AS24" s="38" t="s">
        <v>397</v>
      </c>
      <c r="AT24" s="38">
        <f>VLOOKUP(AS24,'Item Helper Sheet'!$A$2:$B$16,2,FALSE)</f>
        <v>3</v>
      </c>
      <c r="AU24" s="38">
        <f>AG24</f>
        <v>1</v>
      </c>
      <c r="AV24" s="38">
        <v>1.0</v>
      </c>
      <c r="AW24" s="38">
        <f>AV24*8*4^AT24</f>
        <v>512</v>
      </c>
      <c r="AX24" s="38">
        <f>MIN(ROUNDDOWN(AW24/AL24,0),X24)</f>
        <v>1</v>
      </c>
      <c r="AY24" s="38">
        <f>AX24*AU24</f>
        <v>1</v>
      </c>
      <c r="AZ24" s="38">
        <f>AL24</f>
        <v>30</v>
      </c>
      <c r="BA24" s="38">
        <f>MIN(AT24-Z24,IF(AW24&gt;=AZ25*4,
IF(AW24&gt;=AZ25*4^2,
IF(AW24&gt;=AZ25*4^3,
IF(AW24&gt;=AZ25*4^4,
IF(AW24&gt;=AZ25*4^5,
IF(AW24&gt;=AZ25*4^6,
IF(AW24&gt;=AZ25*4^7,
IF(AW24&gt;=AZ25*4^8,
IF(AW24&gt;=AZ25*4^9,
IF(AW24&gt;=AZ25*4^10,
9),
8),
7),
6),
5),
4),
3),
2),
1),
0))</f>
        <v>2</v>
      </c>
      <c r="BB24" s="38">
        <f>AZ24*AX24*4^BA24</f>
        <v>480</v>
      </c>
      <c r="BC24" s="38">
        <f>BB24*AU24</f>
        <v>480</v>
      </c>
      <c r="BD24" s="45">
        <f>ROUNDUP(IF(R24="Yes",AN24/(2^((BA24)*2)),AN24/(2^(BA24))),0)</f>
        <v>100</v>
      </c>
      <c r="BE24" s="45">
        <f>ROUNDUP(BD24/VLOOKUP(H24,'Machine List'!$A$2:$D$219,3,FALSE),0)</f>
        <v>100</v>
      </c>
      <c r="BF24" s="45">
        <f>ROUNDUP(BE24/AY24,0)</f>
        <v>100</v>
      </c>
      <c r="BG24" s="46">
        <f>BF24*BC24</f>
        <v>48000</v>
      </c>
      <c r="BH24" s="30"/>
      <c r="BI24" s="28"/>
      <c r="BJ24" s="29"/>
      <c r="BK24" s="6" t="s">
        <v>593</v>
      </c>
      <c r="BL24" s="6">
        <v>105600.0</v>
      </c>
      <c r="BM24" s="6">
        <v>107520.0</v>
      </c>
      <c r="BN24" s="6" t="s">
        <v>593</v>
      </c>
      <c r="BO24" s="6">
        <v>3520.0</v>
      </c>
      <c r="BP24" s="6">
        <v>14.0</v>
      </c>
      <c r="BQ24" s="6" t="s">
        <v>593</v>
      </c>
      <c r="BR24" s="6">
        <v>1.0</v>
      </c>
      <c r="BS24" s="6">
        <v>5.0</v>
      </c>
      <c r="BT24" s="6">
        <v>4.0</v>
      </c>
      <c r="BY24" s="6" t="s">
        <v>593</v>
      </c>
      <c r="BZ24" s="6">
        <v>4006.0</v>
      </c>
      <c r="CA24" s="6">
        <v>10.0</v>
      </c>
      <c r="CE24" s="5">
        <f>CF21*CG21*CH21</f>
        <v>259200000</v>
      </c>
      <c r="CF24" s="5">
        <f>BM30</f>
        <v>38879040</v>
      </c>
      <c r="CG24" s="110">
        <f>1-(CF24/CE24)</f>
        <v>0.8500037037</v>
      </c>
      <c r="CH24" s="5"/>
    </row>
    <row r="25">
      <c r="A25" s="29"/>
      <c r="B25" s="40"/>
      <c r="C25" s="41" t="s">
        <v>229</v>
      </c>
      <c r="D25" s="38">
        <f>8000*I26</f>
        <v>80000</v>
      </c>
      <c r="E25" s="38" t="s">
        <v>81</v>
      </c>
      <c r="F25" s="42">
        <f>8000*I26</f>
        <v>80000</v>
      </c>
      <c r="G25" s="43"/>
      <c r="H25" s="99" t="s">
        <v>584</v>
      </c>
      <c r="I25" s="45">
        <f t="array" ref="I25">match(TRUE,ISBLANK(F25:F37),0)-1</f>
        <v>2</v>
      </c>
      <c r="J25" s="100" t="s">
        <v>420</v>
      </c>
      <c r="K25" s="100" t="s">
        <v>585</v>
      </c>
      <c r="L25" s="38"/>
      <c r="M25" s="38"/>
      <c r="N25" s="38"/>
      <c r="O25" s="38"/>
      <c r="P25" s="38"/>
      <c r="Q25" s="38"/>
      <c r="R25" s="101"/>
      <c r="S25" s="101"/>
      <c r="T25" s="101"/>
      <c r="U25" s="45"/>
      <c r="V25" s="45"/>
      <c r="W25" s="45"/>
      <c r="X25" s="45"/>
      <c r="Y25" s="45"/>
      <c r="Z25" s="45"/>
      <c r="AA25" s="45"/>
      <c r="AB25" s="45"/>
      <c r="AC25" s="45"/>
      <c r="AD25" s="45"/>
      <c r="AE25" s="79"/>
      <c r="AF25" s="45"/>
      <c r="AG25" s="45"/>
      <c r="AH25" s="45"/>
      <c r="AI25" s="45"/>
      <c r="AJ25" s="45"/>
      <c r="AK25" s="45"/>
      <c r="AL25" s="45"/>
      <c r="AM25" s="45"/>
      <c r="AN25" s="45"/>
      <c r="AO25" s="45"/>
      <c r="AP25" s="45"/>
      <c r="AQ25" s="45"/>
      <c r="AR25" s="79"/>
      <c r="AS25" s="45"/>
      <c r="AT25" s="45"/>
      <c r="AU25" s="45"/>
      <c r="AV25" s="45"/>
      <c r="AW25" s="45"/>
      <c r="AX25" s="45"/>
      <c r="AY25" s="45"/>
      <c r="AZ25" s="45">
        <f>AZ24*AX24</f>
        <v>30</v>
      </c>
      <c r="BA25" s="45"/>
      <c r="BB25" s="45"/>
      <c r="BC25" s="45"/>
      <c r="BD25" s="45"/>
      <c r="BE25" s="45"/>
      <c r="BF25" s="45"/>
      <c r="BG25" s="46"/>
      <c r="BH25" s="30"/>
      <c r="BI25" s="28"/>
      <c r="BJ25" s="29"/>
      <c r="BK25" s="6" t="s">
        <v>599</v>
      </c>
      <c r="BL25" s="6">
        <v>48000.0</v>
      </c>
      <c r="BM25" s="6">
        <v>53760.0</v>
      </c>
      <c r="BN25" s="6" t="s">
        <v>599</v>
      </c>
      <c r="BO25" s="6">
        <v>1600.0</v>
      </c>
      <c r="BP25" s="6">
        <v>7.0</v>
      </c>
      <c r="BQ25" s="6" t="s">
        <v>599</v>
      </c>
      <c r="BR25" s="6">
        <v>1.0</v>
      </c>
      <c r="BS25" s="6">
        <v>5.0</v>
      </c>
      <c r="BT25" s="6">
        <v>4.0</v>
      </c>
      <c r="BY25" s="6" t="s">
        <v>599</v>
      </c>
      <c r="BZ25" s="6">
        <v>4006.0</v>
      </c>
      <c r="CA25" s="6">
        <v>10.0</v>
      </c>
      <c r="CH25" s="5"/>
    </row>
    <row r="26">
      <c r="A26" s="29"/>
      <c r="B26" s="40"/>
      <c r="C26" s="41" t="s">
        <v>87</v>
      </c>
      <c r="D26" s="38">
        <f>2000*I26</f>
        <v>20000</v>
      </c>
      <c r="E26" s="38" t="s">
        <v>88</v>
      </c>
      <c r="F26" s="42">
        <f>1000*I26</f>
        <v>10000</v>
      </c>
      <c r="G26" s="43"/>
      <c r="H26" s="56" t="s">
        <v>502</v>
      </c>
      <c r="I26" s="57">
        <v>10.0</v>
      </c>
      <c r="J26" s="100" t="s">
        <v>424</v>
      </c>
      <c r="K26" s="100">
        <v>0.0</v>
      </c>
      <c r="L26" s="45"/>
      <c r="M26" s="45"/>
      <c r="N26" s="45"/>
      <c r="O26" s="45"/>
      <c r="P26" s="45"/>
      <c r="Q26" s="45"/>
      <c r="R26" s="45"/>
      <c r="S26" s="101"/>
      <c r="T26" s="101"/>
      <c r="U26" s="45"/>
      <c r="V26" s="45"/>
      <c r="W26" s="45"/>
      <c r="X26" s="45"/>
      <c r="Y26" s="45"/>
      <c r="Z26" s="45"/>
      <c r="AA26" s="45"/>
      <c r="AB26" s="45"/>
      <c r="AC26" s="45"/>
      <c r="AD26" s="45"/>
      <c r="AE26" s="79"/>
      <c r="AF26" s="45"/>
      <c r="AG26" s="45"/>
      <c r="AH26" s="45"/>
      <c r="AI26" s="45"/>
      <c r="AJ26" s="45"/>
      <c r="AK26" s="45"/>
      <c r="AL26" s="45"/>
      <c r="AM26" s="45"/>
      <c r="AN26" s="45"/>
      <c r="AO26" s="45"/>
      <c r="AP26" s="45"/>
      <c r="AQ26" s="45"/>
      <c r="AR26" s="79"/>
      <c r="AS26" s="45"/>
      <c r="AT26" s="45"/>
      <c r="AU26" s="45"/>
      <c r="AV26" s="45"/>
      <c r="AW26" s="45"/>
      <c r="AX26" s="45"/>
      <c r="AY26" s="45"/>
      <c r="AZ26" s="45"/>
      <c r="BA26" s="45"/>
      <c r="BB26" s="45"/>
      <c r="BC26" s="45"/>
      <c r="BD26" s="45"/>
      <c r="BE26" s="45"/>
      <c r="BF26" s="45"/>
      <c r="BG26" s="46"/>
      <c r="BH26" s="30"/>
      <c r="BI26" s="28"/>
      <c r="BJ26" s="29"/>
      <c r="BK26" s="6" t="s">
        <v>601</v>
      </c>
      <c r="BL26" s="6">
        <v>120000.0</v>
      </c>
      <c r="BM26" s="6">
        <v>120000.0</v>
      </c>
      <c r="BN26" s="6" t="s">
        <v>601</v>
      </c>
      <c r="BO26" s="6">
        <v>4000.0</v>
      </c>
      <c r="BP26" s="6">
        <v>250.0</v>
      </c>
      <c r="BQ26" s="6" t="s">
        <v>601</v>
      </c>
      <c r="BR26" s="6">
        <v>1.0</v>
      </c>
      <c r="BS26" s="6">
        <v>3.0</v>
      </c>
      <c r="BT26" s="6">
        <v>2.0</v>
      </c>
      <c r="BY26" s="6" t="s">
        <v>601</v>
      </c>
      <c r="BZ26" s="6">
        <v>4006.0</v>
      </c>
      <c r="CA26" s="6">
        <v>10.0</v>
      </c>
      <c r="CE26" s="98" t="s">
        <v>612</v>
      </c>
      <c r="CF26" s="98" t="s">
        <v>613</v>
      </c>
      <c r="CG26" s="98" t="s">
        <v>614</v>
      </c>
    </row>
    <row r="27">
      <c r="B27" s="50"/>
      <c r="C27" s="51"/>
      <c r="D27" s="52"/>
      <c r="E27" s="52"/>
      <c r="F27" s="52"/>
      <c r="G27" s="43"/>
      <c r="H27" s="52"/>
      <c r="I27" s="52"/>
      <c r="J27" s="52"/>
      <c r="K27" s="52"/>
      <c r="L27" s="52"/>
      <c r="M27" s="52"/>
      <c r="N27" s="52"/>
      <c r="O27" s="52"/>
      <c r="P27" s="52"/>
      <c r="Q27" s="52"/>
      <c r="R27" s="52"/>
      <c r="S27" s="52"/>
      <c r="T27" s="52"/>
      <c r="U27" s="52"/>
      <c r="V27" s="52"/>
      <c r="W27" s="52"/>
      <c r="X27" s="52"/>
      <c r="Y27" s="52"/>
      <c r="Z27" s="52"/>
      <c r="AA27" s="52"/>
      <c r="AB27" s="52"/>
      <c r="AC27" s="52"/>
      <c r="AD27" s="52"/>
      <c r="AE27" s="43"/>
      <c r="AF27" s="52"/>
      <c r="AG27" s="52"/>
      <c r="AH27" s="52"/>
      <c r="AI27" s="52"/>
      <c r="AJ27" s="52"/>
      <c r="AK27" s="52"/>
      <c r="AL27" s="52"/>
      <c r="AM27" s="52"/>
      <c r="AN27" s="52"/>
      <c r="AO27" s="52"/>
      <c r="AP27" s="52"/>
      <c r="AQ27" s="52"/>
      <c r="AR27" s="43"/>
      <c r="AS27" s="52"/>
      <c r="AT27" s="52"/>
      <c r="AU27" s="52"/>
      <c r="AV27" s="52"/>
      <c r="AW27" s="52"/>
      <c r="AX27" s="52"/>
      <c r="AY27" s="52"/>
      <c r="AZ27" s="52"/>
      <c r="BA27" s="52"/>
      <c r="BB27" s="52"/>
      <c r="BC27" s="52"/>
      <c r="BD27" s="52"/>
      <c r="BE27" s="52"/>
      <c r="BF27" s="52"/>
      <c r="BG27" s="53"/>
      <c r="BI27" s="28"/>
      <c r="BK27" s="6" t="s">
        <v>611</v>
      </c>
      <c r="BL27" s="6">
        <v>48000.0</v>
      </c>
      <c r="BM27" s="6">
        <v>48000.0</v>
      </c>
      <c r="BN27" s="6" t="s">
        <v>611</v>
      </c>
      <c r="BO27" s="6">
        <v>1600.0</v>
      </c>
      <c r="BP27" s="6">
        <v>100.0</v>
      </c>
      <c r="BQ27" s="6" t="s">
        <v>611</v>
      </c>
      <c r="BR27" s="6">
        <v>1.0</v>
      </c>
      <c r="BS27" s="6">
        <v>3.0</v>
      </c>
      <c r="BT27" s="6">
        <v>2.0</v>
      </c>
      <c r="BY27" s="6" t="s">
        <v>611</v>
      </c>
      <c r="BZ27" s="6">
        <v>4006.0</v>
      </c>
      <c r="CA27" s="6">
        <v>10.0</v>
      </c>
      <c r="CE27" s="5">
        <f>CE24-CF24</f>
        <v>220320960</v>
      </c>
      <c r="CF27" s="5">
        <f>BP31</f>
        <v>1200</v>
      </c>
      <c r="CG27" s="5">
        <f>CE27/CF27</f>
        <v>183600.8</v>
      </c>
    </row>
    <row r="28">
      <c r="B28" s="31" t="s">
        <v>615</v>
      </c>
      <c r="C28" s="54"/>
      <c r="D28" s="45"/>
      <c r="E28" s="45"/>
      <c r="F28" s="47"/>
      <c r="G28" s="35"/>
      <c r="H28" s="55" t="s">
        <v>349</v>
      </c>
      <c r="I28" s="38">
        <f>VLOOKUP(H28,'Machine List'!$A$1:$I$300,9,FALSE)</f>
        <v>4000</v>
      </c>
      <c r="J28" s="38">
        <f>IF(VLOOKUP(H28,'Machine List'!$A$1:$I$300,5,FALSE)="Multi",IF(VLOOKUP(H28,'Machine List'!$A$1:$I$300,6,FALSE)="Yes",AG28*3*10^Z28,AG28*(2*3)*10^(Z28-1)),0)</f>
        <v>6</v>
      </c>
      <c r="K28" s="38">
        <f>J28+IF(ISNUMBER(I28),I28,
  SWITCH(
      I28,
      "1T",1*10^Z28,
      "2T",2*10^Z28,
      "3T",3*10^Z28,
      "4T",4*10^Z28,
      "4000+500(7O-5)",4000+500*(7*I29-5),
      "13500 + 16C",13500+16*VLOOKUP(J30,'Machine Helper Sheet'!$G$1:$K$16,5,FALSE),
      1
  )
)</f>
        <v>4006</v>
      </c>
      <c r="L28" s="38">
        <f>IF(VLOOKUP(H28,'Machine List'!$A$1:$I$300,5,FALSE)="Multi",IF(VLOOKUP(H28,'Machine List'!$A$1:$I$300,6,FALSE)="Yes",AU28*3*10^AT28,AU28*(2*3)*10^(AT28-1)),0)</f>
        <v>6000</v>
      </c>
      <c r="M28" s="38">
        <f>L28+IF(ISNUMBER(I28),I28,
  SWITCH(
      I28,
      "1T",1*10^AT28,
      "2T",2*10^AT28,
      "3T",3*10^AT28,
      "4T",4*10^AT28,
      "4000+500(7O-5)",4000+500*(7*I29-5),
      1
  )
)</f>
        <v>10000</v>
      </c>
      <c r="N28" s="38" t="str">
        <f>VLOOKUP(H28,'Machine List'!$A$1:$I$300,8,FALSE)</f>
        <v>Tier</v>
      </c>
      <c r="O28" s="38">
        <f>IF(ISNUMBER(N28),N28,10^Z28)</f>
        <v>10</v>
      </c>
      <c r="P28" s="38">
        <f>IF(ISNUMBER(N28),N28,10^AT28)</f>
        <v>10000</v>
      </c>
      <c r="Q28" s="38">
        <f>VLOOKUP(H28,'Machine List'!$A$1:$B$138,2,FALSE)</f>
        <v>1</v>
      </c>
      <c r="R28" s="38" t="s">
        <v>594</v>
      </c>
      <c r="S28" s="45">
        <f>IF(ISNUMBER(Q28),Q28,
  SWITCH(
      Q28,
      "1",1,
      "2T",Z28*2,
      "4T",Z28*4,
      "6T",Z28*6,
      "8T",Z28*8,
      "10T",Z28*10,
      "12T",Z28*12,
      "14T",Z28*14,
      "16T",Z28*16,
      "2(T+1)",2*(Z28+1),
      "1T*C",Z28*J30,
      1
  )
)</f>
        <v>1</v>
      </c>
      <c r="T28" s="38" t="s">
        <v>277</v>
      </c>
      <c r="U28" s="38">
        <f>IF(OR(T28="No",T28=""),S28,T28)</f>
        <v>1</v>
      </c>
      <c r="V28" s="38">
        <f>IF(ISNUMBER(Q28),Q28,
  SWITCH(
      Q28,
      "1",1,
      "2T",AT28*2,
      "4T",AT28*4,
      "6T",AT28*6,
      "8T",AT28*8,
      "10T",AT28*10,
      "12T",AT28*12,
      "14T",AT28*14,
      "16T",AT28*16,
      "2(T+1)",2*(AT28+1),
      "1T*C",AT28*J30,
      1
  )
)</f>
        <v>1</v>
      </c>
      <c r="W28" s="38" t="str">
        <f>T28</f>
        <v>No</v>
      </c>
      <c r="X28" s="38">
        <f>IF(OR(W28="No",W28=""),V28,W28)</f>
        <v>1</v>
      </c>
      <c r="Y28" s="38" t="s">
        <v>390</v>
      </c>
      <c r="Z28" s="38">
        <f>VLOOKUP(Y28,'Item Helper Sheet'!$A$2:$B$16,2,FALSE)</f>
        <v>1</v>
      </c>
      <c r="AA28" s="38">
        <v>30.0</v>
      </c>
      <c r="AB28" s="38">
        <f>24*20</f>
        <v>480</v>
      </c>
      <c r="AC28" s="38">
        <f>AB28*I30</f>
        <v>32160</v>
      </c>
      <c r="AD28" s="38">
        <f>AA28*AC28</f>
        <v>964800</v>
      </c>
      <c r="AE28" s="75"/>
      <c r="AF28" s="38" t="str">
        <f>Y28</f>
        <v>01 - LV</v>
      </c>
      <c r="AG28" s="38">
        <v>1.0</v>
      </c>
      <c r="AH28" s="38">
        <v>1.0</v>
      </c>
      <c r="AI28" s="38">
        <f>AH28*8*4^Z28</f>
        <v>32</v>
      </c>
      <c r="AJ28" s="38">
        <f>MIN(ROUNDDOWN(AI28/AL28,0),U28)</f>
        <v>1</v>
      </c>
      <c r="AK28" s="38">
        <f>IF(OR(T28="No",T28=""),AG28*S28,AG28*T28)</f>
        <v>1</v>
      </c>
      <c r="AL28" s="38">
        <f>ROUNDUP(AA28*VLOOKUP(H28,'Machine List'!$A$2:$D$219,4,FALSE),0)</f>
        <v>30</v>
      </c>
      <c r="AM28" s="38">
        <f>AL28*AK28</f>
        <v>30</v>
      </c>
      <c r="AN28" s="38">
        <f>ROUNDUP(AB28*I30,0)</f>
        <v>32160</v>
      </c>
      <c r="AO28" s="38">
        <f>ROUNDUP(AN28/VLOOKUP(H28,'Machine List'!$A$2:$D$219,3,FALSE),0)</f>
        <v>32160</v>
      </c>
      <c r="AP28" s="38">
        <f>ROUNDUP(AO28/AK28,0)</f>
        <v>32160</v>
      </c>
      <c r="AQ28" s="38">
        <f>AM28*AP28</f>
        <v>964800</v>
      </c>
      <c r="AR28" s="75"/>
      <c r="AS28" s="38" t="s">
        <v>401</v>
      </c>
      <c r="AT28" s="38">
        <f>VLOOKUP(AS28,'Item Helper Sheet'!$A$2:$B$16,2,FALSE)</f>
        <v>4</v>
      </c>
      <c r="AU28" s="38">
        <f>AG28</f>
        <v>1</v>
      </c>
      <c r="AV28" s="38">
        <v>1.0</v>
      </c>
      <c r="AW28" s="38">
        <f>AV28*8*4^AT28</f>
        <v>2048</v>
      </c>
      <c r="AX28" s="38">
        <f>MIN(ROUNDDOWN(AW28/AL28,0),X28)</f>
        <v>1</v>
      </c>
      <c r="AY28" s="38">
        <f>AX28*AU28</f>
        <v>1</v>
      </c>
      <c r="AZ28" s="38">
        <f>AL28</f>
        <v>30</v>
      </c>
      <c r="BA28" s="38">
        <f>MIN(AT28-Z28,IF(AW28&gt;=AZ29*4,
IF(AW28&gt;=AZ29*4^2,
IF(AW28&gt;=AZ29*4^3,
IF(AW28&gt;=AZ29*4^4,
IF(AW28&gt;=AZ29*4^5,
IF(AW28&gt;=AZ29*4^6,
IF(AW28&gt;=AZ29*4^7,
IF(AW28&gt;=AZ29*4^8,
IF(AW28&gt;=AZ29*4^9,
IF(AW28&gt;=AZ29*4^10,
9),
8),
7),
6),
5),
4),
3),
2),
1),
0))</f>
        <v>3</v>
      </c>
      <c r="BB28" s="38">
        <f>AZ28*AX28*4^BA28</f>
        <v>1920</v>
      </c>
      <c r="BC28" s="38">
        <f>BB28*AU28</f>
        <v>1920</v>
      </c>
      <c r="BD28" s="45">
        <f>ROUNDUP(IF(R28="Yes",AN28/(2^((BA28)*2)),AN28/(2^(BA28))),0)</f>
        <v>503</v>
      </c>
      <c r="BE28" s="45">
        <f>ROUNDUP(BD28/VLOOKUP(H28,'Machine List'!$A$2:$D$219,3,FALSE),0)</f>
        <v>503</v>
      </c>
      <c r="BF28" s="45">
        <f>ROUNDUP(BE28/AY28,0)</f>
        <v>503</v>
      </c>
      <c r="BG28" s="46">
        <f>BF28*BC28</f>
        <v>965760</v>
      </c>
      <c r="BI28" s="28"/>
      <c r="BK28" s="6" t="s">
        <v>615</v>
      </c>
      <c r="BL28" s="6">
        <v>964800.0</v>
      </c>
      <c r="BM28" s="6">
        <v>965760.0</v>
      </c>
      <c r="BN28" s="6" t="s">
        <v>615</v>
      </c>
      <c r="BO28" s="6">
        <v>32160.0</v>
      </c>
      <c r="BP28" s="6">
        <v>503.0</v>
      </c>
      <c r="BQ28" s="6" t="s">
        <v>615</v>
      </c>
      <c r="BR28" s="6">
        <v>1.0</v>
      </c>
      <c r="BS28" s="6">
        <v>4.0</v>
      </c>
      <c r="BT28" s="6">
        <v>3.0</v>
      </c>
      <c r="BY28" s="6" t="s">
        <v>615</v>
      </c>
      <c r="BZ28" s="6">
        <v>4006.0</v>
      </c>
      <c r="CA28" s="6">
        <v>10.0</v>
      </c>
    </row>
    <row r="29">
      <c r="B29" s="40"/>
      <c r="C29" s="41" t="s">
        <v>88</v>
      </c>
      <c r="D29" s="38">
        <f>1000*I30</f>
        <v>67000</v>
      </c>
      <c r="E29" s="38" t="s">
        <v>227</v>
      </c>
      <c r="F29" s="42">
        <f>1000*I30</f>
        <v>67000</v>
      </c>
      <c r="G29" s="43"/>
      <c r="H29" s="99" t="s">
        <v>584</v>
      </c>
      <c r="I29" s="45">
        <f t="array" ref="I29">match(TRUE,ISBLANK(F29:F41),0)-1</f>
        <v>1</v>
      </c>
      <c r="J29" s="100" t="s">
        <v>420</v>
      </c>
      <c r="K29" s="100" t="s">
        <v>585</v>
      </c>
      <c r="L29" s="38"/>
      <c r="M29" s="38"/>
      <c r="N29" s="38"/>
      <c r="O29" s="38"/>
      <c r="P29" s="38"/>
      <c r="Q29" s="38"/>
      <c r="R29" s="101"/>
      <c r="S29" s="101"/>
      <c r="T29" s="101"/>
      <c r="U29" s="45"/>
      <c r="V29" s="45"/>
      <c r="W29" s="45"/>
      <c r="X29" s="45"/>
      <c r="Y29" s="45"/>
      <c r="Z29" s="45"/>
      <c r="AA29" s="45"/>
      <c r="AB29" s="45"/>
      <c r="AC29" s="45"/>
      <c r="AD29" s="45"/>
      <c r="AE29" s="79"/>
      <c r="AF29" s="45"/>
      <c r="AG29" s="45"/>
      <c r="AH29" s="45"/>
      <c r="AI29" s="45"/>
      <c r="AJ29" s="45"/>
      <c r="AK29" s="45"/>
      <c r="AL29" s="45"/>
      <c r="AM29" s="45"/>
      <c r="AN29" s="45"/>
      <c r="AO29" s="45"/>
      <c r="AP29" s="45"/>
      <c r="AQ29" s="45"/>
      <c r="AR29" s="79"/>
      <c r="AS29" s="45"/>
      <c r="AT29" s="45"/>
      <c r="AU29" s="45"/>
      <c r="AV29" s="45"/>
      <c r="AW29" s="45"/>
      <c r="AX29" s="45"/>
      <c r="AY29" s="45"/>
      <c r="AZ29" s="45">
        <f>AZ28*AX28</f>
        <v>30</v>
      </c>
      <c r="BA29" s="45"/>
      <c r="BB29" s="45"/>
      <c r="BC29" s="45"/>
      <c r="BD29" s="45"/>
      <c r="BE29" s="45"/>
      <c r="BF29" s="45"/>
      <c r="BG29" s="46"/>
      <c r="BI29" s="28"/>
      <c r="BK29" s="6" t="s">
        <v>616</v>
      </c>
      <c r="BL29" s="6">
        <v>720000.0</v>
      </c>
      <c r="BM29" s="6">
        <v>720000.0</v>
      </c>
      <c r="BN29" s="6" t="s">
        <v>616</v>
      </c>
      <c r="BO29" s="6">
        <v>1500.0</v>
      </c>
      <c r="BP29" s="6">
        <v>375.0</v>
      </c>
      <c r="BQ29" s="6" t="s">
        <v>616</v>
      </c>
      <c r="BR29" s="6">
        <v>3.0</v>
      </c>
      <c r="BS29" s="6">
        <v>4.0</v>
      </c>
      <c r="BT29" s="6">
        <v>1.0</v>
      </c>
      <c r="BY29" s="6" t="s">
        <v>616</v>
      </c>
      <c r="BZ29" s="102">
        <v>4600.0</v>
      </c>
      <c r="CA29" s="6">
        <v>1000.0</v>
      </c>
    </row>
    <row r="30">
      <c r="B30" s="40"/>
      <c r="C30" s="41" t="s">
        <v>142</v>
      </c>
      <c r="D30" s="38">
        <f>4000*I30</f>
        <v>268000</v>
      </c>
      <c r="E30" s="38"/>
      <c r="F30" s="42"/>
      <c r="G30" s="43"/>
      <c r="H30" s="56" t="s">
        <v>502</v>
      </c>
      <c r="I30" s="57">
        <v>67.0</v>
      </c>
      <c r="J30" s="100" t="s">
        <v>424</v>
      </c>
      <c r="K30" s="100">
        <v>0.0</v>
      </c>
      <c r="L30" s="45"/>
      <c r="M30" s="45"/>
      <c r="N30" s="45"/>
      <c r="O30" s="45"/>
      <c r="P30" s="45"/>
      <c r="Q30" s="45"/>
      <c r="R30" s="45"/>
      <c r="S30" s="101"/>
      <c r="T30" s="101"/>
      <c r="U30" s="45"/>
      <c r="V30" s="45"/>
      <c r="W30" s="45"/>
      <c r="X30" s="45"/>
      <c r="Y30" s="45"/>
      <c r="Z30" s="45"/>
      <c r="AA30" s="45"/>
      <c r="AB30" s="45"/>
      <c r="AC30" s="45"/>
      <c r="AD30" s="45"/>
      <c r="AE30" s="79"/>
      <c r="AF30" s="45"/>
      <c r="AG30" s="45"/>
      <c r="AH30" s="45"/>
      <c r="AI30" s="45"/>
      <c r="AJ30" s="45"/>
      <c r="AK30" s="45"/>
      <c r="AL30" s="45"/>
      <c r="AM30" s="45"/>
      <c r="AN30" s="45"/>
      <c r="AO30" s="45"/>
      <c r="AP30" s="45"/>
      <c r="AQ30" s="45"/>
      <c r="AR30" s="79"/>
      <c r="AS30" s="45"/>
      <c r="AT30" s="45"/>
      <c r="AU30" s="45"/>
      <c r="AV30" s="45"/>
      <c r="AW30" s="45"/>
      <c r="AX30" s="45"/>
      <c r="AY30" s="45"/>
      <c r="AZ30" s="45"/>
      <c r="BA30" s="45"/>
      <c r="BB30" s="45"/>
      <c r="BC30" s="45"/>
      <c r="BD30" s="45"/>
      <c r="BE30" s="45"/>
      <c r="BF30" s="45"/>
      <c r="BG30" s="46"/>
      <c r="BI30" s="28"/>
      <c r="BK30" s="6" t="s">
        <v>487</v>
      </c>
      <c r="BL30" s="6">
        <v>1.12224E7</v>
      </c>
      <c r="BM30" s="6">
        <v>3.887904E7</v>
      </c>
    </row>
    <row r="31">
      <c r="B31" s="50"/>
      <c r="C31" s="51"/>
      <c r="D31" s="52"/>
      <c r="E31" s="52"/>
      <c r="F31" s="52"/>
      <c r="G31" s="43"/>
      <c r="H31" s="52"/>
      <c r="I31" s="52"/>
      <c r="J31" s="52"/>
      <c r="K31" s="52"/>
      <c r="L31" s="52"/>
      <c r="M31" s="52"/>
      <c r="N31" s="52"/>
      <c r="O31" s="52"/>
      <c r="P31" s="52"/>
      <c r="Q31" s="52"/>
      <c r="R31" s="52"/>
      <c r="S31" s="52"/>
      <c r="T31" s="52"/>
      <c r="U31" s="52"/>
      <c r="V31" s="52"/>
      <c r="W31" s="52"/>
      <c r="X31" s="52"/>
      <c r="Y31" s="52"/>
      <c r="Z31" s="52"/>
      <c r="AA31" s="52"/>
      <c r="AB31" s="52"/>
      <c r="AC31" s="52"/>
      <c r="AD31" s="52"/>
      <c r="AE31" s="43"/>
      <c r="AF31" s="52"/>
      <c r="AG31" s="52"/>
      <c r="AH31" s="52"/>
      <c r="AI31" s="52"/>
      <c r="AJ31" s="52"/>
      <c r="AK31" s="52"/>
      <c r="AL31" s="52"/>
      <c r="AM31" s="52"/>
      <c r="AN31" s="52"/>
      <c r="AO31" s="52"/>
      <c r="AP31" s="52"/>
      <c r="AQ31" s="52"/>
      <c r="AR31" s="43"/>
      <c r="AS31" s="52"/>
      <c r="AT31" s="52"/>
      <c r="AU31" s="52"/>
      <c r="AV31" s="52"/>
      <c r="AW31" s="52"/>
      <c r="AX31" s="52"/>
      <c r="AY31" s="52"/>
      <c r="AZ31" s="52"/>
      <c r="BA31" s="52"/>
      <c r="BB31" s="52"/>
      <c r="BC31" s="52"/>
      <c r="BD31" s="52"/>
      <c r="BE31" s="52"/>
      <c r="BF31" s="52"/>
      <c r="BG31" s="53"/>
      <c r="BI31" s="28"/>
    </row>
    <row r="32">
      <c r="B32" s="31" t="s">
        <v>616</v>
      </c>
      <c r="C32" s="54"/>
      <c r="D32" s="45"/>
      <c r="E32" s="45"/>
      <c r="F32" s="47"/>
      <c r="G32" s="35"/>
      <c r="H32" s="55" t="s">
        <v>349</v>
      </c>
      <c r="I32" s="38">
        <f>VLOOKUP(H32,'Machine List'!$A$1:$I$300,9,FALSE)</f>
        <v>4000</v>
      </c>
      <c r="J32" s="38">
        <f>IF(VLOOKUP(H32,'Machine List'!$A$1:$I$300,5,FALSE)="Multi",IF(VLOOKUP(H32,'Machine List'!$A$1:$I$300,6,FALSE)="Yes",AG32*3*10^Z32,AG32*(2*3)*10^(Z32-1)),0)</f>
        <v>600</v>
      </c>
      <c r="K32" s="38">
        <f>J32+IF(ISNUMBER(I32),I32,
  SWITCH(
      I32,
      "1T",1*10^Z32,
      "2T",2*10^Z32,
      "3T",3*10^Z32,
      "4T",4*10^Z32,
      "4000+500(7O-5)",4000+500*(7*I33-5),
      "13500 + 16C",13500+16*VLOOKUP(J34,'Machine Helper Sheet'!$G$1:$K$16,5,FALSE),
      1
  )
)</f>
        <v>4600</v>
      </c>
      <c r="L32" s="38">
        <f>IF(VLOOKUP(H32,'Machine List'!$A$1:$I$300,5,FALSE)="Multi",IF(VLOOKUP(H32,'Machine List'!$A$1:$I$300,6,FALSE)="Yes",AU32*3*10^AT32,AU32*(2*3)*10^(AT32-1)),0)</f>
        <v>6000</v>
      </c>
      <c r="M32" s="38">
        <f>L32+IF(ISNUMBER(I32),I32,
  SWITCH(
      I32,
      "1T",1*10^AT32,
      "2T",2*10^AT32,
      "3T",3*10^AT32,
      "4T",4*10^AT32,
      "4000+500(7O-5)",4000+500*(7*I33-5),
      1
  )
)</f>
        <v>10000</v>
      </c>
      <c r="N32" s="38" t="str">
        <f>VLOOKUP(H32,'Machine List'!$A$1:$I$300,8,FALSE)</f>
        <v>Tier</v>
      </c>
      <c r="O32" s="38">
        <f>IF(ISNUMBER(N32),N32,10^Z32)</f>
        <v>1000</v>
      </c>
      <c r="P32" s="38">
        <f>IF(ISNUMBER(N32),N32,10^AT32)</f>
        <v>10000</v>
      </c>
      <c r="Q32" s="38">
        <f>VLOOKUP(H32,'Machine List'!$A$1:$B$138,2,FALSE)</f>
        <v>1</v>
      </c>
      <c r="R32" s="38" t="s">
        <v>594</v>
      </c>
      <c r="S32" s="45">
        <f>IF(ISNUMBER(Q32),Q32,
  SWITCH(
      Q32,
      "1",1,
      "2T",Z32*2,
      "4T",Z32*4,
      "6T",Z32*6,
      "8T",Z32*8,
      "10T",Z32*10,
      "12T",Z32*12,
      "14T",Z32*14,
      "16T",Z32*16,
      "2(T+1)",2*(Z32+1),
      "1T*C",Z32*J34,
      1
  )
)</f>
        <v>1</v>
      </c>
      <c r="T32" s="38" t="s">
        <v>277</v>
      </c>
      <c r="U32" s="38">
        <f>IF(OR(T32="No",T32=""),S32,T32)</f>
        <v>1</v>
      </c>
      <c r="V32" s="38">
        <f>IF(ISNUMBER(Q32),Q32,
  SWITCH(
      Q32,
      "1",1,
      "2T",AT32*2,
      "4T",AT32*4,
      "6T",AT32*6,
      "8T",AT32*8,
      "10T",AT32*10,
      "12T",AT32*12,
      "14T",AT32*14,
      "16T",AT32*16,
      "2(T+1)",2*(AT32+1),
      "1T*C",AT32*J34,
      1
  )
)</f>
        <v>1</v>
      </c>
      <c r="W32" s="38" t="str">
        <f>T32</f>
        <v>No</v>
      </c>
      <c r="X32" s="38">
        <f>IF(OR(W32="No",W32=""),V32,W32)</f>
        <v>1</v>
      </c>
      <c r="Y32" s="38" t="s">
        <v>397</v>
      </c>
      <c r="Z32" s="38">
        <f>VLOOKUP(Y32,'Item Helper Sheet'!$A$2:$B$16,2,FALSE)</f>
        <v>3</v>
      </c>
      <c r="AA32" s="38">
        <v>480.0</v>
      </c>
      <c r="AB32" s="38">
        <f>5*20</f>
        <v>100</v>
      </c>
      <c r="AC32" s="38">
        <f>AB32*I34</f>
        <v>1500</v>
      </c>
      <c r="AD32" s="38">
        <f>AA32*AC32</f>
        <v>720000</v>
      </c>
      <c r="AE32" s="75"/>
      <c r="AF32" s="38" t="str">
        <f>Y32</f>
        <v>03 - HV</v>
      </c>
      <c r="AG32" s="38">
        <v>1.0</v>
      </c>
      <c r="AH32" s="38">
        <v>1.0</v>
      </c>
      <c r="AI32" s="38">
        <f>AH32*8*4^Z32</f>
        <v>512</v>
      </c>
      <c r="AJ32" s="38">
        <f>MIN(ROUNDDOWN(AI32/AL32,0),U32)</f>
        <v>1</v>
      </c>
      <c r="AK32" s="38">
        <f>IF(OR(T32="No",T32=""),AG32*S32,AG32*T32)</f>
        <v>1</v>
      </c>
      <c r="AL32" s="38">
        <f>ROUNDUP(AA32*VLOOKUP(H32,'Machine List'!$A$2:$D$219,4,FALSE),0)</f>
        <v>480</v>
      </c>
      <c r="AM32" s="38">
        <f>AL32*AK32</f>
        <v>480</v>
      </c>
      <c r="AN32" s="38">
        <f>ROUNDUP(AB32*I34,0)</f>
        <v>1500</v>
      </c>
      <c r="AO32" s="38">
        <f>ROUNDUP(AN32/VLOOKUP(H32,'Machine List'!$A$2:$D$219,3,FALSE),0)</f>
        <v>1500</v>
      </c>
      <c r="AP32" s="38">
        <f>ROUNDUP(AO32/AK32,0)</f>
        <v>1500</v>
      </c>
      <c r="AQ32" s="38">
        <f>AM32*AP32</f>
        <v>720000</v>
      </c>
      <c r="AR32" s="75"/>
      <c r="AS32" s="38" t="s">
        <v>401</v>
      </c>
      <c r="AT32" s="38">
        <f>VLOOKUP(AS32,'Item Helper Sheet'!$A$2:$B$16,2,FALSE)</f>
        <v>4</v>
      </c>
      <c r="AU32" s="38">
        <f>AG32</f>
        <v>1</v>
      </c>
      <c r="AV32" s="38">
        <v>1.0</v>
      </c>
      <c r="AW32" s="38">
        <f>AV32*8*4^AT32</f>
        <v>2048</v>
      </c>
      <c r="AX32" s="38">
        <f>MIN(ROUNDDOWN(AW32/AL32,0),X32)</f>
        <v>1</v>
      </c>
      <c r="AY32" s="38">
        <f>AX32*AU32</f>
        <v>1</v>
      </c>
      <c r="AZ32" s="38">
        <f>AL32</f>
        <v>480</v>
      </c>
      <c r="BA32" s="38">
        <f>MIN(AT32-Z32,IF(AW32&gt;=AZ33*4,
IF(AW32&gt;=AZ33*4^2,
IF(AW32&gt;=AZ33*4^3,
IF(AW32&gt;=AZ33*4^4,
IF(AW32&gt;=AZ33*4^5,
IF(AW32&gt;=AZ33*4^6,
IF(AW32&gt;=AZ33*4^7,
IF(AW32&gt;=AZ33*4^8,
IF(AW32&gt;=AZ33*4^9,
IF(AW32&gt;=AZ33*4^10,
9),
8),
7),
6),
5),
4),
3),
2),
1),
0))</f>
        <v>1</v>
      </c>
      <c r="BB32" s="38">
        <f>AZ32*AX32*4^BA32</f>
        <v>1920</v>
      </c>
      <c r="BC32" s="38">
        <f>BB32*AU32</f>
        <v>1920</v>
      </c>
      <c r="BD32" s="45">
        <f>ROUNDUP(IF(R32="Yes",AN32/(2^((BA32)*2)),AN32/(2^(BA32))),0)</f>
        <v>375</v>
      </c>
      <c r="BE32" s="45">
        <f>ROUNDUP(BD32/VLOOKUP(H32,'Machine List'!$A$2:$D$219,3,FALSE),0)</f>
        <v>375</v>
      </c>
      <c r="BF32" s="45">
        <f>ROUNDUP(BE32/AY32,0)</f>
        <v>375</v>
      </c>
      <c r="BG32" s="46">
        <f>BF32*BC32</f>
        <v>720000</v>
      </c>
      <c r="BI32" s="28"/>
    </row>
    <row r="33">
      <c r="B33" s="40"/>
      <c r="C33" s="41" t="s">
        <v>106</v>
      </c>
      <c r="D33" s="38">
        <f>20000*I34</f>
        <v>300000</v>
      </c>
      <c r="E33" s="38" t="s">
        <v>54</v>
      </c>
      <c r="F33" s="42">
        <f>24000*I34</f>
        <v>360000</v>
      </c>
      <c r="G33" s="43"/>
      <c r="H33" s="99" t="s">
        <v>584</v>
      </c>
      <c r="I33" s="45">
        <f t="array" ref="I33">match(TRUE,ISBLANK(F33:F45),0)-1</f>
        <v>1</v>
      </c>
      <c r="J33" s="100" t="s">
        <v>420</v>
      </c>
      <c r="K33" s="100" t="s">
        <v>585</v>
      </c>
      <c r="L33" s="38"/>
      <c r="M33" s="38"/>
      <c r="N33" s="38"/>
      <c r="O33" s="38"/>
      <c r="P33" s="38"/>
      <c r="Q33" s="38"/>
      <c r="R33" s="101"/>
      <c r="S33" s="101"/>
      <c r="T33" s="101"/>
      <c r="U33" s="45"/>
      <c r="V33" s="45"/>
      <c r="W33" s="45"/>
      <c r="X33" s="45"/>
      <c r="Y33" s="45"/>
      <c r="Z33" s="45"/>
      <c r="AA33" s="45"/>
      <c r="AB33" s="45"/>
      <c r="AC33" s="45"/>
      <c r="AD33" s="45"/>
      <c r="AE33" s="79"/>
      <c r="AF33" s="45"/>
      <c r="AG33" s="45"/>
      <c r="AH33" s="45"/>
      <c r="AI33" s="45"/>
      <c r="AJ33" s="45"/>
      <c r="AK33" s="45"/>
      <c r="AL33" s="45"/>
      <c r="AM33" s="45"/>
      <c r="AN33" s="45"/>
      <c r="AO33" s="45"/>
      <c r="AP33" s="45"/>
      <c r="AQ33" s="45"/>
      <c r="AR33" s="79"/>
      <c r="AS33" s="45"/>
      <c r="AT33" s="45"/>
      <c r="AU33" s="45"/>
      <c r="AV33" s="45"/>
      <c r="AW33" s="45"/>
      <c r="AX33" s="45"/>
      <c r="AY33" s="45"/>
      <c r="AZ33" s="45">
        <f>AZ32*AX32</f>
        <v>480</v>
      </c>
      <c r="BA33" s="45"/>
      <c r="BB33" s="45"/>
      <c r="BC33" s="45"/>
      <c r="BD33" s="45"/>
      <c r="BE33" s="45"/>
      <c r="BF33" s="45"/>
      <c r="BG33" s="46"/>
      <c r="BI33" s="28"/>
      <c r="BK33" s="6" t="s">
        <v>618</v>
      </c>
      <c r="BL33" s="6" t="s">
        <v>462</v>
      </c>
      <c r="BM33" s="6"/>
      <c r="BO33" s="6" t="s">
        <v>619</v>
      </c>
      <c r="BP33" s="6" t="s">
        <v>495</v>
      </c>
      <c r="BQ33" s="6"/>
      <c r="BR33" s="6"/>
      <c r="BT33" s="6" t="s">
        <v>560</v>
      </c>
      <c r="BU33" s="6" t="s">
        <v>495</v>
      </c>
      <c r="BV33" s="6"/>
      <c r="BW33" s="6"/>
      <c r="BY33" s="6" t="s">
        <v>457</v>
      </c>
      <c r="BZ33" s="6" t="s">
        <v>620</v>
      </c>
      <c r="CA33" s="6" t="s">
        <v>546</v>
      </c>
    </row>
    <row r="34">
      <c r="B34" s="40"/>
      <c r="C34" s="41" t="s">
        <v>81</v>
      </c>
      <c r="D34" s="38">
        <f>4000*I34</f>
        <v>60000</v>
      </c>
      <c r="E34" s="38"/>
      <c r="F34" s="42"/>
      <c r="G34" s="43"/>
      <c r="H34" s="56" t="s">
        <v>502</v>
      </c>
      <c r="I34" s="57">
        <v>15.0</v>
      </c>
      <c r="J34" s="100" t="s">
        <v>424</v>
      </c>
      <c r="K34" s="100">
        <v>0.0</v>
      </c>
      <c r="L34" s="45"/>
      <c r="M34" s="45"/>
      <c r="N34" s="45"/>
      <c r="O34" s="45"/>
      <c r="P34" s="45"/>
      <c r="Q34" s="45"/>
      <c r="R34" s="45"/>
      <c r="S34" s="101"/>
      <c r="T34" s="101"/>
      <c r="U34" s="45"/>
      <c r="V34" s="45"/>
      <c r="W34" s="45"/>
      <c r="X34" s="45"/>
      <c r="Y34" s="45"/>
      <c r="Z34" s="45"/>
      <c r="AA34" s="45"/>
      <c r="AB34" s="45"/>
      <c r="AC34" s="45"/>
      <c r="AD34" s="45"/>
      <c r="AE34" s="79"/>
      <c r="AF34" s="45"/>
      <c r="AG34" s="45"/>
      <c r="AH34" s="45"/>
      <c r="AI34" s="45"/>
      <c r="AJ34" s="45"/>
      <c r="AK34" s="45"/>
      <c r="AL34" s="45"/>
      <c r="AM34" s="45"/>
      <c r="AN34" s="45"/>
      <c r="AO34" s="45"/>
      <c r="AP34" s="45"/>
      <c r="AQ34" s="45"/>
      <c r="AR34" s="79"/>
      <c r="AS34" s="45"/>
      <c r="AT34" s="45"/>
      <c r="AU34" s="45"/>
      <c r="AV34" s="45"/>
      <c r="AW34" s="45"/>
      <c r="AX34" s="45"/>
      <c r="AY34" s="45"/>
      <c r="AZ34" s="45"/>
      <c r="BA34" s="45"/>
      <c r="BB34" s="45"/>
      <c r="BC34" s="45"/>
      <c r="BD34" s="45"/>
      <c r="BE34" s="45"/>
      <c r="BF34" s="45"/>
      <c r="BG34" s="46"/>
      <c r="BI34" s="28"/>
      <c r="BK34" s="6" t="s">
        <v>457</v>
      </c>
      <c r="BL34" s="6" t="s">
        <v>298</v>
      </c>
      <c r="BM34" s="6" t="s">
        <v>349</v>
      </c>
      <c r="BO34" s="6" t="s">
        <v>462</v>
      </c>
      <c r="BP34" s="6" t="s">
        <v>390</v>
      </c>
      <c r="BQ34" s="6" t="s">
        <v>397</v>
      </c>
      <c r="BR34" s="6" t="s">
        <v>487</v>
      </c>
      <c r="BT34" s="6" t="s">
        <v>462</v>
      </c>
      <c r="BU34" s="6" t="s">
        <v>390</v>
      </c>
      <c r="BV34" s="6" t="s">
        <v>397</v>
      </c>
      <c r="BW34" s="6" t="s">
        <v>487</v>
      </c>
      <c r="BY34" s="6" t="s">
        <v>579</v>
      </c>
      <c r="BZ34" s="6">
        <v>1036000.0</v>
      </c>
      <c r="CA34" s="6">
        <v>100000.0</v>
      </c>
    </row>
    <row r="35">
      <c r="B35" s="50"/>
      <c r="C35" s="51"/>
      <c r="D35" s="52"/>
      <c r="E35" s="52"/>
      <c r="F35" s="52"/>
      <c r="G35" s="43"/>
      <c r="H35" s="52"/>
      <c r="I35" s="52"/>
      <c r="J35" s="52"/>
      <c r="K35" s="52"/>
      <c r="L35" s="52"/>
      <c r="M35" s="52"/>
      <c r="N35" s="52"/>
      <c r="O35" s="52"/>
      <c r="P35" s="52"/>
      <c r="Q35" s="52"/>
      <c r="R35" s="52"/>
      <c r="S35" s="52"/>
      <c r="T35" s="52"/>
      <c r="U35" s="52"/>
      <c r="V35" s="52"/>
      <c r="W35" s="52"/>
      <c r="X35" s="52"/>
      <c r="Y35" s="52"/>
      <c r="Z35" s="52"/>
      <c r="AA35" s="52"/>
      <c r="AB35" s="52"/>
      <c r="AC35" s="52"/>
      <c r="AD35" s="52"/>
      <c r="AE35" s="43"/>
      <c r="AF35" s="52"/>
      <c r="AG35" s="52"/>
      <c r="AH35" s="52"/>
      <c r="AI35" s="52"/>
      <c r="AJ35" s="52"/>
      <c r="AK35" s="52"/>
      <c r="AL35" s="52"/>
      <c r="AM35" s="52"/>
      <c r="AN35" s="52"/>
      <c r="AO35" s="52"/>
      <c r="AP35" s="52"/>
      <c r="AQ35" s="52"/>
      <c r="AR35" s="43"/>
      <c r="AS35" s="52"/>
      <c r="AT35" s="52"/>
      <c r="AU35" s="52"/>
      <c r="AV35" s="52"/>
      <c r="AW35" s="52"/>
      <c r="AX35" s="52"/>
      <c r="AY35" s="52"/>
      <c r="AZ35" s="52"/>
      <c r="BA35" s="52"/>
      <c r="BB35" s="52"/>
      <c r="BC35" s="52"/>
      <c r="BD35" s="52"/>
      <c r="BE35" s="52"/>
      <c r="BF35" s="52"/>
      <c r="BG35" s="53"/>
      <c r="BI35" s="28"/>
      <c r="BK35" s="6" t="s">
        <v>579</v>
      </c>
      <c r="BL35" s="6">
        <v>1.0</v>
      </c>
      <c r="BM35" s="6"/>
      <c r="BO35" s="6" t="s">
        <v>298</v>
      </c>
      <c r="BP35" s="6"/>
      <c r="BQ35" s="6">
        <v>1.0</v>
      </c>
      <c r="BR35" s="6">
        <v>1.0</v>
      </c>
      <c r="BT35" s="6" t="s">
        <v>298</v>
      </c>
      <c r="BU35" s="6"/>
      <c r="BV35" s="6">
        <v>1.0</v>
      </c>
      <c r="BW35" s="6">
        <v>1.0</v>
      </c>
      <c r="BY35" s="6" t="s">
        <v>593</v>
      </c>
      <c r="BZ35" s="6">
        <v>64000.0</v>
      </c>
      <c r="CA35" s="6">
        <v>100000.0</v>
      </c>
    </row>
    <row r="36">
      <c r="BI36" s="28"/>
      <c r="BK36" s="6" t="s">
        <v>593</v>
      </c>
      <c r="BL36" s="6"/>
      <c r="BM36" s="6">
        <v>1.0</v>
      </c>
      <c r="BO36" s="6" t="s">
        <v>349</v>
      </c>
      <c r="BP36" s="6">
        <v>5.0</v>
      </c>
      <c r="BQ36" s="6">
        <v>1.0</v>
      </c>
      <c r="BR36" s="6">
        <v>6.0</v>
      </c>
      <c r="BT36" s="6" t="s">
        <v>349</v>
      </c>
      <c r="BU36" s="6">
        <v>5.0</v>
      </c>
      <c r="BV36" s="6">
        <v>1.0</v>
      </c>
      <c r="BW36" s="6">
        <v>6.0</v>
      </c>
      <c r="BY36" s="6" t="s">
        <v>599</v>
      </c>
      <c r="BZ36" s="6">
        <v>64000.0</v>
      </c>
      <c r="CA36" s="6">
        <v>100000.0</v>
      </c>
    </row>
    <row r="37">
      <c r="C37" s="4" t="s">
        <v>54</v>
      </c>
      <c r="E37" s="4" t="s">
        <v>87</v>
      </c>
      <c r="BI37" s="28"/>
      <c r="BK37" s="6" t="s">
        <v>599</v>
      </c>
      <c r="BL37" s="6"/>
      <c r="BM37" s="6">
        <v>1.0</v>
      </c>
      <c r="BO37" s="6" t="s">
        <v>487</v>
      </c>
      <c r="BP37" s="6">
        <v>5.0</v>
      </c>
      <c r="BQ37" s="6">
        <v>2.0</v>
      </c>
      <c r="BR37" s="6">
        <v>7.0</v>
      </c>
      <c r="BT37" s="6" t="s">
        <v>487</v>
      </c>
      <c r="BU37" s="6">
        <v>5.0</v>
      </c>
      <c r="BV37" s="6">
        <v>2.0</v>
      </c>
      <c r="BW37" s="6">
        <v>7.0</v>
      </c>
      <c r="BY37" s="6" t="s">
        <v>601</v>
      </c>
      <c r="BZ37" s="6">
        <v>4600.0</v>
      </c>
      <c r="CA37" s="6">
        <v>1000.0</v>
      </c>
    </row>
    <row r="38">
      <c r="C38" s="4" t="s">
        <v>227</v>
      </c>
      <c r="E38" s="4" t="s">
        <v>142</v>
      </c>
      <c r="BI38" s="28"/>
      <c r="BK38" s="6" t="s">
        <v>601</v>
      </c>
      <c r="BL38" s="6"/>
      <c r="BM38" s="6">
        <v>1.0</v>
      </c>
      <c r="BY38" s="6" t="s">
        <v>611</v>
      </c>
      <c r="BZ38" s="6">
        <v>4600.0</v>
      </c>
      <c r="CA38" s="6">
        <v>1000.0</v>
      </c>
    </row>
    <row r="39">
      <c r="C39" s="4" t="s">
        <v>124</v>
      </c>
      <c r="E39" s="4" t="s">
        <v>138</v>
      </c>
      <c r="BI39" s="28"/>
      <c r="BK39" s="6" t="s">
        <v>611</v>
      </c>
      <c r="BL39" s="6"/>
      <c r="BM39" s="6">
        <v>1.0</v>
      </c>
      <c r="BO39" s="6" t="s">
        <v>567</v>
      </c>
      <c r="BP39" s="6" t="s">
        <v>468</v>
      </c>
      <c r="BQ39" s="6"/>
      <c r="BR39" s="6"/>
      <c r="BS39" s="6"/>
      <c r="BT39" s="6" t="s">
        <v>571</v>
      </c>
      <c r="BU39" s="6" t="s">
        <v>495</v>
      </c>
      <c r="BV39" s="6"/>
      <c r="BW39" s="6"/>
      <c r="BY39" s="6" t="s">
        <v>615</v>
      </c>
      <c r="BZ39" s="6">
        <v>10000.0</v>
      </c>
      <c r="CA39" s="6">
        <v>10000.0</v>
      </c>
    </row>
    <row r="40">
      <c r="C40" s="4" t="s">
        <v>125</v>
      </c>
      <c r="BI40" s="28"/>
      <c r="BK40" s="6" t="s">
        <v>615</v>
      </c>
      <c r="BL40" s="6"/>
      <c r="BM40" s="6">
        <v>1.0</v>
      </c>
      <c r="BO40" s="6" t="s">
        <v>462</v>
      </c>
      <c r="BP40" s="6" t="s">
        <v>397</v>
      </c>
      <c r="BQ40" s="6" t="s">
        <v>401</v>
      </c>
      <c r="BR40" s="6" t="s">
        <v>405</v>
      </c>
      <c r="BS40" s="6" t="s">
        <v>487</v>
      </c>
      <c r="BT40" s="6" t="s">
        <v>462</v>
      </c>
      <c r="BU40" s="6" t="s">
        <v>390</v>
      </c>
      <c r="BV40" s="6" t="s">
        <v>397</v>
      </c>
      <c r="BW40" s="6" t="s">
        <v>487</v>
      </c>
      <c r="BY40" s="6" t="s">
        <v>616</v>
      </c>
      <c r="BZ40" s="102">
        <v>10000.0</v>
      </c>
      <c r="CA40" s="6">
        <v>10000.0</v>
      </c>
    </row>
    <row r="41">
      <c r="C41" s="4" t="s">
        <v>183</v>
      </c>
      <c r="BI41" s="28"/>
      <c r="BK41" s="6" t="s">
        <v>616</v>
      </c>
      <c r="BL41" s="6"/>
      <c r="BM41" s="6">
        <v>1.0</v>
      </c>
      <c r="BO41" s="6" t="s">
        <v>298</v>
      </c>
      <c r="BP41" s="6"/>
      <c r="BQ41" s="6"/>
      <c r="BR41" s="6">
        <v>4.0</v>
      </c>
      <c r="BS41" s="6">
        <v>4.0</v>
      </c>
      <c r="BT41" s="6" t="s">
        <v>298</v>
      </c>
      <c r="BU41" s="6"/>
      <c r="BV41" s="6">
        <v>4.0</v>
      </c>
      <c r="BW41" s="6">
        <v>4.0</v>
      </c>
    </row>
    <row r="42">
      <c r="BI42" s="28"/>
      <c r="BK42" s="6" t="s">
        <v>487</v>
      </c>
      <c r="BL42" s="6">
        <v>1.0</v>
      </c>
      <c r="BM42" s="6">
        <v>6.0</v>
      </c>
      <c r="BO42" s="6" t="s">
        <v>349</v>
      </c>
      <c r="BP42" s="6">
        <v>2.0</v>
      </c>
      <c r="BQ42" s="6">
        <v>2.0</v>
      </c>
      <c r="BR42" s="6">
        <v>2.0</v>
      </c>
      <c r="BS42" s="6">
        <v>6.0</v>
      </c>
      <c r="BT42" s="6" t="s">
        <v>349</v>
      </c>
      <c r="BU42" s="6">
        <v>5.0</v>
      </c>
      <c r="BV42" s="6">
        <v>1.0</v>
      </c>
      <c r="BW42" s="6">
        <v>6.0</v>
      </c>
    </row>
    <row r="43">
      <c r="BI43" s="28"/>
      <c r="BO43" s="6" t="s">
        <v>487</v>
      </c>
      <c r="BP43" s="6">
        <v>2.0</v>
      </c>
      <c r="BQ43" s="6">
        <v>2.0</v>
      </c>
      <c r="BR43" s="6">
        <v>6.0</v>
      </c>
      <c r="BS43" s="6">
        <v>10.0</v>
      </c>
      <c r="BT43" s="6" t="s">
        <v>487</v>
      </c>
      <c r="BU43" s="6">
        <v>5.0</v>
      </c>
      <c r="BV43" s="6">
        <v>5.0</v>
      </c>
      <c r="BW43" s="6">
        <v>10.0</v>
      </c>
    </row>
    <row r="44">
      <c r="BI44" s="28"/>
      <c r="BK44" s="6" t="s">
        <v>622</v>
      </c>
      <c r="BL44" s="6" t="s">
        <v>462</v>
      </c>
      <c r="BM44" s="6"/>
    </row>
    <row r="45">
      <c r="BI45" s="28"/>
      <c r="BK45" s="6" t="s">
        <v>457</v>
      </c>
      <c r="BL45" s="6" t="s">
        <v>298</v>
      </c>
      <c r="BM45" s="6" t="s">
        <v>349</v>
      </c>
    </row>
    <row r="46">
      <c r="BI46" s="28"/>
      <c r="BK46" s="6" t="s">
        <v>579</v>
      </c>
      <c r="BL46" s="6">
        <v>4.0</v>
      </c>
      <c r="BM46" s="6"/>
    </row>
    <row r="47">
      <c r="BI47" s="28"/>
      <c r="BK47" s="6" t="s">
        <v>593</v>
      </c>
      <c r="BL47" s="6"/>
      <c r="BM47" s="6">
        <v>1.0</v>
      </c>
    </row>
    <row r="48">
      <c r="BI48" s="28"/>
      <c r="BK48" s="6" t="s">
        <v>599</v>
      </c>
      <c r="BL48" s="6"/>
      <c r="BM48" s="6">
        <v>1.0</v>
      </c>
    </row>
    <row r="49">
      <c r="BI49" s="28"/>
      <c r="BK49" s="6" t="s">
        <v>601</v>
      </c>
      <c r="BL49" s="6"/>
      <c r="BM49" s="6">
        <v>1.0</v>
      </c>
    </row>
    <row r="50">
      <c r="BI50" s="28"/>
      <c r="BK50" s="6" t="s">
        <v>611</v>
      </c>
      <c r="BL50" s="6"/>
      <c r="BM50" s="6">
        <v>1.0</v>
      </c>
    </row>
    <row r="51">
      <c r="BI51" s="28"/>
      <c r="BK51" s="6" t="s">
        <v>615</v>
      </c>
      <c r="BL51" s="6"/>
      <c r="BM51" s="6">
        <v>1.0</v>
      </c>
    </row>
    <row r="52">
      <c r="BI52" s="28"/>
      <c r="BK52" s="6" t="s">
        <v>616</v>
      </c>
      <c r="BL52" s="6"/>
      <c r="BM52" s="6">
        <v>1.0</v>
      </c>
    </row>
    <row r="53">
      <c r="BI53" s="28"/>
      <c r="BK53" s="6" t="s">
        <v>487</v>
      </c>
      <c r="BL53" s="6">
        <v>4.0</v>
      </c>
      <c r="BM53" s="6">
        <v>6.0</v>
      </c>
    </row>
    <row r="54">
      <c r="BI54" s="28"/>
    </row>
    <row r="55">
      <c r="BI55" s="28"/>
    </row>
    <row r="56">
      <c r="BI56" s="28"/>
    </row>
    <row r="57">
      <c r="A57" s="8"/>
      <c r="B57" s="9" t="s">
        <v>537</v>
      </c>
      <c r="C57" s="10"/>
      <c r="D57" s="10"/>
      <c r="E57" s="10"/>
      <c r="F57" s="10"/>
      <c r="G57" s="10"/>
      <c r="H57" s="10"/>
      <c r="I57" s="10"/>
      <c r="J57" s="10"/>
      <c r="K57" s="10"/>
      <c r="L57" s="10"/>
      <c r="M57" s="10"/>
      <c r="N57" s="10"/>
      <c r="O57" s="10"/>
      <c r="P57" s="10"/>
      <c r="Q57" s="10"/>
      <c r="R57" s="10"/>
      <c r="S57" s="10"/>
      <c r="T57" s="10"/>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
      <c r="BI57" s="12" t="s">
        <v>490</v>
      </c>
      <c r="BJ57" s="8"/>
      <c r="BK57" s="9" t="s">
        <v>537</v>
      </c>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3"/>
    </row>
    <row r="58">
      <c r="A58" s="14"/>
      <c r="B58" s="15" t="s">
        <v>539</v>
      </c>
      <c r="C58" s="16"/>
      <c r="D58" s="16"/>
      <c r="E58" s="16"/>
      <c r="F58" s="16"/>
      <c r="G58" s="16"/>
      <c r="H58" s="16"/>
      <c r="I58" s="16"/>
      <c r="J58" s="16"/>
      <c r="K58" s="16"/>
      <c r="L58" s="16"/>
      <c r="M58" s="16"/>
      <c r="N58" s="16"/>
      <c r="O58" s="16"/>
      <c r="P58" s="16"/>
      <c r="Q58" s="16"/>
      <c r="R58" s="16"/>
      <c r="S58" s="16"/>
      <c r="T58" s="16"/>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7"/>
      <c r="BI58" s="12" t="s">
        <v>492</v>
      </c>
      <c r="BJ58" s="14"/>
      <c r="BK58" s="15" t="s">
        <v>539</v>
      </c>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8"/>
    </row>
    <row r="59">
      <c r="A59" s="19"/>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1"/>
      <c r="BI59" s="22"/>
      <c r="BJ59" s="19"/>
      <c r="BK59" s="20"/>
      <c r="BL59" s="20"/>
      <c r="BM59" s="20"/>
      <c r="BN59" s="20"/>
      <c r="BO59" s="20"/>
      <c r="BP59" s="20"/>
      <c r="BQ59" s="20"/>
      <c r="BR59" s="20"/>
      <c r="BS59" s="20"/>
      <c r="BT59" s="20"/>
      <c r="BU59" s="20"/>
      <c r="BV59" s="20"/>
      <c r="BW59" s="20"/>
      <c r="BX59" s="20"/>
      <c r="BY59" s="20"/>
      <c r="BZ59" s="20"/>
      <c r="CA59" s="20"/>
      <c r="CB59" s="20"/>
      <c r="CC59" s="20"/>
      <c r="CD59" s="20"/>
      <c r="CE59" s="20"/>
      <c r="CF59" s="20"/>
      <c r="CG59" s="4"/>
      <c r="CH59" s="4"/>
      <c r="CI59" s="4"/>
      <c r="CJ59" s="4"/>
      <c r="CK59" s="4"/>
    </row>
    <row r="60">
      <c r="A60" s="23"/>
      <c r="B60" s="89" t="s">
        <v>457</v>
      </c>
      <c r="C60" s="90" t="s">
        <v>458</v>
      </c>
      <c r="D60" s="91" t="s">
        <v>459</v>
      </c>
      <c r="E60" s="92" t="s">
        <v>460</v>
      </c>
      <c r="F60" s="93" t="s">
        <v>461</v>
      </c>
      <c r="G60" s="90"/>
      <c r="H60" s="94" t="s">
        <v>462</v>
      </c>
      <c r="I60" s="90" t="s">
        <v>540</v>
      </c>
      <c r="J60" s="90" t="s">
        <v>541</v>
      </c>
      <c r="K60" s="90" t="s">
        <v>274</v>
      </c>
      <c r="L60" s="90" t="s">
        <v>542</v>
      </c>
      <c r="M60" s="90" t="s">
        <v>543</v>
      </c>
      <c r="N60" s="90" t="s">
        <v>544</v>
      </c>
      <c r="O60" s="90" t="s">
        <v>545</v>
      </c>
      <c r="P60" s="90" t="s">
        <v>546</v>
      </c>
      <c r="Q60" s="90" t="s">
        <v>547</v>
      </c>
      <c r="R60" s="91" t="s">
        <v>493</v>
      </c>
      <c r="S60" s="92" t="s">
        <v>494</v>
      </c>
      <c r="T60" s="90" t="s">
        <v>548</v>
      </c>
      <c r="U60" s="90" t="s">
        <v>549</v>
      </c>
      <c r="V60" s="90" t="s">
        <v>550</v>
      </c>
      <c r="W60" s="90" t="s">
        <v>551</v>
      </c>
      <c r="X60" s="90" t="s">
        <v>552</v>
      </c>
      <c r="Y60" s="92" t="s">
        <v>495</v>
      </c>
      <c r="Z60" s="90" t="s">
        <v>421</v>
      </c>
      <c r="AA60" s="92" t="s">
        <v>553</v>
      </c>
      <c r="AB60" s="90" t="s">
        <v>554</v>
      </c>
      <c r="AC60" s="92" t="s">
        <v>555</v>
      </c>
      <c r="AD60" s="93" t="s">
        <v>467</v>
      </c>
      <c r="AE60" s="90"/>
      <c r="AF60" s="90" t="s">
        <v>556</v>
      </c>
      <c r="AG60" s="94" t="s">
        <v>475</v>
      </c>
      <c r="AH60" s="90" t="s">
        <v>557</v>
      </c>
      <c r="AI60" s="90" t="s">
        <v>558</v>
      </c>
      <c r="AJ60" s="90" t="s">
        <v>559</v>
      </c>
      <c r="AK60" s="92" t="s">
        <v>560</v>
      </c>
      <c r="AL60" s="90" t="s">
        <v>561</v>
      </c>
      <c r="AM60" s="90" t="s">
        <v>562</v>
      </c>
      <c r="AN60" s="92" t="s">
        <v>563</v>
      </c>
      <c r="AO60" s="90" t="s">
        <v>564</v>
      </c>
      <c r="AP60" s="90" t="s">
        <v>565</v>
      </c>
      <c r="AQ60" s="95" t="s">
        <v>566</v>
      </c>
      <c r="AR60" s="90"/>
      <c r="AS60" s="90" t="s">
        <v>468</v>
      </c>
      <c r="AT60" s="92" t="s">
        <v>496</v>
      </c>
      <c r="AU60" s="94" t="s">
        <v>567</v>
      </c>
      <c r="AV60" s="90" t="s">
        <v>568</v>
      </c>
      <c r="AW60" s="90" t="s">
        <v>569</v>
      </c>
      <c r="AX60" s="90" t="s">
        <v>570</v>
      </c>
      <c r="AY60" s="92" t="s">
        <v>571</v>
      </c>
      <c r="AZ60" s="90" t="s">
        <v>572</v>
      </c>
      <c r="BA60" s="90" t="s">
        <v>573</v>
      </c>
      <c r="BB60" s="90" t="s">
        <v>574</v>
      </c>
      <c r="BC60" s="90" t="s">
        <v>575</v>
      </c>
      <c r="BD60" s="92" t="s">
        <v>576</v>
      </c>
      <c r="BE60" s="92" t="s">
        <v>577</v>
      </c>
      <c r="BF60" s="92" t="s">
        <v>578</v>
      </c>
      <c r="BG60" s="96" t="s">
        <v>471</v>
      </c>
      <c r="BH60" s="27"/>
      <c r="BI60" s="28"/>
      <c r="BJ60" s="29"/>
      <c r="BZ60" s="7"/>
      <c r="CB60" s="7"/>
      <c r="CC60" s="7"/>
      <c r="CE60" s="7"/>
    </row>
    <row r="61">
      <c r="A61" s="23"/>
      <c r="B61" s="31" t="s">
        <v>579</v>
      </c>
      <c r="C61" s="32"/>
      <c r="D61" s="33"/>
      <c r="E61" s="33"/>
      <c r="F61" s="34"/>
      <c r="G61" s="35"/>
      <c r="H61" s="55" t="s">
        <v>298</v>
      </c>
      <c r="I61" s="38" t="str">
        <f>VLOOKUP(H61,'Machine List'!$A$1:$I$300,9,FALSE)</f>
        <v>4000+500(7O-5)</v>
      </c>
      <c r="J61" s="38">
        <f>IF(VLOOKUP(H61,'Machine List'!$A$1:$I$300,5,FALSE)="Multi",IF(VLOOKUP(H61,'Machine List'!$A$1:$I$300,6,FALSE)="Yes",AG61*3*10^Z61,AG61*(2*3)*10^(Z61-1)),0)</f>
        <v>600</v>
      </c>
      <c r="K61" s="38">
        <f>J61+IF(ISNUMBER(I61),I61,
  SWITCH(
      I61,
      "1T",1*10^Z61,
      "2T",2*10^Z61,
      "3T",3*10^Z61,
      "4T",4*10^Z61,
      "4000+500(7O-5)",4000+500*(7*I62-5),
      "13500 + 16C",13500+16*VLOOKUP(J63,'Machine Helper Sheet'!$G$1:$K$16,5,FALSE),
      1
  )
)</f>
        <v>19600</v>
      </c>
      <c r="L61" s="38">
        <f>IF(VLOOKUP(H61,'Machine List'!$A$1:$I$300,5,FALSE)="Multi",IF(VLOOKUP(H61,'Machine List'!$A$1:$I$300,6,FALSE)="Yes",AU61*3*10^AT61,AU61*(2*3)*10^(AT61-1)),0)</f>
        <v>6000</v>
      </c>
      <c r="M61" s="38">
        <f>L61+IF(ISNUMBER(I61),I61,
  SWITCH(
      I61,
      "1T",1*10^AT61,
      "2T",2*10^AT61,
      "3T",3*10^AT61,
      "4T",4*10^AT61,
      "4000+500(7O-5)",4000+500*(7*I62-5),
      1
  )
)</f>
        <v>25000</v>
      </c>
      <c r="N61" s="38" t="str">
        <f>VLOOKUP(H61,'Machine List'!$A$1:$I$300,8,FALSE)</f>
        <v>Tier</v>
      </c>
      <c r="O61" s="38">
        <f>IF(ISNUMBER(N61),N61,10^Z61)</f>
        <v>1000</v>
      </c>
      <c r="P61" s="38">
        <f>IF(ISNUMBER(N61),N61,10^AT61)</f>
        <v>10000</v>
      </c>
      <c r="Q61" s="38">
        <f>VLOOKUP(H61,'Machine List'!$A$1:$B$138,2,FALSE)</f>
        <v>1</v>
      </c>
      <c r="R61" s="38" t="s">
        <v>277</v>
      </c>
      <c r="S61" s="45">
        <f>IF(ISNUMBER(Q61),Q61,
  SWITCH(
      Q61,
      "1",1,
      "2T",Z61*2,
      "4T",Z61*4,
      "6T",Z61*6,
      "8T",Z61*8,
      "10T",Z61*10,
      "12T",Z61*12,
      "14T",Z61*14,
      "16T",Z61*16,
      "2(T+1)",2*(Z61+1),
      "1T*C",Z61*J63,
      1
  )
)</f>
        <v>1</v>
      </c>
      <c r="T61" s="38" t="s">
        <v>277</v>
      </c>
      <c r="U61" s="38">
        <f>IF(OR(T61="No",T61=""),S61,T61)</f>
        <v>1</v>
      </c>
      <c r="V61" s="38">
        <f>IF(ISNUMBER(Q61),Q61,
  SWITCH(
      Q61,
      "1",1,
      "2T",AT61*2,
      "4T",AT61*4,
      "6T",AT61*6,
      "8T",AT61*8,
      "10T",AT61*10,
      "12T",AT61*12,
      "14T",AT61*14,
      "16T",AT61*16,
      "2(T+1)",2*(AT61+1),
      "1T*C",AT61*J63,
      1
  )
)</f>
        <v>1</v>
      </c>
      <c r="W61" s="38" t="str">
        <f>T61</f>
        <v>No</v>
      </c>
      <c r="X61" s="38">
        <f>IF(OR(W61="No",W61=""),V61,W61)</f>
        <v>1</v>
      </c>
      <c r="Y61" s="38" t="s">
        <v>397</v>
      </c>
      <c r="Z61" s="38">
        <f>VLOOKUP(Y61,'Item Helper Sheet'!$A$2:$B$16,2,FALSE)</f>
        <v>3</v>
      </c>
      <c r="AA61" s="38">
        <v>480.0</v>
      </c>
      <c r="AB61" s="38">
        <f>1.6*20</f>
        <v>32</v>
      </c>
      <c r="AC61" s="38">
        <f>AB61*I63</f>
        <v>19200</v>
      </c>
      <c r="AD61" s="38">
        <f>AA61*AC61</f>
        <v>9216000</v>
      </c>
      <c r="AE61" s="75"/>
      <c r="AF61" s="38" t="str">
        <f>Y61</f>
        <v>03 - HV</v>
      </c>
      <c r="AG61" s="38">
        <v>1.0</v>
      </c>
      <c r="AH61" s="38">
        <v>1.0</v>
      </c>
      <c r="AI61" s="38">
        <f>AH61*8*4^Z61</f>
        <v>512</v>
      </c>
      <c r="AJ61" s="38">
        <f>MIN(ROUNDDOWN(AI61/AL61,0),U61)</f>
        <v>1</v>
      </c>
      <c r="AK61" s="38">
        <f>AJ61*AG61</f>
        <v>1</v>
      </c>
      <c r="AL61" s="38">
        <f>ROUNDUP(AA61*VLOOKUP(H61,'Machine List'!$A$2:$D$219,4,FALSE),0)</f>
        <v>480</v>
      </c>
      <c r="AM61" s="38">
        <f>AL61*AK61</f>
        <v>480</v>
      </c>
      <c r="AN61" s="38">
        <f>ROUNDUP(AB61*I63,0)</f>
        <v>19200</v>
      </c>
      <c r="AO61" s="38">
        <f>ROUNDUP(AN61/VLOOKUP(H61,'Machine List'!$A$2:$D$219,3,FALSE),0)</f>
        <v>19200</v>
      </c>
      <c r="AP61" s="38">
        <f>ROUNDUP(AO61/AK61,0)</f>
        <v>19200</v>
      </c>
      <c r="AQ61" s="38">
        <f>AM61*AP61</f>
        <v>9216000</v>
      </c>
      <c r="AR61" s="75"/>
      <c r="AS61" s="38" t="s">
        <v>401</v>
      </c>
      <c r="AT61" s="38">
        <f>VLOOKUP(AS61,'Item Helper Sheet'!$A$2:$B$16,2,FALSE)</f>
        <v>4</v>
      </c>
      <c r="AU61" s="38">
        <v>1.0</v>
      </c>
      <c r="AV61" s="38">
        <v>1.0</v>
      </c>
      <c r="AW61" s="38">
        <f>AV61*8*4^AT61</f>
        <v>2048</v>
      </c>
      <c r="AX61" s="38">
        <f>MIN(ROUNDDOWN(AW61/AL61,0),X61)</f>
        <v>1</v>
      </c>
      <c r="AY61" s="38">
        <f>AX61*AU61</f>
        <v>1</v>
      </c>
      <c r="AZ61" s="38">
        <f>AL61</f>
        <v>480</v>
      </c>
      <c r="BA61" s="38">
        <f>MIN(AT61-Z61,IF(AW61&gt;=AZ62*4,
IF(AW61&gt;=AZ62*4^2,
IF(AW61&gt;=AZ62*4^3,
IF(AW61&gt;=AZ62*4^4,
IF(AW61&gt;=AZ62*4^5,
IF(AW61&gt;=AZ62*4^6,
IF(AW61&gt;=AZ62*4^7,
IF(AW61&gt;=AZ62*4^8,
IF(AW61&gt;=AZ62*4^9,
IF(AW61&gt;=AZ62*4^10,
9),
8),
7),
6),
5),
4),
3),
2),
1),
0))</f>
        <v>1</v>
      </c>
      <c r="BB61" s="38">
        <f>AZ61*AX61*4^BA61</f>
        <v>1920</v>
      </c>
      <c r="BC61" s="38">
        <f>BB61*AU61</f>
        <v>1920</v>
      </c>
      <c r="BD61" s="45">
        <f>ROUNDUP(IF(R61="Yes",AN61/(2^((BA61)*2)),AN61/(2^(BA61))),0)</f>
        <v>9600</v>
      </c>
      <c r="BE61" s="45">
        <f>ROUNDUP(BD61/VLOOKUP(H61,'Machine List'!$A$2:$D$219,3,FALSE),0)</f>
        <v>9600</v>
      </c>
      <c r="BF61" s="45">
        <f>ROUNDUP(BE61/AY61,0)</f>
        <v>9600</v>
      </c>
      <c r="BG61" s="46">
        <f>BF61*BC61</f>
        <v>18432000</v>
      </c>
      <c r="BH61" s="30"/>
      <c r="BI61" s="28"/>
      <c r="BJ61" s="29"/>
      <c r="BQ61" s="6" t="s">
        <v>458</v>
      </c>
      <c r="BR61" s="6" t="s">
        <v>497</v>
      </c>
      <c r="BS61" s="7" t="s">
        <v>281</v>
      </c>
      <c r="BT61" s="7" t="s">
        <v>8</v>
      </c>
      <c r="BU61" s="1" t="s">
        <v>9</v>
      </c>
      <c r="BY61" s="97" t="s">
        <v>513</v>
      </c>
      <c r="BZ61" s="97" t="s">
        <v>514</v>
      </c>
      <c r="CA61" s="97" t="s">
        <v>580</v>
      </c>
      <c r="CB61" s="97" t="s">
        <v>581</v>
      </c>
      <c r="CC61" s="97" t="s">
        <v>582</v>
      </c>
      <c r="CE61" s="98" t="s">
        <v>503</v>
      </c>
      <c r="CF61" s="98" t="s">
        <v>583</v>
      </c>
      <c r="CG61" s="98" t="s">
        <v>498</v>
      </c>
      <c r="CH61" s="98" t="s">
        <v>504</v>
      </c>
      <c r="CI61" s="98" t="s">
        <v>509</v>
      </c>
    </row>
    <row r="62">
      <c r="A62" s="29"/>
      <c r="B62" s="40"/>
      <c r="C62" s="41" t="s">
        <v>138</v>
      </c>
      <c r="D62" s="38">
        <f>500*I63</f>
        <v>300000</v>
      </c>
      <c r="E62" s="38" t="s">
        <v>228</v>
      </c>
      <c r="F62" s="42">
        <f>600*I63</f>
        <v>360000</v>
      </c>
      <c r="G62" s="43"/>
      <c r="H62" s="99" t="s">
        <v>584</v>
      </c>
      <c r="I62" s="45">
        <f t="array" ref="I62">match(TRUE,ISBLANK(F62:F74),0)-1</f>
        <v>5</v>
      </c>
      <c r="J62" s="100" t="s">
        <v>420</v>
      </c>
      <c r="K62" s="100" t="s">
        <v>585</v>
      </c>
      <c r="L62" s="38"/>
      <c r="M62" s="38"/>
      <c r="N62" s="38"/>
      <c r="O62" s="38"/>
      <c r="P62" s="38"/>
      <c r="Q62" s="38"/>
      <c r="R62" s="101"/>
      <c r="S62" s="101"/>
      <c r="T62" s="101"/>
      <c r="U62" s="45"/>
      <c r="V62" s="45"/>
      <c r="W62" s="45"/>
      <c r="X62" s="45"/>
      <c r="Y62" s="45"/>
      <c r="Z62" s="45"/>
      <c r="AA62" s="45"/>
      <c r="AB62" s="45"/>
      <c r="AC62" s="45"/>
      <c r="AD62" s="45"/>
      <c r="AE62" s="79"/>
      <c r="AF62" s="45"/>
      <c r="AG62" s="45"/>
      <c r="AH62" s="45"/>
      <c r="AI62" s="45"/>
      <c r="AJ62" s="45"/>
      <c r="AK62" s="45"/>
      <c r="AL62" s="45"/>
      <c r="AM62" s="45"/>
      <c r="AN62" s="45"/>
      <c r="AO62" s="45"/>
      <c r="AP62" s="45"/>
      <c r="AQ62" s="45"/>
      <c r="AR62" s="79"/>
      <c r="AS62" s="45"/>
      <c r="AT62" s="45"/>
      <c r="AU62" s="45"/>
      <c r="AV62" s="45"/>
      <c r="AW62" s="45"/>
      <c r="AX62" s="45"/>
      <c r="AY62" s="45"/>
      <c r="AZ62" s="45">
        <f>AZ61*AX61</f>
        <v>480</v>
      </c>
      <c r="BA62" s="45"/>
      <c r="BB62" s="45"/>
      <c r="BC62" s="45"/>
      <c r="BD62" s="45"/>
      <c r="BE62" s="45"/>
      <c r="BF62" s="45"/>
      <c r="BG62" s="46"/>
      <c r="BH62" s="30"/>
      <c r="BI62" s="28"/>
      <c r="BJ62" s="29"/>
      <c r="BQ62" s="6" t="s">
        <v>13</v>
      </c>
      <c r="BR62" s="6">
        <v>0.0</v>
      </c>
      <c r="BS62" s="6">
        <f>VLOOKUP(BQ62,'Item List'!$A$2:$D$300,2,FALSE)</f>
        <v>1</v>
      </c>
      <c r="BT62" s="6">
        <f>VLOOKUP(BQ62,'Item List'!$A$2:$D$300,3,FALSE)</f>
        <v>4</v>
      </c>
      <c r="BU62" s="6">
        <f>VLOOKUP(BQ62,'Item List'!$A$2:$D$300,4,FALSE)</f>
        <v>2</v>
      </c>
      <c r="BY62" s="6">
        <f t="shared" ref="BY62:BY64" si="12">VLOOKUP(BW62,$BK$5:$BL$15,2)</f>
        <v>134000</v>
      </c>
      <c r="BZ62" s="6">
        <f t="shared" ref="BZ62:BZ63" si="13">BY62/$CF$21</f>
        <v>0.3722222222</v>
      </c>
      <c r="CA62" s="102">
        <f t="shared" ref="CA62:CA63" si="14">$CG$6*BZ62</f>
        <v>83.33333333</v>
      </c>
      <c r="CB62" s="102">
        <f t="shared" ref="CB62:CB63" si="15">$CH$6*BZ62</f>
        <v>2233.333333</v>
      </c>
      <c r="CC62" s="102">
        <f t="shared" ref="CC62:CC63" si="16">$CI$6*BZ62</f>
        <v>372.2222222</v>
      </c>
      <c r="CE62" s="38" t="s">
        <v>46</v>
      </c>
      <c r="CF62" s="5">
        <f>VLOOKUP(CE62,BQ61:BR72,2,FALSE)</f>
        <v>360000</v>
      </c>
      <c r="CG62" s="5">
        <f>CF77/BO114*20</f>
        <v>223.880597</v>
      </c>
      <c r="CH62" s="103">
        <f>CF77/BP114*20</f>
        <v>750</v>
      </c>
      <c r="CI62" s="4">
        <v>1000.0</v>
      </c>
    </row>
    <row r="63">
      <c r="A63" s="29"/>
      <c r="B63" s="40"/>
      <c r="C63" s="41"/>
      <c r="D63" s="38"/>
      <c r="E63" s="38" t="s">
        <v>231</v>
      </c>
      <c r="F63" s="42">
        <f>200*I63</f>
        <v>120000</v>
      </c>
      <c r="G63" s="43"/>
      <c r="H63" s="56" t="s">
        <v>502</v>
      </c>
      <c r="I63" s="49">
        <v>600.0</v>
      </c>
      <c r="J63" s="100" t="s">
        <v>424</v>
      </c>
      <c r="K63" s="100">
        <v>0.0</v>
      </c>
      <c r="L63" s="45"/>
      <c r="M63" s="45"/>
      <c r="N63" s="45"/>
      <c r="O63" s="45"/>
      <c r="P63" s="45"/>
      <c r="Q63" s="45"/>
      <c r="R63" s="45"/>
      <c r="S63" s="101"/>
      <c r="T63" s="101"/>
      <c r="U63" s="45"/>
      <c r="V63" s="45"/>
      <c r="W63" s="45"/>
      <c r="X63" s="45"/>
      <c r="Y63" s="45"/>
      <c r="Z63" s="45"/>
      <c r="AA63" s="45"/>
      <c r="AB63" s="45"/>
      <c r="AC63" s="45"/>
      <c r="AD63" s="45"/>
      <c r="AE63" s="79"/>
      <c r="AF63" s="45"/>
      <c r="AG63" s="45"/>
      <c r="AH63" s="45"/>
      <c r="AI63" s="45"/>
      <c r="AJ63" s="45"/>
      <c r="AK63" s="45"/>
      <c r="AL63" s="45"/>
      <c r="AM63" s="45"/>
      <c r="AN63" s="45"/>
      <c r="AO63" s="45"/>
      <c r="AP63" s="45"/>
      <c r="AQ63" s="45"/>
      <c r="AR63" s="79"/>
      <c r="AS63" s="45"/>
      <c r="AT63" s="45"/>
      <c r="AU63" s="45"/>
      <c r="AV63" s="45"/>
      <c r="AW63" s="45"/>
      <c r="AX63" s="45"/>
      <c r="AY63" s="45"/>
      <c r="AZ63" s="45"/>
      <c r="BA63" s="45"/>
      <c r="BB63" s="45"/>
      <c r="BC63" s="45"/>
      <c r="BD63" s="45"/>
      <c r="BE63" s="45"/>
      <c r="BF63" s="45"/>
      <c r="BG63" s="46"/>
      <c r="BH63" s="30"/>
      <c r="BI63" s="28"/>
      <c r="BJ63" s="29"/>
      <c r="BQ63" s="6" t="s">
        <v>20</v>
      </c>
      <c r="BR63" s="6">
        <v>0.0</v>
      </c>
      <c r="BS63" s="6">
        <f>VLOOKUP(BQ63,'Item List'!$A$2:$D$300,2,FALSE)</f>
        <v>3</v>
      </c>
      <c r="BT63" s="6">
        <f>VLOOKUP(BQ63,'Item List'!$A$2:$D$300,3,FALSE)</f>
        <v>5</v>
      </c>
      <c r="BU63" s="6">
        <f>VLOOKUP(BQ63,'Item List'!$A$2:$D$300,4,FALSE)</f>
        <v>2</v>
      </c>
      <c r="BY63" s="6">
        <f t="shared" si="12"/>
        <v>0</v>
      </c>
      <c r="BZ63" s="6">
        <f t="shared" si="13"/>
        <v>0</v>
      </c>
      <c r="CA63" s="102">
        <f t="shared" si="14"/>
        <v>0</v>
      </c>
      <c r="CB63" s="102">
        <f t="shared" si="15"/>
        <v>0</v>
      </c>
      <c r="CC63" s="102">
        <f t="shared" si="16"/>
        <v>0</v>
      </c>
      <c r="CE63" s="5"/>
      <c r="CF63" s="5"/>
      <c r="CG63" s="98" t="s">
        <v>505</v>
      </c>
      <c r="CH63" s="98" t="s">
        <v>506</v>
      </c>
      <c r="CI63" s="98" t="s">
        <v>586</v>
      </c>
    </row>
    <row r="64">
      <c r="A64" s="29"/>
      <c r="B64" s="40"/>
      <c r="C64" s="41"/>
      <c r="D64" s="38"/>
      <c r="E64" s="38" t="s">
        <v>230</v>
      </c>
      <c r="F64" s="42">
        <f>500*I63</f>
        <v>300000</v>
      </c>
      <c r="G64" s="43"/>
      <c r="H64" s="44"/>
      <c r="I64" s="45"/>
      <c r="J64" s="45"/>
      <c r="K64" s="45"/>
      <c r="L64" s="45"/>
      <c r="M64" s="45"/>
      <c r="N64" s="45"/>
      <c r="O64" s="45"/>
      <c r="P64" s="45"/>
      <c r="Q64" s="45"/>
      <c r="R64" s="45"/>
      <c r="S64" s="101"/>
      <c r="T64" s="101"/>
      <c r="U64" s="45"/>
      <c r="V64" s="45"/>
      <c r="W64" s="45"/>
      <c r="X64" s="45"/>
      <c r="Y64" s="45"/>
      <c r="Z64" s="45"/>
      <c r="AA64" s="45"/>
      <c r="AB64" s="45"/>
      <c r="AC64" s="45"/>
      <c r="AD64" s="45"/>
      <c r="AE64" s="79"/>
      <c r="AF64" s="45"/>
      <c r="AG64" s="45"/>
      <c r="AH64" s="45"/>
      <c r="AI64" s="45"/>
      <c r="AJ64" s="45"/>
      <c r="AK64" s="45"/>
      <c r="AL64" s="45"/>
      <c r="AM64" s="45"/>
      <c r="AN64" s="45"/>
      <c r="AO64" s="45"/>
      <c r="AP64" s="45"/>
      <c r="AQ64" s="45"/>
      <c r="AR64" s="79"/>
      <c r="AS64" s="45"/>
      <c r="AT64" s="45"/>
      <c r="AU64" s="45"/>
      <c r="AV64" s="45"/>
      <c r="AW64" s="45"/>
      <c r="AX64" s="45"/>
      <c r="AY64" s="45"/>
      <c r="AZ64" s="45"/>
      <c r="BA64" s="45"/>
      <c r="BB64" s="45"/>
      <c r="BC64" s="45"/>
      <c r="BD64" s="45"/>
      <c r="BE64" s="45"/>
      <c r="BF64" s="45"/>
      <c r="BG64" s="46"/>
      <c r="BH64" s="30"/>
      <c r="BI64" s="28"/>
      <c r="BJ64" s="29"/>
      <c r="BQ64" s="6" t="s">
        <v>44</v>
      </c>
      <c r="BR64" s="6">
        <v>2.7</v>
      </c>
      <c r="BS64" s="6">
        <f>VLOOKUP(BQ64,'Item List'!$A$2:$D$300,2,FALSE)</f>
        <v>1</v>
      </c>
      <c r="BT64" s="6">
        <f>VLOOKUP(BQ64,'Item List'!$A$2:$D$300,3,FALSE)</f>
        <v>4</v>
      </c>
      <c r="BU64" s="6">
        <f>VLOOKUP(BQ64,'Item List'!$A$2:$D$300,4,FALSE)</f>
        <v>1</v>
      </c>
      <c r="BY64" s="6">
        <f t="shared" si="12"/>
        <v>300000</v>
      </c>
      <c r="CE64" s="5"/>
      <c r="CF64" s="5"/>
      <c r="CG64" s="105">
        <f>BO114/CF62</f>
        <v>0.08933333333</v>
      </c>
      <c r="CH64" s="106">
        <f>BP114/CF62</f>
        <v>0.02666666667</v>
      </c>
      <c r="CI64" s="5">
        <f>1/CI62*20</f>
        <v>0.02</v>
      </c>
    </row>
    <row r="65">
      <c r="A65" s="29"/>
      <c r="B65" s="40"/>
      <c r="C65" s="41"/>
      <c r="D65" s="38"/>
      <c r="E65" s="38" t="s">
        <v>229</v>
      </c>
      <c r="F65" s="42">
        <f>150*I63</f>
        <v>90000</v>
      </c>
      <c r="G65" s="43"/>
      <c r="H65" s="44"/>
      <c r="I65" s="45"/>
      <c r="J65" s="45"/>
      <c r="K65" s="45"/>
      <c r="L65" s="45"/>
      <c r="M65" s="45"/>
      <c r="N65" s="45"/>
      <c r="O65" s="45"/>
      <c r="P65" s="45"/>
      <c r="Q65" s="45"/>
      <c r="R65" s="45"/>
      <c r="S65" s="101"/>
      <c r="T65" s="101"/>
      <c r="U65" s="45"/>
      <c r="V65" s="45"/>
      <c r="W65" s="45"/>
      <c r="X65" s="45"/>
      <c r="Y65" s="45"/>
      <c r="Z65" s="45"/>
      <c r="AA65" s="45"/>
      <c r="AB65" s="45"/>
      <c r="AC65" s="45"/>
      <c r="AD65" s="45"/>
      <c r="AE65" s="79"/>
      <c r="AF65" s="45"/>
      <c r="AG65" s="45"/>
      <c r="AH65" s="45"/>
      <c r="AI65" s="45"/>
      <c r="AJ65" s="45"/>
      <c r="AK65" s="45"/>
      <c r="AL65" s="45"/>
      <c r="AM65" s="45"/>
      <c r="AN65" s="45"/>
      <c r="AO65" s="45"/>
      <c r="AP65" s="45"/>
      <c r="AQ65" s="45"/>
      <c r="AR65" s="79"/>
      <c r="AS65" s="45"/>
      <c r="AT65" s="45"/>
      <c r="AU65" s="45"/>
      <c r="AV65" s="45"/>
      <c r="AW65" s="45"/>
      <c r="AX65" s="45"/>
      <c r="AY65" s="45"/>
      <c r="AZ65" s="45"/>
      <c r="BA65" s="45"/>
      <c r="BB65" s="45"/>
      <c r="BC65" s="45"/>
      <c r="BD65" s="45"/>
      <c r="BE65" s="45"/>
      <c r="BF65" s="45"/>
      <c r="BG65" s="46"/>
      <c r="BH65" s="30"/>
      <c r="BI65" s="28"/>
      <c r="BJ65" s="29"/>
      <c r="BQ65" s="6" t="s">
        <v>46</v>
      </c>
      <c r="BR65" s="6">
        <v>360000.0</v>
      </c>
      <c r="BS65" s="6">
        <f>VLOOKUP(BQ65,'Item List'!$A$2:$D$300,2,FALSE)</f>
        <v>3</v>
      </c>
      <c r="BT65" s="6">
        <f>VLOOKUP(BQ65,'Item List'!$A$2:$D$300,3,FALSE)</f>
        <v>4</v>
      </c>
      <c r="BU65" s="6">
        <f>VLOOKUP(BQ65,'Item List'!$A$2:$D$300,4,FALSE)</f>
        <v>3</v>
      </c>
      <c r="CE65" s="5"/>
      <c r="CF65" s="5"/>
      <c r="CG65" s="98" t="s">
        <v>587</v>
      </c>
      <c r="CH65" s="98" t="s">
        <v>588</v>
      </c>
    </row>
    <row r="66">
      <c r="A66" s="29"/>
      <c r="B66" s="40"/>
      <c r="C66" s="41"/>
      <c r="D66" s="38"/>
      <c r="E66" s="38" t="s">
        <v>125</v>
      </c>
      <c r="F66" s="42">
        <f>25*I63</f>
        <v>15000</v>
      </c>
      <c r="G66" s="43"/>
      <c r="H66" s="44"/>
      <c r="I66" s="45"/>
      <c r="J66" s="45"/>
      <c r="K66" s="45"/>
      <c r="L66" s="45"/>
      <c r="M66" s="45"/>
      <c r="N66" s="45"/>
      <c r="O66" s="45"/>
      <c r="P66" s="45"/>
      <c r="Q66" s="45"/>
      <c r="R66" s="45"/>
      <c r="S66" s="101"/>
      <c r="T66" s="101"/>
      <c r="U66" s="45"/>
      <c r="V66" s="45"/>
      <c r="W66" s="45"/>
      <c r="X66" s="45"/>
      <c r="Y66" s="45"/>
      <c r="Z66" s="45"/>
      <c r="AA66" s="45"/>
      <c r="AB66" s="45"/>
      <c r="AC66" s="45"/>
      <c r="AD66" s="45"/>
      <c r="AE66" s="79"/>
      <c r="AF66" s="45"/>
      <c r="AG66" s="45"/>
      <c r="AH66" s="45"/>
      <c r="AI66" s="45"/>
      <c r="AJ66" s="45"/>
      <c r="AK66" s="45"/>
      <c r="AL66" s="45"/>
      <c r="AM66" s="45"/>
      <c r="AN66" s="45"/>
      <c r="AO66" s="45"/>
      <c r="AP66" s="45"/>
      <c r="AQ66" s="45"/>
      <c r="AR66" s="79"/>
      <c r="AS66" s="45"/>
      <c r="AT66" s="45"/>
      <c r="AU66" s="45"/>
      <c r="AV66" s="45"/>
      <c r="AW66" s="45"/>
      <c r="AX66" s="45"/>
      <c r="AY66" s="45"/>
      <c r="AZ66" s="45"/>
      <c r="BA66" s="45"/>
      <c r="BB66" s="45"/>
      <c r="BC66" s="45"/>
      <c r="BD66" s="45"/>
      <c r="BE66" s="45"/>
      <c r="BF66" s="45"/>
      <c r="BG66" s="46"/>
      <c r="BH66" s="30"/>
      <c r="BI66" s="28"/>
      <c r="BJ66" s="29"/>
      <c r="BQ66" s="6" t="s">
        <v>54</v>
      </c>
      <c r="BR66" s="6">
        <v>0.0</v>
      </c>
      <c r="BS66" s="6">
        <f>VLOOKUP(BQ66,'Item List'!$A$2:$D$300,2,FALSE)</f>
        <v>2</v>
      </c>
      <c r="BT66" s="6">
        <f>VLOOKUP(BQ66,'Item List'!$A$2:$D$300,3,FALSE)</f>
        <v>4</v>
      </c>
      <c r="BU66" s="6">
        <f>VLOOKUP(BQ66,'Item List'!$A$2:$D$300,4,FALSE)</f>
        <v>3</v>
      </c>
      <c r="CE66" s="5"/>
      <c r="CF66" s="5"/>
      <c r="CG66" s="107">
        <f>BL113/CF62</f>
        <v>51.708</v>
      </c>
      <c r="CH66" s="107">
        <f>BM113/CF62</f>
        <v>82.38133333</v>
      </c>
      <c r="CI66" s="5"/>
    </row>
    <row r="67">
      <c r="A67" s="29"/>
      <c r="B67" s="50"/>
      <c r="C67" s="51"/>
      <c r="D67" s="52"/>
      <c r="E67" s="52"/>
      <c r="F67" s="52"/>
      <c r="G67" s="43"/>
      <c r="H67" s="52"/>
      <c r="I67" s="52"/>
      <c r="J67" s="52"/>
      <c r="K67" s="52"/>
      <c r="L67" s="52"/>
      <c r="M67" s="52"/>
      <c r="N67" s="52"/>
      <c r="O67" s="52"/>
      <c r="P67" s="52"/>
      <c r="Q67" s="52"/>
      <c r="R67" s="52"/>
      <c r="S67" s="52"/>
      <c r="T67" s="52"/>
      <c r="U67" s="52"/>
      <c r="V67" s="52"/>
      <c r="W67" s="52"/>
      <c r="X67" s="52"/>
      <c r="Y67" s="52"/>
      <c r="Z67" s="52"/>
      <c r="AA67" s="52"/>
      <c r="AB67" s="52"/>
      <c r="AC67" s="52"/>
      <c r="AD67" s="52"/>
      <c r="AE67" s="43"/>
      <c r="AF67" s="52"/>
      <c r="AG67" s="52"/>
      <c r="AH67" s="52"/>
      <c r="AI67" s="52"/>
      <c r="AJ67" s="52"/>
      <c r="AK67" s="52"/>
      <c r="AL67" s="52"/>
      <c r="AM67" s="52"/>
      <c r="AN67" s="52"/>
      <c r="AO67" s="52"/>
      <c r="AP67" s="52"/>
      <c r="AQ67" s="52"/>
      <c r="AR67" s="43"/>
      <c r="AS67" s="52"/>
      <c r="AT67" s="52"/>
      <c r="AU67" s="52"/>
      <c r="AV67" s="52"/>
      <c r="AW67" s="52"/>
      <c r="AX67" s="52"/>
      <c r="AY67" s="52"/>
      <c r="AZ67" s="52"/>
      <c r="BA67" s="52"/>
      <c r="BB67" s="52"/>
      <c r="BC67" s="52"/>
      <c r="BD67" s="52"/>
      <c r="BE67" s="52"/>
      <c r="BF67" s="52"/>
      <c r="BG67" s="53"/>
      <c r="BH67" s="30"/>
      <c r="BI67" s="28"/>
      <c r="BJ67" s="29"/>
      <c r="BQ67" s="6" t="s">
        <v>55</v>
      </c>
      <c r="BR67" s="6">
        <v>40.0</v>
      </c>
      <c r="BS67" s="6">
        <f>VLOOKUP(BQ67,'Item List'!$A$2:$D$300,2,FALSE)</f>
        <v>1</v>
      </c>
      <c r="BT67" s="6">
        <f>VLOOKUP(BQ67,'Item List'!$A$2:$D$300,3,FALSE)</f>
        <v>4</v>
      </c>
      <c r="BU67" s="6">
        <f>VLOOKUP(BQ67,'Item List'!$A$2:$D$300,4,FALSE)</f>
        <v>2</v>
      </c>
    </row>
    <row r="68">
      <c r="A68" s="23"/>
      <c r="B68" s="31" t="s">
        <v>593</v>
      </c>
      <c r="C68" s="54"/>
      <c r="D68" s="45"/>
      <c r="E68" s="45"/>
      <c r="F68" s="47"/>
      <c r="G68" s="35"/>
      <c r="H68" s="55" t="s">
        <v>349</v>
      </c>
      <c r="I68" s="38">
        <f>VLOOKUP(H68,'Machine List'!$A$1:$I$300,9,FALSE)</f>
        <v>4000</v>
      </c>
      <c r="J68" s="38">
        <f>IF(VLOOKUP(H68,'Machine List'!$A$1:$I$300,5,FALSE)="Multi",IF(VLOOKUP(H68,'Machine List'!$A$1:$I$300,6,FALSE)="Yes",AG68*3*10^Z68,AG68*(2*3)*10^(Z68-1)),0)</f>
        <v>6</v>
      </c>
      <c r="K68" s="38">
        <f>J68+IF(ISNUMBER(I68),I68,
  SWITCH(
      I68,
      "1T",1*10^Z68,
      "2T",2*10^Z68,
      "3T",3*10^Z68,
      "4T",4*10^Z68,
      "4000+500(7O-5)",4000+500*(7*I69-5),
      "13500 + 16C",13500+16*VLOOKUP(J70,'Machine Helper Sheet'!$G$1:$K$16,5,FALSE),
      1
  )
)</f>
        <v>4006</v>
      </c>
      <c r="L68" s="38">
        <f>IF(VLOOKUP(H68,'Machine List'!$A$1:$I$300,5,FALSE)="Multi",IF(VLOOKUP(H68,'Machine List'!$A$1:$I$300,6,FALSE)="Yes",AU68*3*10^AT68,AU68*(2*3)*10^(AT68-1)),0)</f>
        <v>6000</v>
      </c>
      <c r="M68" s="38">
        <f>L68+IF(ISNUMBER(I68),I68,
  SWITCH(
      I68,
      "1T",1*10^AT68,
      "2T",2*10^AT68,
      "3T",3*10^AT68,
      "4T",4*10^AT68,
      "4000+500(7O-5)",4000+500*(7*I69-5),
      1
  )
)</f>
        <v>10000</v>
      </c>
      <c r="N68" s="38" t="str">
        <f>VLOOKUP(H68,'Machine List'!$A$1:$I$300,8,FALSE)</f>
        <v>Tier</v>
      </c>
      <c r="O68" s="38">
        <f>IF(ISNUMBER(N68),N68,10^Z68)</f>
        <v>10</v>
      </c>
      <c r="P68" s="38">
        <f>IF(ISNUMBER(N68),N68,10^AT68)</f>
        <v>10000</v>
      </c>
      <c r="Q68" s="38">
        <f>VLOOKUP(H68,'Machine List'!$A$1:$B$138,2,FALSE)</f>
        <v>1</v>
      </c>
      <c r="R68" s="38" t="s">
        <v>594</v>
      </c>
      <c r="S68" s="45">
        <f>IF(ISNUMBER(Q68),Q68,
  SWITCH(
      Q68,
      "1",1,
      "2T",Z68*2,
      "4T",Z68*4,
      "6T",Z68*6,
      "8T",Z68*8,
      "10T",Z68*10,
      "12T",Z68*12,
      "14T",Z68*14,
      "16T",Z68*16,
      "2(T+1)",2*(Z68+1),
      "1T*C",Z68*J70,
      1
  )
)</f>
        <v>1</v>
      </c>
      <c r="T68" s="38" t="s">
        <v>277</v>
      </c>
      <c r="U68" s="38">
        <f>IF(OR(T68="No",T68=""),S68,T68)</f>
        <v>1</v>
      </c>
      <c r="V68" s="38">
        <f>IF(ISNUMBER(Q68),Q68,
  SWITCH(
      Q68,
      "1",1,
      "2T",AT68*2,
      "4T",AT68*4,
      "6T",AT68*6,
      "8T",AT68*8,
      "10T",AT68*10,
      "12T",AT68*12,
      "14T",AT68*14,
      "16T",AT68*16,
      "2(T+1)",2*(AT68+1),
      "1T*C",AT68*J70,
      1
  )
)</f>
        <v>1</v>
      </c>
      <c r="W68" s="38" t="str">
        <f>T68</f>
        <v>No</v>
      </c>
      <c r="X68" s="38">
        <f>IF(OR(W68="No",W68=""),V68,W68)</f>
        <v>1</v>
      </c>
      <c r="Y68" s="38" t="s">
        <v>390</v>
      </c>
      <c r="Z68" s="38">
        <f>VLOOKUP(Y68,'Item Helper Sheet'!$A$2:$B$16,2,FALSE)</f>
        <v>1</v>
      </c>
      <c r="AA68" s="38">
        <v>30.0</v>
      </c>
      <c r="AB68" s="38">
        <f>8*20</f>
        <v>160</v>
      </c>
      <c r="AC68" s="38">
        <f>AB68*I70</f>
        <v>3520</v>
      </c>
      <c r="AD68" s="38">
        <f>AA68*AC68</f>
        <v>105600</v>
      </c>
      <c r="AE68" s="75"/>
      <c r="AF68" s="38" t="str">
        <f>Y68</f>
        <v>01 - LV</v>
      </c>
      <c r="AG68" s="38">
        <v>1.0</v>
      </c>
      <c r="AH68" s="38">
        <v>1.0</v>
      </c>
      <c r="AI68" s="38">
        <f>AH68*8*4^Z68</f>
        <v>32</v>
      </c>
      <c r="AJ68" s="38">
        <f>MIN(ROUNDDOWN(AI68/AL68,0),U68)</f>
        <v>1</v>
      </c>
      <c r="AK68" s="38">
        <f>IF(OR(T68="No",T68=""),AG68*S68,AG68*T68)</f>
        <v>1</v>
      </c>
      <c r="AL68" s="38">
        <f>ROUNDUP(AA68*VLOOKUP(H68,'Machine List'!$A$2:$D$219,4,FALSE),0)</f>
        <v>30</v>
      </c>
      <c r="AM68" s="38">
        <f>AL68*AK68</f>
        <v>30</v>
      </c>
      <c r="AN68" s="38">
        <f>ROUNDUP(AB68*I70,0)</f>
        <v>3520</v>
      </c>
      <c r="AO68" s="38">
        <f>ROUNDUP(AN68/VLOOKUP(H68,'Machine List'!$A$2:$D$219,3,FALSE),0)</f>
        <v>3520</v>
      </c>
      <c r="AP68" s="38">
        <f>ROUNDUP(AO68/AK68,0)</f>
        <v>3520</v>
      </c>
      <c r="AQ68" s="38">
        <f>AM68*AP68</f>
        <v>105600</v>
      </c>
      <c r="AR68" s="75"/>
      <c r="AS68" s="38" t="s">
        <v>401</v>
      </c>
      <c r="AT68" s="38">
        <f>VLOOKUP(AS68,'Item Helper Sheet'!$A$2:$B$16,2,FALSE)</f>
        <v>4</v>
      </c>
      <c r="AU68" s="38">
        <f>AG68</f>
        <v>1</v>
      </c>
      <c r="AV68" s="38">
        <v>1.0</v>
      </c>
      <c r="AW68" s="38">
        <f>AV68*8*4^AT68</f>
        <v>2048</v>
      </c>
      <c r="AX68" s="38">
        <f>MIN(ROUNDDOWN(AW68/AL68,0),X68)</f>
        <v>1</v>
      </c>
      <c r="AY68" s="38">
        <f>AX68*AU68</f>
        <v>1</v>
      </c>
      <c r="AZ68" s="38">
        <f>AL68</f>
        <v>30</v>
      </c>
      <c r="BA68" s="38">
        <f>MIN(AT68-Z68,IF(AW68&gt;=AZ69*4,
IF(AW68&gt;=AZ69*4^2,
IF(AW68&gt;=AZ69*4^3,
IF(AW68&gt;=AZ69*4^4,
IF(AW68&gt;=AZ69*4^5,
IF(AW68&gt;=AZ69*4^6,
IF(AW68&gt;=AZ69*4^7,
IF(AW68&gt;=AZ69*4^8,
IF(AW68&gt;=AZ69*4^9,
IF(AW68&gt;=AZ69*4^10,
9),
8),
7),
6),
5),
4),
3),
2),
1),
0))</f>
        <v>3</v>
      </c>
      <c r="BB68" s="38">
        <f>AZ68*AX68*4^BA68</f>
        <v>1920</v>
      </c>
      <c r="BC68" s="38">
        <f>BB68*AU68</f>
        <v>1920</v>
      </c>
      <c r="BD68" s="45">
        <f>ROUNDUP(IF(R68="Yes",AN68/(2^((BA68)*2)),AN68/(2^(BA68))),0)</f>
        <v>55</v>
      </c>
      <c r="BE68" s="45">
        <f>ROUNDUP(BD68/VLOOKUP(H68,'Machine List'!$A$2:$D$219,3,FALSE),0)</f>
        <v>55</v>
      </c>
      <c r="BF68" s="45">
        <f>ROUNDUP(BE68/AY68,0)</f>
        <v>55</v>
      </c>
      <c r="BG68" s="46">
        <f>BF68*BC68</f>
        <v>105600</v>
      </c>
      <c r="BH68" s="30"/>
      <c r="BI68" s="28"/>
      <c r="BJ68" s="29"/>
      <c r="BQ68" s="6" t="s">
        <v>61</v>
      </c>
      <c r="BR68" s="6">
        <v>270.0</v>
      </c>
      <c r="BS68" s="6">
        <f>VLOOKUP(BQ68,'Item List'!$A$2:$D$300,2,FALSE)</f>
        <v>1</v>
      </c>
      <c r="BT68" s="6">
        <f>VLOOKUP(BQ68,'Item List'!$A$2:$D$300,3,FALSE)</f>
        <v>3</v>
      </c>
      <c r="BU68" s="6">
        <f>VLOOKUP(BQ68,'Item List'!$A$2:$D$300,4,FALSE)</f>
        <v>2</v>
      </c>
      <c r="BY68" s="97" t="s">
        <v>589</v>
      </c>
      <c r="BZ68" s="97" t="s">
        <v>514</v>
      </c>
      <c r="CA68" s="97" t="s">
        <v>590</v>
      </c>
      <c r="CB68" s="97" t="s">
        <v>591</v>
      </c>
      <c r="CC68" s="97" t="s">
        <v>592</v>
      </c>
      <c r="CE68" s="108" t="s">
        <v>595</v>
      </c>
      <c r="CF68" s="108" t="s">
        <v>596</v>
      </c>
    </row>
    <row r="69">
      <c r="A69" s="29"/>
      <c r="B69" s="40"/>
      <c r="C69" s="41" t="s">
        <v>228</v>
      </c>
      <c r="D69" s="38">
        <f>16000*I70</f>
        <v>352000</v>
      </c>
      <c r="E69" s="38" t="s">
        <v>183</v>
      </c>
      <c r="F69" s="42">
        <f>16000*I70</f>
        <v>352000</v>
      </c>
      <c r="G69" s="43"/>
      <c r="H69" s="99" t="s">
        <v>584</v>
      </c>
      <c r="I69" s="45">
        <f t="array" ref="I69">match(TRUE,ISBLANK(F69:F81),0)-1</f>
        <v>2</v>
      </c>
      <c r="J69" s="100" t="s">
        <v>420</v>
      </c>
      <c r="K69" s="100" t="s">
        <v>585</v>
      </c>
      <c r="L69" s="38"/>
      <c r="M69" s="38"/>
      <c r="N69" s="38"/>
      <c r="O69" s="38"/>
      <c r="P69" s="38"/>
      <c r="Q69" s="38"/>
      <c r="R69" s="101"/>
      <c r="S69" s="101"/>
      <c r="T69" s="101"/>
      <c r="U69" s="45"/>
      <c r="V69" s="45"/>
      <c r="W69" s="45"/>
      <c r="X69" s="45"/>
      <c r="Y69" s="45"/>
      <c r="Z69" s="45"/>
      <c r="AA69" s="45"/>
      <c r="AB69" s="45"/>
      <c r="AC69" s="45"/>
      <c r="AD69" s="45"/>
      <c r="AE69" s="79"/>
      <c r="AF69" s="45"/>
      <c r="AG69" s="45"/>
      <c r="AH69" s="45"/>
      <c r="AI69" s="45"/>
      <c r="AJ69" s="45"/>
      <c r="AK69" s="45"/>
      <c r="AL69" s="45"/>
      <c r="AM69" s="45"/>
      <c r="AN69" s="45"/>
      <c r="AO69" s="45"/>
      <c r="AP69" s="45"/>
      <c r="AQ69" s="45"/>
      <c r="AR69" s="79"/>
      <c r="AS69" s="45"/>
      <c r="AT69" s="45"/>
      <c r="AU69" s="45"/>
      <c r="AV69" s="45"/>
      <c r="AW69" s="45"/>
      <c r="AX69" s="45"/>
      <c r="AY69" s="45"/>
      <c r="AZ69" s="45">
        <f>AZ68*AX68</f>
        <v>30</v>
      </c>
      <c r="BA69" s="45"/>
      <c r="BB69" s="45"/>
      <c r="BC69" s="45"/>
      <c r="BD69" s="45"/>
      <c r="BE69" s="45"/>
      <c r="BF69" s="45"/>
      <c r="BG69" s="46"/>
      <c r="BH69" s="30"/>
      <c r="BI69" s="28"/>
      <c r="BJ69" s="29"/>
      <c r="BQ69" s="6" t="s">
        <v>63</v>
      </c>
      <c r="BR69" s="6">
        <v>0.0</v>
      </c>
      <c r="BS69" s="6">
        <f>VLOOKUP(BQ69,'Item List'!$A$2:$D$300,2,FALSE)</f>
        <v>2</v>
      </c>
      <c r="BT69" s="6">
        <f>VLOOKUP(BQ69,'Item List'!$A$2:$D$300,3,FALSE)</f>
        <v>4</v>
      </c>
      <c r="BU69" s="6">
        <f>VLOOKUP(BQ69,'Item List'!$A$2:$D$300,4,FALSE)</f>
        <v>2</v>
      </c>
      <c r="BY69" s="6">
        <f t="shared" ref="BY69:BY72" si="17">BX69</f>
        <v>360000</v>
      </c>
      <c r="BZ69" s="6">
        <f t="shared" ref="BZ69:BZ72" si="18">BY69/$CF$21</f>
        <v>1</v>
      </c>
      <c r="CA69" s="102">
        <f t="shared" ref="CA69:CA72" si="19">$CG$6*BZ69</f>
        <v>223.880597</v>
      </c>
      <c r="CB69" s="102">
        <f t="shared" ref="CB69:CB72" si="20">$CH$6*BZ69</f>
        <v>6000</v>
      </c>
      <c r="CC69" s="102">
        <f t="shared" ref="CC69:CC72" si="21">$CI$6*BZ69</f>
        <v>1000</v>
      </c>
      <c r="CE69" s="98" t="s">
        <v>597</v>
      </c>
      <c r="CF69" s="98" t="s">
        <v>597</v>
      </c>
    </row>
    <row r="70">
      <c r="A70" s="29"/>
      <c r="B70" s="40"/>
      <c r="C70" s="41" t="s">
        <v>87</v>
      </c>
      <c r="D70" s="38">
        <f>2000*I70</f>
        <v>44000</v>
      </c>
      <c r="E70" s="38" t="s">
        <v>88</v>
      </c>
      <c r="F70" s="42">
        <f>1000*I70</f>
        <v>22000</v>
      </c>
      <c r="G70" s="43"/>
      <c r="H70" s="56" t="s">
        <v>502</v>
      </c>
      <c r="I70" s="57">
        <v>22.0</v>
      </c>
      <c r="J70" s="100" t="s">
        <v>424</v>
      </c>
      <c r="K70" s="100">
        <v>0.0</v>
      </c>
      <c r="L70" s="45"/>
      <c r="M70" s="45"/>
      <c r="N70" s="45"/>
      <c r="O70" s="45"/>
      <c r="P70" s="45"/>
      <c r="Q70" s="45"/>
      <c r="R70" s="45"/>
      <c r="S70" s="101"/>
      <c r="T70" s="101"/>
      <c r="U70" s="45"/>
      <c r="V70" s="45"/>
      <c r="W70" s="45"/>
      <c r="X70" s="45"/>
      <c r="Y70" s="45"/>
      <c r="Z70" s="45"/>
      <c r="AA70" s="45"/>
      <c r="AB70" s="45"/>
      <c r="AC70" s="45"/>
      <c r="AD70" s="45"/>
      <c r="AE70" s="79"/>
      <c r="AF70" s="45"/>
      <c r="AG70" s="45"/>
      <c r="AH70" s="45"/>
      <c r="AI70" s="45"/>
      <c r="AJ70" s="45"/>
      <c r="AK70" s="45"/>
      <c r="AL70" s="45"/>
      <c r="AM70" s="45"/>
      <c r="AN70" s="45"/>
      <c r="AO70" s="45"/>
      <c r="AP70" s="45"/>
      <c r="AQ70" s="45"/>
      <c r="AR70" s="79"/>
      <c r="AS70" s="45"/>
      <c r="AT70" s="45"/>
      <c r="AU70" s="45"/>
      <c r="AV70" s="45"/>
      <c r="AW70" s="45"/>
      <c r="AX70" s="45"/>
      <c r="AY70" s="45"/>
      <c r="AZ70" s="45"/>
      <c r="BA70" s="45"/>
      <c r="BB70" s="45"/>
      <c r="BC70" s="45"/>
      <c r="BD70" s="45"/>
      <c r="BE70" s="45"/>
      <c r="BF70" s="45"/>
      <c r="BG70" s="46"/>
      <c r="BH70" s="30"/>
      <c r="BI70" s="28"/>
      <c r="BJ70" s="29"/>
      <c r="BQ70" s="6" t="s">
        <v>64</v>
      </c>
      <c r="BR70" s="6">
        <v>100.0</v>
      </c>
      <c r="BS70" s="6">
        <f>VLOOKUP(BQ70,'Item List'!$A$2:$D$300,2,FALSE)</f>
        <v>1</v>
      </c>
      <c r="BT70" s="6">
        <f>VLOOKUP(BQ70,'Item List'!$A$2:$D$300,3,FALSE)</f>
        <v>5</v>
      </c>
      <c r="BU70" s="6">
        <f>VLOOKUP(BQ70,'Item List'!$A$2:$D$300,4,FALSE)</f>
        <v>2</v>
      </c>
      <c r="BY70" s="6">
        <f t="shared" si="17"/>
        <v>120000</v>
      </c>
      <c r="BZ70" s="6">
        <f t="shared" si="18"/>
        <v>0.3333333333</v>
      </c>
      <c r="CA70" s="102">
        <f t="shared" si="19"/>
        <v>74.62686567</v>
      </c>
      <c r="CB70" s="102">
        <f t="shared" si="20"/>
        <v>2000</v>
      </c>
      <c r="CC70" s="102">
        <f t="shared" si="21"/>
        <v>333.3333333</v>
      </c>
      <c r="CE70" s="5">
        <f>BP134</f>
        <v>16</v>
      </c>
      <c r="CF70" s="5">
        <f>BP154</f>
        <v>16</v>
      </c>
    </row>
    <row r="71">
      <c r="A71" s="29"/>
      <c r="B71" s="50"/>
      <c r="C71" s="51"/>
      <c r="D71" s="52"/>
      <c r="E71" s="52"/>
      <c r="F71" s="52"/>
      <c r="G71" s="43"/>
      <c r="H71" s="52"/>
      <c r="I71" s="52"/>
      <c r="J71" s="52"/>
      <c r="K71" s="52"/>
      <c r="L71" s="52"/>
      <c r="M71" s="52"/>
      <c r="N71" s="52"/>
      <c r="O71" s="52"/>
      <c r="P71" s="52"/>
      <c r="Q71" s="52"/>
      <c r="R71" s="52"/>
      <c r="S71" s="52"/>
      <c r="T71" s="52"/>
      <c r="U71" s="52"/>
      <c r="V71" s="52"/>
      <c r="W71" s="52"/>
      <c r="X71" s="52"/>
      <c r="Y71" s="52"/>
      <c r="Z71" s="52"/>
      <c r="AA71" s="52"/>
      <c r="AB71" s="52"/>
      <c r="AC71" s="52"/>
      <c r="AD71" s="52"/>
      <c r="AE71" s="43"/>
      <c r="AF71" s="52"/>
      <c r="AG71" s="52"/>
      <c r="AH71" s="52"/>
      <c r="AI71" s="52"/>
      <c r="AJ71" s="52"/>
      <c r="AK71" s="52"/>
      <c r="AL71" s="52"/>
      <c r="AM71" s="52"/>
      <c r="AN71" s="52"/>
      <c r="AO71" s="52"/>
      <c r="AP71" s="52"/>
      <c r="AQ71" s="52"/>
      <c r="AR71" s="43"/>
      <c r="AS71" s="52"/>
      <c r="AT71" s="52"/>
      <c r="AU71" s="52"/>
      <c r="AV71" s="52"/>
      <c r="AW71" s="52"/>
      <c r="AX71" s="52"/>
      <c r="AY71" s="52"/>
      <c r="AZ71" s="52"/>
      <c r="BA71" s="52"/>
      <c r="BB71" s="52"/>
      <c r="BC71" s="52"/>
      <c r="BD71" s="52"/>
      <c r="BE71" s="52"/>
      <c r="BF71" s="52"/>
      <c r="BG71" s="53"/>
      <c r="BH71" s="30"/>
      <c r="BI71" s="28"/>
      <c r="BJ71" s="29"/>
      <c r="BQ71" s="6" t="s">
        <v>81</v>
      </c>
      <c r="BR71" s="6">
        <v>20000.0</v>
      </c>
      <c r="BS71" s="6">
        <f>VLOOKUP(BQ71,'Item List'!$A$2:$D$300,2,FALSE)</f>
        <v>1</v>
      </c>
      <c r="BT71" s="6">
        <f>VLOOKUP(BQ71,'Item List'!$A$2:$D$300,3,FALSE)</f>
        <v>4</v>
      </c>
      <c r="BU71" s="6">
        <f>VLOOKUP(BQ71,'Item List'!$A$2:$D$300,4,FALSE)</f>
        <v>2</v>
      </c>
      <c r="BY71" s="6">
        <f t="shared" si="17"/>
        <v>329500</v>
      </c>
      <c r="BZ71" s="6">
        <f t="shared" si="18"/>
        <v>0.9152777778</v>
      </c>
      <c r="CA71" s="102">
        <f t="shared" si="19"/>
        <v>204.9129353</v>
      </c>
      <c r="CB71" s="102">
        <f t="shared" si="20"/>
        <v>5491.666667</v>
      </c>
      <c r="CC71" s="102">
        <f t="shared" si="21"/>
        <v>915.2777778</v>
      </c>
      <c r="CE71" s="98" t="s">
        <v>598</v>
      </c>
      <c r="CF71" s="98" t="s">
        <v>598</v>
      </c>
    </row>
    <row r="72">
      <c r="A72" s="23"/>
      <c r="B72" s="31" t="s">
        <v>599</v>
      </c>
      <c r="C72" s="54"/>
      <c r="D72" s="45"/>
      <c r="E72" s="45"/>
      <c r="F72" s="47"/>
      <c r="G72" s="35"/>
      <c r="H72" s="55" t="s">
        <v>349</v>
      </c>
      <c r="I72" s="38">
        <f>VLOOKUP(H72,'Machine List'!$A$1:$I$300,9,FALSE)</f>
        <v>4000</v>
      </c>
      <c r="J72" s="38">
        <f>IF(VLOOKUP(H72,'Machine List'!$A$1:$I$300,5,FALSE)="Multi",IF(VLOOKUP(H72,'Machine List'!$A$1:$I$300,6,FALSE)="Yes",AG72*3*10^Z72,AG72*(2*3)*10^(Z72-1)),0)</f>
        <v>6</v>
      </c>
      <c r="K72" s="38">
        <f>J72+IF(ISNUMBER(I72),I72,
  SWITCH(
      I72,
      "1T",1*10^Z72,
      "2T",2*10^Z72,
      "3T",3*10^Z72,
      "4T",4*10^Z72,
      "4000+500(7O-5)",4000+500*(7*I73-5),
      "13500 + 16C",13500+16*VLOOKUP(J74,'Machine Helper Sheet'!$G$1:$K$16,5,FALSE),
      1
  )
)</f>
        <v>4006</v>
      </c>
      <c r="L72" s="38">
        <f>IF(VLOOKUP(H72,'Machine List'!$A$1:$I$300,5,FALSE)="Multi",IF(VLOOKUP(H72,'Machine List'!$A$1:$I$300,6,FALSE)="Yes",AU72*3*10^AT72,AU72*(2*3)*10^(AT72-1)),0)</f>
        <v>6000</v>
      </c>
      <c r="M72" s="38">
        <f>L72+IF(ISNUMBER(I72),I72,
  SWITCH(
      I72,
      "1T",1*10^AT72,
      "2T",2*10^AT72,
      "3T",3*10^AT72,
      "4T",4*10^AT72,
      "4000+500(7O-5)",4000+500*(7*I73-5),
      1
  )
)</f>
        <v>10000</v>
      </c>
      <c r="N72" s="38" t="str">
        <f>VLOOKUP(H72,'Machine List'!$A$1:$I$300,8,FALSE)</f>
        <v>Tier</v>
      </c>
      <c r="O72" s="38">
        <f>IF(ISNUMBER(N72),N72,10^Z72)</f>
        <v>10</v>
      </c>
      <c r="P72" s="38">
        <f>IF(ISNUMBER(N72),N72,10^AT72)</f>
        <v>10000</v>
      </c>
      <c r="Q72" s="38">
        <f>VLOOKUP(H72,'Machine List'!$A$1:$B$138,2,FALSE)</f>
        <v>1</v>
      </c>
      <c r="R72" s="38" t="s">
        <v>594</v>
      </c>
      <c r="S72" s="45">
        <f>IF(ISNUMBER(Q72),Q72,
  SWITCH(
      Q72,
      "1",1,
      "2T",Z72*2,
      "4T",Z72*4,
      "6T",Z72*6,
      "8T",Z72*8,
      "10T",Z72*10,
      "12T",Z72*12,
      "14T",Z72*14,
      "16T",Z72*16,
      "2(T+1)",2*(Z72+1),
      "1T*C",Z72*J74,
      1
  )
)</f>
        <v>1</v>
      </c>
      <c r="T72" s="38" t="s">
        <v>277</v>
      </c>
      <c r="U72" s="38">
        <f>IF(OR(T72="No",T72=""),S72,T72)</f>
        <v>1</v>
      </c>
      <c r="V72" s="38">
        <f>IF(ISNUMBER(Q72),Q72,
  SWITCH(
      Q72,
      "1",1,
      "2T",AT72*2,
      "4T",AT72*4,
      "6T",AT72*6,
      "8T",AT72*8,
      "10T",AT72*10,
      "12T",AT72*12,
      "14T",AT72*14,
      "16T",AT72*16,
      "2(T+1)",2*(AT72+1),
      "1T*C",AT72*J74,
      1
  )
)</f>
        <v>1</v>
      </c>
      <c r="W72" s="38" t="str">
        <f>T72</f>
        <v>No</v>
      </c>
      <c r="X72" s="38">
        <f>IF(OR(W72="No",W72=""),V72,W72)</f>
        <v>1</v>
      </c>
      <c r="Y72" s="38" t="s">
        <v>390</v>
      </c>
      <c r="Z72" s="38">
        <f>VLOOKUP(Y72,'Item Helper Sheet'!$A$2:$B$16,2,FALSE)</f>
        <v>1</v>
      </c>
      <c r="AA72" s="38">
        <v>30.0</v>
      </c>
      <c r="AB72" s="38">
        <f>8*20</f>
        <v>160</v>
      </c>
      <c r="AC72" s="38">
        <f>AB72*I74</f>
        <v>1600</v>
      </c>
      <c r="AD72" s="38">
        <f>AA72*AC72</f>
        <v>48000</v>
      </c>
      <c r="AE72" s="75"/>
      <c r="AF72" s="38" t="str">
        <f>Y72</f>
        <v>01 - LV</v>
      </c>
      <c r="AG72" s="38">
        <v>1.0</v>
      </c>
      <c r="AH72" s="38">
        <v>1.0</v>
      </c>
      <c r="AI72" s="38">
        <f>AH72*8*4^Z72</f>
        <v>32</v>
      </c>
      <c r="AJ72" s="38">
        <f>MIN(ROUNDDOWN(AI72/AL72,0),U72)</f>
        <v>1</v>
      </c>
      <c r="AK72" s="38">
        <f>IF(OR(T72="No",T72=""),AG72*S72,AG72*T72)</f>
        <v>1</v>
      </c>
      <c r="AL72" s="38">
        <f>ROUNDUP(AA72*VLOOKUP(H72,'Machine List'!$A$2:$D$219,4,FALSE),0)</f>
        <v>30</v>
      </c>
      <c r="AM72" s="38">
        <f>AL72*AK72</f>
        <v>30</v>
      </c>
      <c r="AN72" s="38">
        <f>ROUNDUP(AB72*I74,0)</f>
        <v>1600</v>
      </c>
      <c r="AO72" s="38">
        <f>ROUNDUP(AN72/VLOOKUP(H72,'Machine List'!$A$2:$D$219,3,FALSE),0)</f>
        <v>1600</v>
      </c>
      <c r="AP72" s="38">
        <f>ROUNDUP(AO72/AK72,0)</f>
        <v>1600</v>
      </c>
      <c r="AQ72" s="38">
        <f>AM72*AP72</f>
        <v>48000</v>
      </c>
      <c r="AR72" s="75"/>
      <c r="AS72" s="38" t="s">
        <v>401</v>
      </c>
      <c r="AT72" s="38">
        <f>VLOOKUP(AS72,'Item Helper Sheet'!$A$2:$B$16,2,FALSE)</f>
        <v>4</v>
      </c>
      <c r="AU72" s="38">
        <f>AG72</f>
        <v>1</v>
      </c>
      <c r="AV72" s="38">
        <v>1.0</v>
      </c>
      <c r="AW72" s="38">
        <f>AV72*8*4^AT72</f>
        <v>2048</v>
      </c>
      <c r="AX72" s="38">
        <f>MIN(ROUNDDOWN(AW72/AL72,0),X72)</f>
        <v>1</v>
      </c>
      <c r="AY72" s="38">
        <f>AX72*AU72</f>
        <v>1</v>
      </c>
      <c r="AZ72" s="38">
        <f>AL72</f>
        <v>30</v>
      </c>
      <c r="BA72" s="38">
        <f>MIN(AT72-Z72,IF(AW72&gt;=AZ73*4,
IF(AW72&gt;=AZ73*4^2,
IF(AW72&gt;=AZ73*4^3,
IF(AW72&gt;=AZ73*4^4,
IF(AW72&gt;=AZ73*4^5,
IF(AW72&gt;=AZ73*4^6,
IF(AW72&gt;=AZ73*4^7,
IF(AW72&gt;=AZ73*4^8,
IF(AW72&gt;=AZ73*4^9,
IF(AW72&gt;=AZ73*4^10,
9),
8),
7),
6),
5),
4),
3),
2),
1),
0))</f>
        <v>3</v>
      </c>
      <c r="BB72" s="38">
        <f>AZ72*AX72*4^BA72</f>
        <v>1920</v>
      </c>
      <c r="BC72" s="38">
        <f>BB72*AU72</f>
        <v>1920</v>
      </c>
      <c r="BD72" s="45">
        <f>ROUNDUP(IF(R72="Yes",AN72/(2^((BA72)*2)),AN72/(2^(BA72))),0)</f>
        <v>25</v>
      </c>
      <c r="BE72" s="45">
        <f>ROUNDUP(BD72/VLOOKUP(H72,'Machine List'!$A$2:$D$219,3,FALSE),0)</f>
        <v>25</v>
      </c>
      <c r="BF72" s="45">
        <f>ROUNDUP(BE72/AY72,0)</f>
        <v>25</v>
      </c>
      <c r="BG72" s="46">
        <f>BF72*BC72</f>
        <v>48000</v>
      </c>
      <c r="BH72" s="30"/>
      <c r="BI72" s="28"/>
      <c r="BJ72" s="29"/>
      <c r="BQ72" s="6" t="s">
        <v>82</v>
      </c>
      <c r="BR72" s="6">
        <v>2700.0</v>
      </c>
      <c r="BS72" s="6">
        <f>VLOOKUP(BQ72,'Item List'!$A$2:$D$300,2,FALSE)</f>
        <v>1</v>
      </c>
      <c r="BT72" s="6">
        <f>VLOOKUP(BQ72,'Item List'!$A$2:$D$300,3,FALSE)</f>
        <v>4</v>
      </c>
      <c r="BU72" s="6">
        <f>VLOOKUP(BQ72,'Item List'!$A$2:$D$300,4,FALSE)</f>
        <v>2</v>
      </c>
      <c r="BY72" s="6">
        <f t="shared" si="17"/>
        <v>65640</v>
      </c>
      <c r="BZ72" s="6">
        <f t="shared" si="18"/>
        <v>0.1823333333</v>
      </c>
      <c r="CA72" s="102">
        <f t="shared" si="19"/>
        <v>40.82089552</v>
      </c>
      <c r="CB72" s="102">
        <f t="shared" si="20"/>
        <v>1094</v>
      </c>
      <c r="CC72" s="102">
        <f t="shared" si="21"/>
        <v>182.3333333</v>
      </c>
      <c r="CE72" s="5">
        <f>SUM(BX77:BX92)</f>
        <v>106392</v>
      </c>
      <c r="CF72" s="5">
        <f>SUM(CB77:CB92)</f>
        <v>189501</v>
      </c>
    </row>
    <row r="73">
      <c r="A73" s="29"/>
      <c r="B73" s="40"/>
      <c r="C73" s="41" t="s">
        <v>231</v>
      </c>
      <c r="D73" s="38">
        <f>12000*I74</f>
        <v>120000</v>
      </c>
      <c r="E73" s="38" t="s">
        <v>124</v>
      </c>
      <c r="F73" s="42">
        <f>12000*I74</f>
        <v>120000</v>
      </c>
      <c r="G73" s="43"/>
      <c r="H73" s="99" t="s">
        <v>584</v>
      </c>
      <c r="I73" s="45">
        <f t="array" ref="I73">match(TRUE,ISBLANK(F73:F85),0)-1</f>
        <v>2</v>
      </c>
      <c r="J73" s="100" t="s">
        <v>420</v>
      </c>
      <c r="K73" s="100" t="s">
        <v>585</v>
      </c>
      <c r="L73" s="38"/>
      <c r="M73" s="38"/>
      <c r="N73" s="38"/>
      <c r="O73" s="38"/>
      <c r="P73" s="38"/>
      <c r="Q73" s="38"/>
      <c r="R73" s="101"/>
      <c r="S73" s="101"/>
      <c r="T73" s="101"/>
      <c r="U73" s="45"/>
      <c r="V73" s="45"/>
      <c r="W73" s="45"/>
      <c r="X73" s="45"/>
      <c r="Y73" s="45"/>
      <c r="Z73" s="45"/>
      <c r="AA73" s="45"/>
      <c r="AB73" s="45"/>
      <c r="AC73" s="45"/>
      <c r="AD73" s="45"/>
      <c r="AE73" s="79"/>
      <c r="AF73" s="45"/>
      <c r="AG73" s="45"/>
      <c r="AH73" s="45"/>
      <c r="AI73" s="45"/>
      <c r="AJ73" s="45"/>
      <c r="AK73" s="45"/>
      <c r="AL73" s="45"/>
      <c r="AM73" s="45"/>
      <c r="AN73" s="45"/>
      <c r="AO73" s="45"/>
      <c r="AP73" s="45"/>
      <c r="AQ73" s="45"/>
      <c r="AR73" s="79"/>
      <c r="AS73" s="45"/>
      <c r="AT73" s="45"/>
      <c r="AU73" s="45"/>
      <c r="AV73" s="45"/>
      <c r="AW73" s="45"/>
      <c r="AX73" s="45"/>
      <c r="AY73" s="45"/>
      <c r="AZ73" s="45">
        <f>AZ72*AX72</f>
        <v>30</v>
      </c>
      <c r="BA73" s="45"/>
      <c r="BB73" s="45"/>
      <c r="BC73" s="45"/>
      <c r="BD73" s="45"/>
      <c r="BE73" s="45"/>
      <c r="BF73" s="45"/>
      <c r="BG73" s="46"/>
      <c r="BH73" s="30"/>
      <c r="BI73" s="28"/>
      <c r="BJ73" s="29"/>
      <c r="BQ73" s="6" t="s">
        <v>87</v>
      </c>
      <c r="BR73" s="6">
        <v>-230000.0</v>
      </c>
      <c r="BS73" s="6">
        <f>VLOOKUP(BQ73,'Item List'!$A$2:$D$300,2,FALSE)</f>
        <v>1</v>
      </c>
      <c r="BT73" s="6">
        <f>VLOOKUP(BQ73,'Item List'!$A$2:$D$300,3,FALSE)</f>
        <v>4</v>
      </c>
      <c r="BU73" s="6">
        <f>VLOOKUP(BQ73,'Item List'!$A$2:$D$300,4,FALSE)</f>
        <v>1</v>
      </c>
      <c r="CE73" s="98" t="s">
        <v>600</v>
      </c>
      <c r="CF73" s="98" t="s">
        <v>600</v>
      </c>
    </row>
    <row r="74">
      <c r="A74" s="29"/>
      <c r="B74" s="40"/>
      <c r="C74" s="41" t="s">
        <v>87</v>
      </c>
      <c r="D74" s="38">
        <f>2000*I74</f>
        <v>20000</v>
      </c>
      <c r="E74" s="38" t="s">
        <v>88</v>
      </c>
      <c r="F74" s="42">
        <f>1000*I74</f>
        <v>10000</v>
      </c>
      <c r="G74" s="43"/>
      <c r="H74" s="56" t="s">
        <v>502</v>
      </c>
      <c r="I74" s="57">
        <v>10.0</v>
      </c>
      <c r="J74" s="100" t="s">
        <v>424</v>
      </c>
      <c r="K74" s="100">
        <v>0.0</v>
      </c>
      <c r="L74" s="45"/>
      <c r="M74" s="45"/>
      <c r="N74" s="45"/>
      <c r="O74" s="45"/>
      <c r="P74" s="45"/>
      <c r="Q74" s="45"/>
      <c r="R74" s="45"/>
      <c r="S74" s="101"/>
      <c r="T74" s="101"/>
      <c r="U74" s="45"/>
      <c r="V74" s="45"/>
      <c r="W74" s="45"/>
      <c r="X74" s="45"/>
      <c r="Y74" s="45"/>
      <c r="Z74" s="45"/>
      <c r="AA74" s="45"/>
      <c r="AB74" s="45"/>
      <c r="AC74" s="45"/>
      <c r="AD74" s="45"/>
      <c r="AE74" s="79"/>
      <c r="AF74" s="45"/>
      <c r="AG74" s="45"/>
      <c r="AH74" s="45"/>
      <c r="AI74" s="45"/>
      <c r="AJ74" s="45"/>
      <c r="AK74" s="45"/>
      <c r="AL74" s="45"/>
      <c r="AM74" s="45"/>
      <c r="AN74" s="45"/>
      <c r="AO74" s="45"/>
      <c r="AP74" s="45"/>
      <c r="AQ74" s="45"/>
      <c r="AR74" s="79"/>
      <c r="AS74" s="45"/>
      <c r="AT74" s="45"/>
      <c r="AU74" s="45"/>
      <c r="AV74" s="45"/>
      <c r="AW74" s="45"/>
      <c r="AX74" s="45"/>
      <c r="AY74" s="45"/>
      <c r="AZ74" s="45"/>
      <c r="BA74" s="45"/>
      <c r="BB74" s="45"/>
      <c r="BC74" s="45"/>
      <c r="BD74" s="45"/>
      <c r="BE74" s="45"/>
      <c r="BF74" s="45"/>
      <c r="BG74" s="46"/>
      <c r="BH74" s="30"/>
      <c r="BI74" s="28"/>
      <c r="BJ74" s="29"/>
      <c r="BQ74" s="6" t="s">
        <v>88</v>
      </c>
      <c r="BR74" s="6">
        <v>0.0</v>
      </c>
      <c r="BS74" s="6">
        <f>VLOOKUP(BQ74,'Item List'!$A$2:$D$300,2,FALSE)</f>
        <v>1</v>
      </c>
      <c r="BT74" s="6">
        <f>VLOOKUP(BQ74,'Item List'!$A$2:$D$300,3,FALSE)</f>
        <v>4</v>
      </c>
      <c r="BU74" s="6">
        <f>VLOOKUP(BQ74,'Item List'!$A$2:$D$300,4,FALSE)</f>
        <v>2</v>
      </c>
      <c r="CE74" s="5">
        <f>BY94</f>
        <v>1000</v>
      </c>
      <c r="CF74" s="5">
        <f>CC94</f>
        <v>10000</v>
      </c>
    </row>
    <row r="75">
      <c r="A75" s="29"/>
      <c r="B75" s="50"/>
      <c r="C75" s="51"/>
      <c r="D75" s="52"/>
      <c r="E75" s="52"/>
      <c r="F75" s="52"/>
      <c r="G75" s="43"/>
      <c r="H75" s="52"/>
      <c r="I75" s="52"/>
      <c r="J75" s="52"/>
      <c r="K75" s="52"/>
      <c r="L75" s="52"/>
      <c r="M75" s="52"/>
      <c r="N75" s="52"/>
      <c r="O75" s="52"/>
      <c r="P75" s="52"/>
      <c r="Q75" s="52"/>
      <c r="R75" s="52"/>
      <c r="S75" s="52"/>
      <c r="T75" s="52"/>
      <c r="U75" s="52"/>
      <c r="V75" s="52"/>
      <c r="W75" s="52"/>
      <c r="X75" s="52"/>
      <c r="Y75" s="52"/>
      <c r="Z75" s="52"/>
      <c r="AA75" s="52"/>
      <c r="AB75" s="52"/>
      <c r="AC75" s="52"/>
      <c r="AD75" s="52"/>
      <c r="AE75" s="43"/>
      <c r="AF75" s="52"/>
      <c r="AG75" s="52"/>
      <c r="AH75" s="52"/>
      <c r="AI75" s="52"/>
      <c r="AJ75" s="52"/>
      <c r="AK75" s="52"/>
      <c r="AL75" s="52"/>
      <c r="AM75" s="52"/>
      <c r="AN75" s="52"/>
      <c r="AO75" s="52"/>
      <c r="AP75" s="52"/>
      <c r="AQ75" s="52"/>
      <c r="AR75" s="43"/>
      <c r="AS75" s="52"/>
      <c r="AT75" s="52"/>
      <c r="AU75" s="52"/>
      <c r="AV75" s="52"/>
      <c r="AW75" s="52"/>
      <c r="AX75" s="52"/>
      <c r="AY75" s="52"/>
      <c r="AZ75" s="52"/>
      <c r="BA75" s="52"/>
      <c r="BB75" s="52"/>
      <c r="BC75" s="52"/>
      <c r="BD75" s="52"/>
      <c r="BE75" s="52"/>
      <c r="BF75" s="52"/>
      <c r="BG75" s="53"/>
      <c r="BH75" s="30"/>
      <c r="BI75" s="28"/>
      <c r="BJ75" s="29"/>
      <c r="BQ75" s="6" t="s">
        <v>106</v>
      </c>
      <c r="BR75" s="6">
        <v>0.0</v>
      </c>
      <c r="BS75" s="6">
        <f>VLOOKUP(BQ75,'Item List'!$A$2:$D$300,2,FALSE)</f>
        <v>1</v>
      </c>
      <c r="BT75" s="6">
        <f>VLOOKUP(BQ75,'Item List'!$A$2:$D$300,3,FALSE)</f>
        <v>4</v>
      </c>
      <c r="BU75" s="6">
        <f>VLOOKUP(BQ75,'Item List'!$A$2:$D$300,4,FALSE)</f>
        <v>2</v>
      </c>
    </row>
    <row r="76">
      <c r="A76" s="29"/>
      <c r="B76" s="31" t="s">
        <v>601</v>
      </c>
      <c r="C76" s="54"/>
      <c r="D76" s="45"/>
      <c r="E76" s="45"/>
      <c r="F76" s="47"/>
      <c r="G76" s="35"/>
      <c r="H76" s="55" t="s">
        <v>349</v>
      </c>
      <c r="I76" s="38">
        <f>VLOOKUP(H76,'Machine List'!$A$1:$I$300,9,FALSE)</f>
        <v>4000</v>
      </c>
      <c r="J76" s="38">
        <f>IF(VLOOKUP(H76,'Machine List'!$A$1:$I$300,5,FALSE)="Multi",IF(VLOOKUP(H76,'Machine List'!$A$1:$I$300,6,FALSE)="Yes",AG76*3*10^Z76,AG76*(2*3)*10^(Z76-1)),0)</f>
        <v>6</v>
      </c>
      <c r="K76" s="38">
        <f>J76+IF(ISNUMBER(I76),I76,
  SWITCH(
      I76,
      "1T",1*10^Z76,
      "2T",2*10^Z76,
      "3T",3*10^Z76,
      "4T",4*10^Z76,
      "4000+500(7O-5)",4000+500*(7*I77-5),
      "13500 + 16C",13500+16*VLOOKUP(J78,'Machine Helper Sheet'!$G$1:$K$16,5,FALSE),
      1
  )
)</f>
        <v>4006</v>
      </c>
      <c r="L76" s="38">
        <f>IF(VLOOKUP(H76,'Machine List'!$A$1:$I$300,5,FALSE)="Multi",IF(VLOOKUP(H76,'Machine List'!$A$1:$I$300,6,FALSE)="Yes",AU76*3*10^AT76,AU76*(2*3)*10^(AT76-1)),0)</f>
        <v>6000</v>
      </c>
      <c r="M76" s="38">
        <f>L76+IF(ISNUMBER(I76),I76,
  SWITCH(
      I76,
      "1T",1*10^AT76,
      "2T",2*10^AT76,
      "3T",3*10^AT76,
      "4T",4*10^AT76,
      "4000+500(7O-5)",4000+500*(7*I77-5),
      1
  )
)</f>
        <v>10000</v>
      </c>
      <c r="N76" s="38" t="str">
        <f>VLOOKUP(H76,'Machine List'!$A$1:$I$300,8,FALSE)</f>
        <v>Tier</v>
      </c>
      <c r="O76" s="38">
        <f>IF(ISNUMBER(N76),N76,10^Z76)</f>
        <v>10</v>
      </c>
      <c r="P76" s="38">
        <f>IF(ISNUMBER(N76),N76,10^AT76)</f>
        <v>10000</v>
      </c>
      <c r="Q76" s="38">
        <f>VLOOKUP(H76,'Machine List'!$A$1:$B$138,2,FALSE)</f>
        <v>1</v>
      </c>
      <c r="R76" s="38" t="s">
        <v>594</v>
      </c>
      <c r="S76" s="45">
        <f>IF(ISNUMBER(Q76),Q76,
  SWITCH(
      Q76,
      "1",1,
      "2T",Z76*2,
      "4T",Z76*4,
      "6T",Z76*6,
      "8T",Z76*8,
      "10T",Z76*10,
      "12T",Z76*12,
      "14T",Z76*14,
      "16T",Z76*16,
      "2(T+1)",2*(Z76+1),
      "1T*C",Z76*J78,
      1
  )
)</f>
        <v>1</v>
      </c>
      <c r="T76" s="38" t="s">
        <v>277</v>
      </c>
      <c r="U76" s="38">
        <f>IF(OR(T76="No",T76=""),S76,T76)</f>
        <v>1</v>
      </c>
      <c r="V76" s="38">
        <f>IF(ISNUMBER(Q76),Q76,
  SWITCH(
      Q76,
      "1",1,
      "2T",AT76*2,
      "4T",AT76*4,
      "6T",AT76*6,
      "8T",AT76*8,
      "10T",AT76*10,
      "12T",AT76*12,
      "14T",AT76*14,
      "16T",AT76*16,
      "2(T+1)",2*(AT76+1),
      "1T*C",AT76*J78,
      1
  )
)</f>
        <v>1</v>
      </c>
      <c r="W76" s="38" t="str">
        <f>T76</f>
        <v>No</v>
      </c>
      <c r="X76" s="38">
        <f>IF(OR(W76="No",W76=""),V76,W76)</f>
        <v>1</v>
      </c>
      <c r="Y76" s="38" t="s">
        <v>390</v>
      </c>
      <c r="Z76" s="38">
        <f>VLOOKUP(Y76,'Item Helper Sheet'!$A$2:$B$16,2,FALSE)</f>
        <v>1</v>
      </c>
      <c r="AA76" s="38">
        <v>30.0</v>
      </c>
      <c r="AB76" s="38">
        <f>8*20</f>
        <v>160</v>
      </c>
      <c r="AC76" s="38">
        <f>AB76*I78</f>
        <v>4000</v>
      </c>
      <c r="AD76" s="38">
        <f>AA76*AC76</f>
        <v>120000</v>
      </c>
      <c r="AE76" s="75"/>
      <c r="AF76" s="38" t="str">
        <f>Y76</f>
        <v>01 - LV</v>
      </c>
      <c r="AG76" s="38">
        <v>1.0</v>
      </c>
      <c r="AH76" s="38">
        <v>1.0</v>
      </c>
      <c r="AI76" s="38">
        <f>AH76*8*4^Z76</f>
        <v>32</v>
      </c>
      <c r="AJ76" s="38">
        <f>MIN(ROUNDDOWN(AI76/AL76,0),U76)</f>
        <v>1</v>
      </c>
      <c r="AK76" s="38">
        <f>IF(OR(T76="No",T76=""),AG76*S76,AG76*T76)</f>
        <v>1</v>
      </c>
      <c r="AL76" s="38">
        <f>ROUNDUP(AA76*VLOOKUP(H76,'Machine List'!$A$2:$D$219,4,FALSE),0)</f>
        <v>30</v>
      </c>
      <c r="AM76" s="38">
        <f>AL76*AK76</f>
        <v>30</v>
      </c>
      <c r="AN76" s="38">
        <f>ROUNDUP(AB76*I78,0)</f>
        <v>4000</v>
      </c>
      <c r="AO76" s="38">
        <f>ROUNDUP(AN76/VLOOKUP(H76,'Machine List'!$A$2:$D$219,3,FALSE),0)</f>
        <v>4000</v>
      </c>
      <c r="AP76" s="38">
        <f>ROUNDUP(AO76/AK76,0)</f>
        <v>4000</v>
      </c>
      <c r="AQ76" s="38">
        <f>AM76*AP76</f>
        <v>120000</v>
      </c>
      <c r="AR76" s="75"/>
      <c r="AS76" s="38" t="s">
        <v>401</v>
      </c>
      <c r="AT76" s="38">
        <f>VLOOKUP(AS76,'Item Helper Sheet'!$A$2:$B$16,2,FALSE)</f>
        <v>4</v>
      </c>
      <c r="AU76" s="38">
        <f>AG76</f>
        <v>1</v>
      </c>
      <c r="AV76" s="38">
        <v>1.0</v>
      </c>
      <c r="AW76" s="38">
        <f>AV76*8*4^AT76</f>
        <v>2048</v>
      </c>
      <c r="AX76" s="38">
        <f>MIN(ROUNDDOWN(AW76/AL76,0),X76)</f>
        <v>1</v>
      </c>
      <c r="AY76" s="38">
        <f>AX76*AU76</f>
        <v>1</v>
      </c>
      <c r="AZ76" s="38">
        <f>AL76</f>
        <v>30</v>
      </c>
      <c r="BA76" s="38">
        <f>MIN(AT76-Z76,IF(AW76&gt;=AZ77*4,
IF(AW76&gt;=AZ77*4^2,
IF(AW76&gt;=AZ77*4^3,
IF(AW76&gt;=AZ77*4^4,
IF(AW76&gt;=AZ77*4^5,
IF(AW76&gt;=AZ77*4^6,
IF(AW76&gt;=AZ77*4^7,
IF(AW76&gt;=AZ77*4^8,
IF(AW76&gt;=AZ77*4^9,
IF(AW76&gt;=AZ77*4^10,
9),
8),
7),
6),
5),
4),
3),
2),
1),
0))</f>
        <v>3</v>
      </c>
      <c r="BB76" s="38">
        <f>AZ76*AX76*4^BA76</f>
        <v>1920</v>
      </c>
      <c r="BC76" s="38">
        <f>BB76*AU76</f>
        <v>1920</v>
      </c>
      <c r="BD76" s="45">
        <f>ROUNDUP(IF(R76="Yes",AN76/(2^((BA76)*2)),AN76/(2^(BA76))),0)</f>
        <v>63</v>
      </c>
      <c r="BE76" s="45">
        <f>ROUNDUP(BD76/VLOOKUP(H76,'Machine List'!$A$2:$D$219,3,FALSE),0)</f>
        <v>63</v>
      </c>
      <c r="BF76" s="45">
        <f>ROUNDUP(BE76/AY76,0)</f>
        <v>63</v>
      </c>
      <c r="BG76" s="46">
        <f>BF76*BC76</f>
        <v>120960</v>
      </c>
      <c r="BH76" s="30"/>
      <c r="BI76" s="28"/>
      <c r="BJ76" s="29"/>
      <c r="BQ76" s="6" t="s">
        <v>118</v>
      </c>
      <c r="BR76" s="6">
        <v>18900.0</v>
      </c>
      <c r="BS76" s="6">
        <f>VLOOKUP(BQ76,'Item List'!$A$2:$D$300,2,FALSE)</f>
        <v>1</v>
      </c>
      <c r="BT76" s="6">
        <f>VLOOKUP(BQ76,'Item List'!$A$2:$D$300,3,FALSE)</f>
        <v>4</v>
      </c>
      <c r="BU76" s="6">
        <f>VLOOKUP(BQ76,'Item List'!$A$2:$D$300,4,FALSE)</f>
        <v>2</v>
      </c>
      <c r="BW76" s="6" t="s">
        <v>457</v>
      </c>
      <c r="BX76" s="6" t="s">
        <v>607</v>
      </c>
      <c r="BY76" s="6" t="s">
        <v>545</v>
      </c>
      <c r="CA76" s="6" t="s">
        <v>457</v>
      </c>
      <c r="CB76" s="6" t="s">
        <v>620</v>
      </c>
      <c r="CC76" s="6" t="s">
        <v>546</v>
      </c>
      <c r="CE76" s="98" t="s">
        <v>602</v>
      </c>
      <c r="CF76" s="98" t="s">
        <v>583</v>
      </c>
      <c r="CG76" s="98" t="s">
        <v>603</v>
      </c>
      <c r="CH76" s="98" t="s">
        <v>604</v>
      </c>
    </row>
    <row r="77">
      <c r="A77" s="29"/>
      <c r="B77" s="40"/>
      <c r="C77" s="41" t="s">
        <v>230</v>
      </c>
      <c r="D77" s="38">
        <f>12000*I78</f>
        <v>300000</v>
      </c>
      <c r="E77" s="38" t="s">
        <v>106</v>
      </c>
      <c r="F77" s="42">
        <f>12000*I78</f>
        <v>300000</v>
      </c>
      <c r="G77" s="43"/>
      <c r="H77" s="99" t="s">
        <v>584</v>
      </c>
      <c r="I77" s="45">
        <f t="array" ref="I77">match(TRUE,ISBLANK(F77:F89),0)-1</f>
        <v>2</v>
      </c>
      <c r="J77" s="100" t="s">
        <v>420</v>
      </c>
      <c r="K77" s="100" t="s">
        <v>585</v>
      </c>
      <c r="L77" s="38"/>
      <c r="M77" s="38"/>
      <c r="N77" s="38"/>
      <c r="O77" s="38"/>
      <c r="P77" s="38"/>
      <c r="Q77" s="38"/>
      <c r="R77" s="101"/>
      <c r="S77" s="101"/>
      <c r="T77" s="101"/>
      <c r="U77" s="45"/>
      <c r="V77" s="45"/>
      <c r="W77" s="45"/>
      <c r="X77" s="45"/>
      <c r="Y77" s="45"/>
      <c r="Z77" s="45"/>
      <c r="AA77" s="45"/>
      <c r="AB77" s="45"/>
      <c r="AC77" s="45"/>
      <c r="AD77" s="45"/>
      <c r="AE77" s="79"/>
      <c r="AF77" s="45"/>
      <c r="AG77" s="45"/>
      <c r="AH77" s="45"/>
      <c r="AI77" s="45"/>
      <c r="AJ77" s="45"/>
      <c r="AK77" s="45"/>
      <c r="AL77" s="45"/>
      <c r="AM77" s="45"/>
      <c r="AN77" s="45"/>
      <c r="AO77" s="45"/>
      <c r="AP77" s="45"/>
      <c r="AQ77" s="45"/>
      <c r="AR77" s="79"/>
      <c r="AS77" s="45"/>
      <c r="AT77" s="45"/>
      <c r="AU77" s="45"/>
      <c r="AV77" s="45"/>
      <c r="AW77" s="45"/>
      <c r="AX77" s="45"/>
      <c r="AY77" s="45"/>
      <c r="AZ77" s="45">
        <f>AZ76*AX76</f>
        <v>30</v>
      </c>
      <c r="BA77" s="45"/>
      <c r="BB77" s="45"/>
      <c r="BC77" s="45"/>
      <c r="BD77" s="45"/>
      <c r="BE77" s="45"/>
      <c r="BF77" s="45"/>
      <c r="BG77" s="46"/>
      <c r="BH77" s="30"/>
      <c r="BI77" s="28"/>
      <c r="BJ77" s="29"/>
      <c r="BQ77" s="6" t="s">
        <v>124</v>
      </c>
      <c r="BR77" s="6">
        <v>120000.0</v>
      </c>
      <c r="BS77" s="6">
        <f>VLOOKUP(BQ77,'Item List'!$A$2:$D$300,2,FALSE)</f>
        <v>1</v>
      </c>
      <c r="BT77" s="6">
        <f>VLOOKUP(BQ77,'Item List'!$A$2:$D$300,3,FALSE)</f>
        <v>4</v>
      </c>
      <c r="BU77" s="6">
        <f>VLOOKUP(BQ77,'Item List'!$A$2:$D$300,4,FALSE)</f>
        <v>2</v>
      </c>
      <c r="BW77" s="6" t="s">
        <v>579</v>
      </c>
      <c r="BX77" s="6">
        <v>19600.0</v>
      </c>
      <c r="BY77" s="6">
        <v>1000.0</v>
      </c>
      <c r="CA77" s="6" t="s">
        <v>579</v>
      </c>
      <c r="CB77" s="6">
        <v>25000.0</v>
      </c>
      <c r="CC77" s="6">
        <v>10000.0</v>
      </c>
      <c r="CE77" s="5" t="str">
        <f t="shared" ref="CE77:CF77" si="22">CE62</f>
        <v>Cetane-Boosted Diesel</v>
      </c>
      <c r="CF77" s="5">
        <f t="shared" si="22"/>
        <v>360000</v>
      </c>
      <c r="CG77" s="4">
        <v>1000.0</v>
      </c>
      <c r="CH77" s="109">
        <v>1.5</v>
      </c>
    </row>
    <row r="78">
      <c r="A78" s="29"/>
      <c r="B78" s="40"/>
      <c r="C78" s="41" t="s">
        <v>87</v>
      </c>
      <c r="D78" s="38">
        <f>2000*I78</f>
        <v>50000</v>
      </c>
      <c r="E78" s="38" t="s">
        <v>88</v>
      </c>
      <c r="F78" s="42">
        <f>1000*I78</f>
        <v>25000</v>
      </c>
      <c r="G78" s="43"/>
      <c r="H78" s="56" t="s">
        <v>502</v>
      </c>
      <c r="I78" s="57">
        <v>25.0</v>
      </c>
      <c r="J78" s="100" t="s">
        <v>424</v>
      </c>
      <c r="K78" s="100">
        <v>0.0</v>
      </c>
      <c r="L78" s="45"/>
      <c r="M78" s="45"/>
      <c r="N78" s="45"/>
      <c r="O78" s="45"/>
      <c r="P78" s="45"/>
      <c r="Q78" s="45"/>
      <c r="R78" s="45"/>
      <c r="S78" s="101"/>
      <c r="T78" s="101"/>
      <c r="U78" s="45"/>
      <c r="V78" s="45"/>
      <c r="W78" s="45"/>
      <c r="X78" s="45"/>
      <c r="Y78" s="45"/>
      <c r="Z78" s="45"/>
      <c r="AA78" s="45"/>
      <c r="AB78" s="45"/>
      <c r="AC78" s="45"/>
      <c r="AD78" s="45"/>
      <c r="AE78" s="79"/>
      <c r="AF78" s="45"/>
      <c r="AG78" s="45"/>
      <c r="AH78" s="45"/>
      <c r="AI78" s="45"/>
      <c r="AJ78" s="45"/>
      <c r="AK78" s="45"/>
      <c r="AL78" s="45"/>
      <c r="AM78" s="45"/>
      <c r="AN78" s="45"/>
      <c r="AO78" s="45"/>
      <c r="AP78" s="45"/>
      <c r="AQ78" s="45"/>
      <c r="AR78" s="79"/>
      <c r="AS78" s="45"/>
      <c r="AT78" s="45"/>
      <c r="AU78" s="45"/>
      <c r="AV78" s="45"/>
      <c r="AW78" s="45"/>
      <c r="AX78" s="45"/>
      <c r="AY78" s="45"/>
      <c r="AZ78" s="45"/>
      <c r="BA78" s="45"/>
      <c r="BB78" s="45"/>
      <c r="BC78" s="45"/>
      <c r="BD78" s="45"/>
      <c r="BE78" s="45"/>
      <c r="BF78" s="45"/>
      <c r="BG78" s="46"/>
      <c r="BH78" s="69"/>
      <c r="BI78" s="28"/>
      <c r="BJ78" s="29"/>
      <c r="BQ78" s="6" t="s">
        <v>125</v>
      </c>
      <c r="BR78" s="6">
        <v>15000.0</v>
      </c>
      <c r="BS78" s="6">
        <f>VLOOKUP(BQ78,'Item List'!$A$2:$D$300,2,FALSE)</f>
        <v>3</v>
      </c>
      <c r="BT78" s="6">
        <f>VLOOKUP(BQ78,'Item List'!$A$2:$D$300,3,FALSE)</f>
        <v>2</v>
      </c>
      <c r="BU78" s="6">
        <f>VLOOKUP(BQ78,'Item List'!$A$2:$D$300,4,FALSE)</f>
        <v>2</v>
      </c>
      <c r="BW78" s="6" t="s">
        <v>593</v>
      </c>
      <c r="BX78" s="6">
        <v>4006.0</v>
      </c>
      <c r="BY78" s="6">
        <v>10.0</v>
      </c>
      <c r="CA78" s="6" t="s">
        <v>593</v>
      </c>
      <c r="CB78" s="6">
        <v>10000.0</v>
      </c>
      <c r="CC78" s="6">
        <v>10000.0</v>
      </c>
      <c r="CD78" s="102"/>
      <c r="CH78" s="5"/>
    </row>
    <row r="79">
      <c r="A79" s="29"/>
      <c r="B79" s="50"/>
      <c r="C79" s="51"/>
      <c r="D79" s="52"/>
      <c r="E79" s="52"/>
      <c r="F79" s="52"/>
      <c r="G79" s="43"/>
      <c r="H79" s="52"/>
      <c r="I79" s="52"/>
      <c r="J79" s="52"/>
      <c r="K79" s="52"/>
      <c r="L79" s="52"/>
      <c r="M79" s="52"/>
      <c r="N79" s="52"/>
      <c r="O79" s="52"/>
      <c r="P79" s="52"/>
      <c r="Q79" s="52"/>
      <c r="R79" s="52"/>
      <c r="S79" s="52"/>
      <c r="T79" s="52"/>
      <c r="U79" s="52"/>
      <c r="V79" s="52"/>
      <c r="W79" s="52"/>
      <c r="X79" s="52"/>
      <c r="Y79" s="52"/>
      <c r="Z79" s="52"/>
      <c r="AA79" s="52"/>
      <c r="AB79" s="52"/>
      <c r="AC79" s="52"/>
      <c r="AD79" s="52"/>
      <c r="AE79" s="43"/>
      <c r="AF79" s="52"/>
      <c r="AG79" s="52"/>
      <c r="AH79" s="52"/>
      <c r="AI79" s="52"/>
      <c r="AJ79" s="52"/>
      <c r="AK79" s="52"/>
      <c r="AL79" s="52"/>
      <c r="AM79" s="52"/>
      <c r="AN79" s="52"/>
      <c r="AO79" s="52"/>
      <c r="AP79" s="52"/>
      <c r="AQ79" s="52"/>
      <c r="AR79" s="43"/>
      <c r="AS79" s="52"/>
      <c r="AT79" s="52"/>
      <c r="AU79" s="52"/>
      <c r="AV79" s="52"/>
      <c r="AW79" s="52"/>
      <c r="AX79" s="52"/>
      <c r="AY79" s="52"/>
      <c r="AZ79" s="52"/>
      <c r="BA79" s="52"/>
      <c r="BB79" s="52"/>
      <c r="BC79" s="52"/>
      <c r="BD79" s="52"/>
      <c r="BE79" s="52"/>
      <c r="BF79" s="52"/>
      <c r="BG79" s="53"/>
      <c r="BH79" s="70"/>
      <c r="BI79" s="28"/>
      <c r="BJ79" s="29"/>
      <c r="BQ79" s="6" t="s">
        <v>130</v>
      </c>
      <c r="BR79" s="6">
        <v>0.0</v>
      </c>
      <c r="BS79" s="6">
        <f>VLOOKUP(BQ79,'Item List'!$A$2:$D$300,2,FALSE)</f>
        <v>3</v>
      </c>
      <c r="BT79" s="6">
        <f>VLOOKUP(BQ79,'Item List'!$A$2:$D$300,3,FALSE)</f>
        <v>5</v>
      </c>
      <c r="BU79" s="6">
        <f>VLOOKUP(BQ79,'Item List'!$A$2:$D$300,4,FALSE)</f>
        <v>2</v>
      </c>
      <c r="BW79" s="6" t="s">
        <v>599</v>
      </c>
      <c r="BX79" s="6">
        <v>4006.0</v>
      </c>
      <c r="BY79" s="6">
        <v>10.0</v>
      </c>
      <c r="CA79" s="6" t="s">
        <v>599</v>
      </c>
      <c r="CB79" s="6">
        <v>10000.0</v>
      </c>
      <c r="CC79" s="6">
        <v>10000.0</v>
      </c>
      <c r="CE79" s="98" t="s">
        <v>608</v>
      </c>
      <c r="CF79" s="98" t="s">
        <v>609</v>
      </c>
      <c r="CG79" s="98" t="s">
        <v>610</v>
      </c>
      <c r="CH79" s="5"/>
    </row>
    <row r="80">
      <c r="A80" s="29"/>
      <c r="B80" s="31" t="s">
        <v>611</v>
      </c>
      <c r="C80" s="54"/>
      <c r="D80" s="45"/>
      <c r="E80" s="45"/>
      <c r="F80" s="47"/>
      <c r="G80" s="35"/>
      <c r="H80" s="55" t="s">
        <v>349</v>
      </c>
      <c r="I80" s="38">
        <f>VLOOKUP(H80,'Machine List'!$A$1:$I$300,9,FALSE)</f>
        <v>4000</v>
      </c>
      <c r="J80" s="38">
        <f>IF(VLOOKUP(H80,'Machine List'!$A$1:$I$300,5,FALSE)="Multi",IF(VLOOKUP(H80,'Machine List'!$A$1:$I$300,6,FALSE)="Yes",AG80*3*10^Z80,AG80*(2*3)*10^(Z80-1)),0)</f>
        <v>6</v>
      </c>
      <c r="K80" s="38">
        <f>J80+IF(ISNUMBER(I80),I80,
  SWITCH(
      I80,
      "1T",1*10^Z80,
      "2T",2*10^Z80,
      "3T",3*10^Z80,
      "4T",4*10^Z80,
      "4000+500(7O-5)",4000+500*(7*I81-5),
      "13500 + 16C",13500+16*VLOOKUP(J82,'Machine Helper Sheet'!$G$1:$K$16,5,FALSE),
      1
  )
)</f>
        <v>4006</v>
      </c>
      <c r="L80" s="38">
        <f>IF(VLOOKUP(H80,'Machine List'!$A$1:$I$300,5,FALSE)="Multi",IF(VLOOKUP(H80,'Machine List'!$A$1:$I$300,6,FALSE)="Yes",AU80*3*10^AT80,AU80*(2*3)*10^(AT80-1)),0)</f>
        <v>6000</v>
      </c>
      <c r="M80" s="38">
        <f>L80+IF(ISNUMBER(I80),I80,
  SWITCH(
      I80,
      "1T",1*10^AT80,
      "2T",2*10^AT80,
      "3T",3*10^AT80,
      "4T",4*10^AT80,
      "4000+500(7O-5)",4000+500*(7*I81-5),
      1
  )
)</f>
        <v>10000</v>
      </c>
      <c r="N80" s="38" t="str">
        <f>VLOOKUP(H80,'Machine List'!$A$1:$I$300,8,FALSE)</f>
        <v>Tier</v>
      </c>
      <c r="O80" s="38">
        <f>IF(ISNUMBER(N80),N80,10^Z80)</f>
        <v>10</v>
      </c>
      <c r="P80" s="38">
        <f>IF(ISNUMBER(N80),N80,10^AT80)</f>
        <v>10000</v>
      </c>
      <c r="Q80" s="38">
        <f>VLOOKUP(H80,'Machine List'!$A$1:$B$138,2,FALSE)</f>
        <v>1</v>
      </c>
      <c r="R80" s="38" t="s">
        <v>594</v>
      </c>
      <c r="S80" s="45">
        <f>IF(ISNUMBER(Q80),Q80,
  SWITCH(
      Q80,
      "1",1,
      "2T",Z80*2,
      "4T",Z80*4,
      "6T",Z80*6,
      "8T",Z80*8,
      "10T",Z80*10,
      "12T",Z80*12,
      "14T",Z80*14,
      "16T",Z80*16,
      "2(T+1)",2*(Z80+1),
      "1T*C",Z80*J82,
      1
  )
)</f>
        <v>1</v>
      </c>
      <c r="T80" s="38" t="s">
        <v>277</v>
      </c>
      <c r="U80" s="38">
        <f>IF(OR(T80="No",T80=""),S80,T80)</f>
        <v>1</v>
      </c>
      <c r="V80" s="38">
        <f>IF(ISNUMBER(Q80),Q80,
  SWITCH(
      Q80,
      "1",1,
      "2T",AT80*2,
      "4T",AT80*4,
      "6T",AT80*6,
      "8T",AT80*8,
      "10T",AT80*10,
      "12T",AT80*12,
      "14T",AT80*14,
      "16T",AT80*16,
      "2(T+1)",2*(AT80+1),
      "1T*C",AT80*J82,
      1
  )
)</f>
        <v>1</v>
      </c>
      <c r="W80" s="38" t="str">
        <f>T80</f>
        <v>No</v>
      </c>
      <c r="X80" s="38">
        <f>IF(OR(W80="No",W80=""),V80,W80)</f>
        <v>1</v>
      </c>
      <c r="Y80" s="38" t="s">
        <v>390</v>
      </c>
      <c r="Z80" s="38">
        <f>VLOOKUP(Y80,'Item Helper Sheet'!$A$2:$B$16,2,FALSE)</f>
        <v>1</v>
      </c>
      <c r="AA80" s="38">
        <v>30.0</v>
      </c>
      <c r="AB80" s="38">
        <f>8*20</f>
        <v>160</v>
      </c>
      <c r="AC80" s="38">
        <f>AB80*I82</f>
        <v>1600</v>
      </c>
      <c r="AD80" s="38">
        <f>AA80*AC80</f>
        <v>48000</v>
      </c>
      <c r="AE80" s="75"/>
      <c r="AF80" s="38" t="str">
        <f>Y80</f>
        <v>01 - LV</v>
      </c>
      <c r="AG80" s="38">
        <v>1.0</v>
      </c>
      <c r="AH80" s="38">
        <v>1.0</v>
      </c>
      <c r="AI80" s="38">
        <f>AH80*8*4^Z80</f>
        <v>32</v>
      </c>
      <c r="AJ80" s="38">
        <f>MIN(ROUNDDOWN(AI80/AL80,0),U80)</f>
        <v>1</v>
      </c>
      <c r="AK80" s="38">
        <f>IF(OR(T80="No",T80=""),AG80*S80,AG80*T80)</f>
        <v>1</v>
      </c>
      <c r="AL80" s="38">
        <f>ROUNDUP(AA80*VLOOKUP(H80,'Machine List'!$A$2:$D$219,4,FALSE),0)</f>
        <v>30</v>
      </c>
      <c r="AM80" s="38">
        <f>AL80*AK80</f>
        <v>30</v>
      </c>
      <c r="AN80" s="38">
        <f>ROUNDUP(AB80*I82,0)</f>
        <v>1600</v>
      </c>
      <c r="AO80" s="38">
        <f>ROUNDUP(AN80/VLOOKUP(H80,'Machine List'!$A$2:$D$219,3,FALSE),0)</f>
        <v>1600</v>
      </c>
      <c r="AP80" s="38">
        <f>ROUNDUP(AO80/AK80,0)</f>
        <v>1600</v>
      </c>
      <c r="AQ80" s="38">
        <f>AM80*AP80</f>
        <v>48000</v>
      </c>
      <c r="AR80" s="75"/>
      <c r="AS80" s="38" t="s">
        <v>401</v>
      </c>
      <c r="AT80" s="38">
        <f>VLOOKUP(AS80,'Item Helper Sheet'!$A$2:$B$16,2,FALSE)</f>
        <v>4</v>
      </c>
      <c r="AU80" s="38">
        <f>AG80</f>
        <v>1</v>
      </c>
      <c r="AV80" s="38">
        <v>1.0</v>
      </c>
      <c r="AW80" s="38">
        <f>AV80*8*4^AT80</f>
        <v>2048</v>
      </c>
      <c r="AX80" s="38">
        <f>MIN(ROUNDDOWN(AW80/AL80,0),X80)</f>
        <v>1</v>
      </c>
      <c r="AY80" s="38">
        <f>AX80*AU80</f>
        <v>1</v>
      </c>
      <c r="AZ80" s="38">
        <f>AL80</f>
        <v>30</v>
      </c>
      <c r="BA80" s="38">
        <f>MIN(AT80-Z80,IF(AW80&gt;=AZ81*4,
IF(AW80&gt;=AZ81*4^2,
IF(AW80&gt;=AZ81*4^3,
IF(AW80&gt;=AZ81*4^4,
IF(AW80&gt;=AZ81*4^5,
IF(AW80&gt;=AZ81*4^6,
IF(AW80&gt;=AZ81*4^7,
IF(AW80&gt;=AZ81*4^8,
IF(AW80&gt;=AZ81*4^9,
IF(AW80&gt;=AZ81*4^10,
9),
8),
7),
6),
5),
4),
3),
2),
1),
0))</f>
        <v>3</v>
      </c>
      <c r="BB80" s="38">
        <f>AZ80*AX80*4^BA80</f>
        <v>1920</v>
      </c>
      <c r="BC80" s="38">
        <f>BB80*AU80</f>
        <v>1920</v>
      </c>
      <c r="BD80" s="45">
        <f>ROUNDUP(IF(R80="Yes",AN80/(2^((BA80)*2)),AN80/(2^(BA80))),0)</f>
        <v>25</v>
      </c>
      <c r="BE80" s="45">
        <f>ROUNDUP(BD80/VLOOKUP(H80,'Machine List'!$A$2:$D$219,3,FALSE),0)</f>
        <v>25</v>
      </c>
      <c r="BF80" s="45">
        <f>ROUNDUP(BE80/AY80,0)</f>
        <v>25</v>
      </c>
      <c r="BG80" s="46">
        <f>BF80*BC80</f>
        <v>48000</v>
      </c>
      <c r="BH80" s="30"/>
      <c r="BI80" s="28"/>
      <c r="BJ80" s="29"/>
      <c r="BQ80" s="6" t="s">
        <v>132</v>
      </c>
      <c r="BR80" s="6">
        <v>-32000.0</v>
      </c>
      <c r="BS80" s="6">
        <f>VLOOKUP(BQ80,'Item List'!$A$2:$D$300,2,FALSE)</f>
        <v>1</v>
      </c>
      <c r="BT80" s="6">
        <f>VLOOKUP(BQ80,'Item List'!$A$2:$D$300,3,FALSE)</f>
        <v>4</v>
      </c>
      <c r="BU80" s="6">
        <f>VLOOKUP(BQ80,'Item List'!$A$2:$D$300,4,FALSE)</f>
        <v>1</v>
      </c>
      <c r="BW80" s="6" t="s">
        <v>601</v>
      </c>
      <c r="BX80" s="6">
        <v>4006.0</v>
      </c>
      <c r="BY80" s="6">
        <v>10.0</v>
      </c>
      <c r="CA80" s="6" t="s">
        <v>601</v>
      </c>
      <c r="CB80" s="6">
        <v>10000.0</v>
      </c>
      <c r="CC80" s="6">
        <v>10000.0</v>
      </c>
      <c r="CE80" s="5">
        <f>CF77*CG77*CH77</f>
        <v>540000000</v>
      </c>
      <c r="CF80" s="5">
        <f>BM113</f>
        <v>29657280</v>
      </c>
      <c r="CG80" s="110">
        <f>1-(CF80/CE80)</f>
        <v>0.9450791111</v>
      </c>
      <c r="CH80" s="5"/>
    </row>
    <row r="81">
      <c r="A81" s="29"/>
      <c r="B81" s="40"/>
      <c r="C81" s="41" t="s">
        <v>229</v>
      </c>
      <c r="D81" s="38">
        <f>8000*I82</f>
        <v>80000</v>
      </c>
      <c r="E81" s="38" t="s">
        <v>81</v>
      </c>
      <c r="F81" s="42">
        <f>8000*I82</f>
        <v>80000</v>
      </c>
      <c r="G81" s="43"/>
      <c r="H81" s="99" t="s">
        <v>584</v>
      </c>
      <c r="I81" s="45">
        <f t="array" ref="I81">match(TRUE,ISBLANK(F81:F93),0)-1</f>
        <v>2</v>
      </c>
      <c r="J81" s="100" t="s">
        <v>420</v>
      </c>
      <c r="K81" s="100" t="s">
        <v>585</v>
      </c>
      <c r="L81" s="38"/>
      <c r="M81" s="38"/>
      <c r="N81" s="38"/>
      <c r="O81" s="38"/>
      <c r="P81" s="38"/>
      <c r="Q81" s="38"/>
      <c r="R81" s="101"/>
      <c r="S81" s="101"/>
      <c r="T81" s="101"/>
      <c r="U81" s="45"/>
      <c r="V81" s="45"/>
      <c r="W81" s="45"/>
      <c r="X81" s="45"/>
      <c r="Y81" s="45"/>
      <c r="Z81" s="45"/>
      <c r="AA81" s="45"/>
      <c r="AB81" s="45"/>
      <c r="AC81" s="45"/>
      <c r="AD81" s="45"/>
      <c r="AE81" s="79"/>
      <c r="AF81" s="45"/>
      <c r="AG81" s="45"/>
      <c r="AH81" s="45"/>
      <c r="AI81" s="45"/>
      <c r="AJ81" s="45"/>
      <c r="AK81" s="45"/>
      <c r="AL81" s="45"/>
      <c r="AM81" s="45"/>
      <c r="AN81" s="45"/>
      <c r="AO81" s="45"/>
      <c r="AP81" s="45"/>
      <c r="AQ81" s="45"/>
      <c r="AR81" s="79"/>
      <c r="AS81" s="45"/>
      <c r="AT81" s="45"/>
      <c r="AU81" s="45"/>
      <c r="AV81" s="45"/>
      <c r="AW81" s="45"/>
      <c r="AX81" s="45"/>
      <c r="AY81" s="45"/>
      <c r="AZ81" s="45">
        <f>AZ80*AX80</f>
        <v>30</v>
      </c>
      <c r="BA81" s="45"/>
      <c r="BB81" s="45"/>
      <c r="BC81" s="45"/>
      <c r="BD81" s="45"/>
      <c r="BE81" s="45"/>
      <c r="BF81" s="45"/>
      <c r="BG81" s="46"/>
      <c r="BH81" s="30"/>
      <c r="BI81" s="28"/>
      <c r="BJ81" s="29"/>
      <c r="BQ81" s="6" t="s">
        <v>138</v>
      </c>
      <c r="BR81" s="6">
        <v>-300000.0</v>
      </c>
      <c r="BS81" s="6">
        <f>VLOOKUP(BQ81,'Item List'!$A$2:$D$300,2,FALSE)</f>
        <v>1</v>
      </c>
      <c r="BT81" s="6">
        <f>VLOOKUP(BQ81,'Item List'!$A$2:$D$300,3,FALSE)</f>
        <v>4</v>
      </c>
      <c r="BU81" s="6">
        <f>VLOOKUP(BQ81,'Item List'!$A$2:$D$300,4,FALSE)</f>
        <v>1</v>
      </c>
      <c r="BW81" s="6" t="s">
        <v>611</v>
      </c>
      <c r="BX81" s="6">
        <v>4006.0</v>
      </c>
      <c r="BY81" s="6">
        <v>10.0</v>
      </c>
      <c r="CA81" s="6" t="s">
        <v>611</v>
      </c>
      <c r="CB81" s="6">
        <v>10000.0</v>
      </c>
      <c r="CC81" s="6">
        <v>10000.0</v>
      </c>
      <c r="CH81" s="5"/>
    </row>
    <row r="82">
      <c r="A82" s="29"/>
      <c r="B82" s="40"/>
      <c r="C82" s="41" t="s">
        <v>87</v>
      </c>
      <c r="D82" s="38">
        <f>2000*I82</f>
        <v>20000</v>
      </c>
      <c r="E82" s="38" t="s">
        <v>88</v>
      </c>
      <c r="F82" s="42">
        <f>1000*I82</f>
        <v>10000</v>
      </c>
      <c r="G82" s="43"/>
      <c r="H82" s="56" t="s">
        <v>502</v>
      </c>
      <c r="I82" s="57">
        <v>10.0</v>
      </c>
      <c r="J82" s="100" t="s">
        <v>424</v>
      </c>
      <c r="K82" s="100">
        <v>0.0</v>
      </c>
      <c r="L82" s="45"/>
      <c r="M82" s="45"/>
      <c r="N82" s="45"/>
      <c r="O82" s="45"/>
      <c r="P82" s="45"/>
      <c r="Q82" s="45"/>
      <c r="R82" s="45"/>
      <c r="S82" s="101"/>
      <c r="T82" s="101"/>
      <c r="U82" s="45"/>
      <c r="V82" s="45"/>
      <c r="W82" s="45"/>
      <c r="X82" s="45"/>
      <c r="Y82" s="45"/>
      <c r="Z82" s="45"/>
      <c r="AA82" s="45"/>
      <c r="AB82" s="45"/>
      <c r="AC82" s="45"/>
      <c r="AD82" s="45"/>
      <c r="AE82" s="79"/>
      <c r="AF82" s="45"/>
      <c r="AG82" s="45"/>
      <c r="AH82" s="45"/>
      <c r="AI82" s="45"/>
      <c r="AJ82" s="45"/>
      <c r="AK82" s="45"/>
      <c r="AL82" s="45"/>
      <c r="AM82" s="45"/>
      <c r="AN82" s="45"/>
      <c r="AO82" s="45"/>
      <c r="AP82" s="45"/>
      <c r="AQ82" s="45"/>
      <c r="AR82" s="79"/>
      <c r="AS82" s="45"/>
      <c r="AT82" s="45"/>
      <c r="AU82" s="45"/>
      <c r="AV82" s="45"/>
      <c r="AW82" s="45"/>
      <c r="AX82" s="45"/>
      <c r="AY82" s="45"/>
      <c r="AZ82" s="45"/>
      <c r="BA82" s="45"/>
      <c r="BB82" s="45"/>
      <c r="BC82" s="45"/>
      <c r="BD82" s="45"/>
      <c r="BE82" s="45"/>
      <c r="BF82" s="45"/>
      <c r="BG82" s="46"/>
      <c r="BH82" s="30"/>
      <c r="BI82" s="28"/>
      <c r="BJ82" s="29"/>
      <c r="BQ82" s="6" t="s">
        <v>142</v>
      </c>
      <c r="BR82" s="6">
        <v>-400000.0</v>
      </c>
      <c r="BS82" s="6">
        <f>VLOOKUP(BQ82,'Item List'!$A$2:$D$300,2,FALSE)</f>
        <v>1</v>
      </c>
      <c r="BT82" s="6">
        <f>VLOOKUP(BQ82,'Item List'!$A$2:$D$300,3,FALSE)</f>
        <v>5</v>
      </c>
      <c r="BU82" s="6">
        <f>VLOOKUP(BQ82,'Item List'!$A$2:$D$300,4,FALSE)</f>
        <v>1</v>
      </c>
      <c r="BW82" s="6" t="s">
        <v>615</v>
      </c>
      <c r="BX82" s="6">
        <v>4006.0</v>
      </c>
      <c r="BY82" s="6">
        <v>10.0</v>
      </c>
      <c r="CA82" s="6" t="s">
        <v>615</v>
      </c>
      <c r="CB82" s="6">
        <v>10000.0</v>
      </c>
      <c r="CC82" s="6">
        <v>10000.0</v>
      </c>
      <c r="CE82" s="98" t="s">
        <v>612</v>
      </c>
      <c r="CF82" s="98" t="s">
        <v>613</v>
      </c>
      <c r="CG82" s="98" t="s">
        <v>614</v>
      </c>
    </row>
    <row r="83">
      <c r="B83" s="50"/>
      <c r="C83" s="51"/>
      <c r="D83" s="52"/>
      <c r="E83" s="52"/>
      <c r="F83" s="52"/>
      <c r="G83" s="43"/>
      <c r="H83" s="52"/>
      <c r="I83" s="52"/>
      <c r="J83" s="52"/>
      <c r="K83" s="52"/>
      <c r="L83" s="52"/>
      <c r="M83" s="52"/>
      <c r="N83" s="52"/>
      <c r="O83" s="52"/>
      <c r="P83" s="52"/>
      <c r="Q83" s="52"/>
      <c r="R83" s="52"/>
      <c r="S83" s="52"/>
      <c r="T83" s="52"/>
      <c r="U83" s="52"/>
      <c r="V83" s="52"/>
      <c r="W83" s="52"/>
      <c r="X83" s="52"/>
      <c r="Y83" s="52"/>
      <c r="Z83" s="52"/>
      <c r="AA83" s="52"/>
      <c r="AB83" s="52"/>
      <c r="AC83" s="52"/>
      <c r="AD83" s="52"/>
      <c r="AE83" s="43"/>
      <c r="AF83" s="52"/>
      <c r="AG83" s="52"/>
      <c r="AH83" s="52"/>
      <c r="AI83" s="52"/>
      <c r="AJ83" s="52"/>
      <c r="AK83" s="52"/>
      <c r="AL83" s="52"/>
      <c r="AM83" s="52"/>
      <c r="AN83" s="52"/>
      <c r="AO83" s="52"/>
      <c r="AP83" s="52"/>
      <c r="AQ83" s="52"/>
      <c r="AR83" s="43"/>
      <c r="AS83" s="52"/>
      <c r="AT83" s="52"/>
      <c r="AU83" s="52"/>
      <c r="AV83" s="52"/>
      <c r="AW83" s="52"/>
      <c r="AX83" s="52"/>
      <c r="AY83" s="52"/>
      <c r="AZ83" s="52"/>
      <c r="BA83" s="52"/>
      <c r="BB83" s="52"/>
      <c r="BC83" s="52"/>
      <c r="BD83" s="52"/>
      <c r="BE83" s="52"/>
      <c r="BF83" s="52"/>
      <c r="BG83" s="53"/>
      <c r="BI83" s="28"/>
      <c r="BQ83" s="6" t="s">
        <v>162</v>
      </c>
      <c r="BR83" s="6">
        <v>270.0</v>
      </c>
      <c r="BS83" s="6">
        <f>VLOOKUP(BQ83,'Item List'!$A$2:$D$300,2,FALSE)</f>
        <v>1</v>
      </c>
      <c r="BT83" s="6">
        <f>VLOOKUP(BQ83,'Item List'!$A$2:$D$300,3,FALSE)</f>
        <v>4</v>
      </c>
      <c r="BU83" s="6">
        <f>VLOOKUP(BQ83,'Item List'!$A$2:$D$300,4,FALSE)</f>
        <v>2</v>
      </c>
      <c r="BW83" s="6" t="s">
        <v>616</v>
      </c>
      <c r="BX83" s="102">
        <v>4600.0</v>
      </c>
      <c r="BY83" s="6">
        <v>1000.0</v>
      </c>
      <c r="CA83" s="6" t="s">
        <v>616</v>
      </c>
      <c r="CB83" s="102">
        <v>10000.0</v>
      </c>
      <c r="CC83" s="6">
        <v>10000.0</v>
      </c>
      <c r="CE83" s="5">
        <f>CE80-CF80</f>
        <v>510342720</v>
      </c>
      <c r="CF83" s="5">
        <f>BP114</f>
        <v>9600</v>
      </c>
      <c r="CG83" s="5">
        <f>CE83/CF83</f>
        <v>53160.7</v>
      </c>
    </row>
    <row r="84">
      <c r="B84" s="31" t="s">
        <v>615</v>
      </c>
      <c r="C84" s="54"/>
      <c r="D84" s="45"/>
      <c r="E84" s="45"/>
      <c r="F84" s="47"/>
      <c r="G84" s="35"/>
      <c r="H84" s="55" t="s">
        <v>349</v>
      </c>
      <c r="I84" s="38">
        <f>VLOOKUP(H84,'Machine List'!$A$1:$I$300,9,FALSE)</f>
        <v>4000</v>
      </c>
      <c r="J84" s="38">
        <f>IF(VLOOKUP(H84,'Machine List'!$A$1:$I$300,5,FALSE)="Multi",IF(VLOOKUP(H84,'Machine List'!$A$1:$I$300,6,FALSE)="Yes",AG84*3*10^Z84,AG84*(2*3)*10^(Z84-1)),0)</f>
        <v>6</v>
      </c>
      <c r="K84" s="38">
        <f>J84+IF(ISNUMBER(I84),I84,
  SWITCH(
      I84,
      "1T",1*10^Z84,
      "2T",2*10^Z84,
      "3T",3*10^Z84,
      "4T",4*10^Z84,
      "4000+500(7O-5)",4000+500*(7*I85-5),
      "13500 + 16C",13500+16*VLOOKUP(J86,'Machine Helper Sheet'!$G$1:$K$16,5,FALSE),
      1
  )
)</f>
        <v>4006</v>
      </c>
      <c r="L84" s="38">
        <f>IF(VLOOKUP(H84,'Machine List'!$A$1:$I$300,5,FALSE)="Multi",IF(VLOOKUP(H84,'Machine List'!$A$1:$I$300,6,FALSE)="Yes",AU84*3*10^AT84,AU84*(2*3)*10^(AT84-1)),0)</f>
        <v>6000</v>
      </c>
      <c r="M84" s="38">
        <f>L84+IF(ISNUMBER(I84),I84,
  SWITCH(
      I84,
      "1T",1*10^AT84,
      "2T",2*10^AT84,
      "3T",3*10^AT84,
      "4T",4*10^AT84,
      "4000+500(7O-5)",4000+500*(7*I85-5),
      1
  )
)</f>
        <v>10000</v>
      </c>
      <c r="N84" s="38" t="str">
        <f>VLOOKUP(H84,'Machine List'!$A$1:$I$300,8,FALSE)</f>
        <v>Tier</v>
      </c>
      <c r="O84" s="38">
        <f>IF(ISNUMBER(N84),N84,10^Z84)</f>
        <v>10</v>
      </c>
      <c r="P84" s="38">
        <f>IF(ISNUMBER(N84),N84,10^AT84)</f>
        <v>10000</v>
      </c>
      <c r="Q84" s="38">
        <f>VLOOKUP(H84,'Machine List'!$A$1:$B$138,2,FALSE)</f>
        <v>1</v>
      </c>
      <c r="R84" s="38" t="s">
        <v>594</v>
      </c>
      <c r="S84" s="45">
        <f>IF(ISNUMBER(Q84),Q84,
  SWITCH(
      Q84,
      "1",1,
      "2T",Z84*2,
      "4T",Z84*4,
      "6T",Z84*6,
      "8T",Z84*8,
      "10T",Z84*10,
      "12T",Z84*12,
      "14T",Z84*14,
      "16T",Z84*16,
      "2(T+1)",2*(Z84+1),
      "1T*C",Z84*J86,
      1
  )
)</f>
        <v>1</v>
      </c>
      <c r="T84" s="38" t="s">
        <v>277</v>
      </c>
      <c r="U84" s="38">
        <f>IF(OR(T84="No",T84=""),S84,T84)</f>
        <v>1</v>
      </c>
      <c r="V84" s="38">
        <f>IF(ISNUMBER(Q84),Q84,
  SWITCH(
      Q84,
      "1",1,
      "2T",AT84*2,
      "4T",AT84*4,
      "6T",AT84*6,
      "8T",AT84*8,
      "10T",AT84*10,
      "12T",AT84*12,
      "14T",AT84*14,
      "16T",AT84*16,
      "2(T+1)",2*(AT84+1),
      "1T*C",AT84*J86,
      1
  )
)</f>
        <v>1</v>
      </c>
      <c r="W84" s="38" t="str">
        <f>T84</f>
        <v>No</v>
      </c>
      <c r="X84" s="38">
        <f>IF(OR(W84="No",W84=""),V84,W84)</f>
        <v>1</v>
      </c>
      <c r="Y84" s="38" t="s">
        <v>390</v>
      </c>
      <c r="Z84" s="38">
        <f>VLOOKUP(Y84,'Item Helper Sheet'!$A$2:$B$16,2,FALSE)</f>
        <v>1</v>
      </c>
      <c r="AA84" s="38">
        <v>30.0</v>
      </c>
      <c r="AB84" s="38">
        <f>24*20</f>
        <v>480</v>
      </c>
      <c r="AC84" s="38">
        <f>AB84*I86</f>
        <v>32160</v>
      </c>
      <c r="AD84" s="38">
        <f>AA84*AC84</f>
        <v>964800</v>
      </c>
      <c r="AE84" s="75"/>
      <c r="AF84" s="38" t="str">
        <f>Y84</f>
        <v>01 - LV</v>
      </c>
      <c r="AG84" s="38">
        <v>1.0</v>
      </c>
      <c r="AH84" s="38">
        <v>1.0</v>
      </c>
      <c r="AI84" s="38">
        <f>AH84*8*4^Z84</f>
        <v>32</v>
      </c>
      <c r="AJ84" s="38">
        <f>MIN(ROUNDDOWN(AI84/AL84,0),U84)</f>
        <v>1</v>
      </c>
      <c r="AK84" s="38">
        <f>IF(OR(T84="No",T84=""),AG84*S84,AG84*T84)</f>
        <v>1</v>
      </c>
      <c r="AL84" s="38">
        <f>ROUNDUP(AA84*VLOOKUP(H84,'Machine List'!$A$2:$D$219,4,FALSE),0)</f>
        <v>30</v>
      </c>
      <c r="AM84" s="38">
        <f>AL84*AK84</f>
        <v>30</v>
      </c>
      <c r="AN84" s="38">
        <f>ROUNDUP(AB84*I86,0)</f>
        <v>32160</v>
      </c>
      <c r="AO84" s="38">
        <f>ROUNDUP(AN84/VLOOKUP(H84,'Machine List'!$A$2:$D$219,3,FALSE),0)</f>
        <v>32160</v>
      </c>
      <c r="AP84" s="38">
        <f>ROUNDUP(AO84/AK84,0)</f>
        <v>32160</v>
      </c>
      <c r="AQ84" s="38">
        <f>AM84*AP84</f>
        <v>964800</v>
      </c>
      <c r="AR84" s="75"/>
      <c r="AS84" s="38" t="s">
        <v>401</v>
      </c>
      <c r="AT84" s="38">
        <f>VLOOKUP(AS84,'Item Helper Sheet'!$A$2:$B$16,2,FALSE)</f>
        <v>4</v>
      </c>
      <c r="AU84" s="38">
        <f>AG84</f>
        <v>1</v>
      </c>
      <c r="AV84" s="38">
        <v>1.0</v>
      </c>
      <c r="AW84" s="38">
        <f>AV84*8*4^AT84</f>
        <v>2048</v>
      </c>
      <c r="AX84" s="38">
        <f>MIN(ROUNDDOWN(AW84/AL84,0),X84)</f>
        <v>1</v>
      </c>
      <c r="AY84" s="38">
        <f>AX84*AU84</f>
        <v>1</v>
      </c>
      <c r="AZ84" s="38">
        <f>AL84</f>
        <v>30</v>
      </c>
      <c r="BA84" s="38">
        <f>MIN(AT84-Z84,IF(AW84&gt;=AZ85*4,
IF(AW84&gt;=AZ85*4^2,
IF(AW84&gt;=AZ85*4^3,
IF(AW84&gt;=AZ85*4^4,
IF(AW84&gt;=AZ85*4^5,
IF(AW84&gt;=AZ85*4^6,
IF(AW84&gt;=AZ85*4^7,
IF(AW84&gt;=AZ85*4^8,
IF(AW84&gt;=AZ85*4^9,
IF(AW84&gt;=AZ85*4^10,
9),
8),
7),
6),
5),
4),
3),
2),
1),
0))</f>
        <v>3</v>
      </c>
      <c r="BB84" s="38">
        <f>AZ84*AX84*4^BA84</f>
        <v>1920</v>
      </c>
      <c r="BC84" s="38">
        <f>BB84*AU84</f>
        <v>1920</v>
      </c>
      <c r="BD84" s="45">
        <f>ROUNDUP(IF(R84="Yes",AN84/(2^((BA84)*2)),AN84/(2^(BA84))),0)</f>
        <v>503</v>
      </c>
      <c r="BE84" s="45">
        <f>ROUNDUP(BD84/VLOOKUP(H84,'Machine List'!$A$2:$D$219,3,FALSE),0)</f>
        <v>503</v>
      </c>
      <c r="BF84" s="45">
        <f>ROUNDUP(BE84/AY84,0)</f>
        <v>503</v>
      </c>
      <c r="BG84" s="46">
        <f>BF84*BC84</f>
        <v>965760</v>
      </c>
      <c r="BI84" s="28"/>
      <c r="BQ84" s="6" t="s">
        <v>183</v>
      </c>
      <c r="BR84" s="6">
        <v>329500.0</v>
      </c>
      <c r="BS84" s="6">
        <f>VLOOKUP(BQ84,'Item List'!$A$2:$D$300,2,FALSE)</f>
        <v>1</v>
      </c>
      <c r="BT84" s="6">
        <f>VLOOKUP(BQ84,'Item List'!$A$2:$D$300,3,FALSE)</f>
        <v>4</v>
      </c>
      <c r="BU84" s="6">
        <f>VLOOKUP(BQ84,'Item List'!$A$2:$D$300,4,FALSE)</f>
        <v>2</v>
      </c>
      <c r="BW84" s="6" t="s">
        <v>623</v>
      </c>
      <c r="BX84" s="6">
        <v>14260.0</v>
      </c>
      <c r="BY84" s="6">
        <v>1000.0</v>
      </c>
      <c r="CA84" s="6" t="s">
        <v>623</v>
      </c>
      <c r="CB84" s="6">
        <v>6001.0</v>
      </c>
      <c r="CC84" s="6">
        <v>10000.0</v>
      </c>
    </row>
    <row r="85">
      <c r="B85" s="40"/>
      <c r="C85" s="41" t="s">
        <v>88</v>
      </c>
      <c r="D85" s="38">
        <f>1000*I86</f>
        <v>67000</v>
      </c>
      <c r="E85" s="38" t="s">
        <v>227</v>
      </c>
      <c r="F85" s="42">
        <f>1000*I86</f>
        <v>67000</v>
      </c>
      <c r="G85" s="43"/>
      <c r="H85" s="99" t="s">
        <v>584</v>
      </c>
      <c r="I85" s="45">
        <f t="array" ref="I85">match(TRUE,ISBLANK(F85:F97),0)-1</f>
        <v>1</v>
      </c>
      <c r="J85" s="100" t="s">
        <v>420</v>
      </c>
      <c r="K85" s="100" t="s">
        <v>585</v>
      </c>
      <c r="L85" s="38"/>
      <c r="M85" s="38"/>
      <c r="N85" s="38"/>
      <c r="O85" s="38"/>
      <c r="P85" s="38"/>
      <c r="Q85" s="38"/>
      <c r="R85" s="101"/>
      <c r="S85" s="101"/>
      <c r="T85" s="101"/>
      <c r="U85" s="45"/>
      <c r="V85" s="45"/>
      <c r="W85" s="45"/>
      <c r="X85" s="45"/>
      <c r="Y85" s="45"/>
      <c r="Z85" s="45"/>
      <c r="AA85" s="45"/>
      <c r="AB85" s="45"/>
      <c r="AC85" s="45"/>
      <c r="AD85" s="45"/>
      <c r="AE85" s="79"/>
      <c r="AF85" s="45"/>
      <c r="AG85" s="45"/>
      <c r="AH85" s="45"/>
      <c r="AI85" s="45"/>
      <c r="AJ85" s="45"/>
      <c r="AK85" s="45"/>
      <c r="AL85" s="45"/>
      <c r="AM85" s="45"/>
      <c r="AN85" s="45"/>
      <c r="AO85" s="45"/>
      <c r="AP85" s="45"/>
      <c r="AQ85" s="45"/>
      <c r="AR85" s="79"/>
      <c r="AS85" s="45"/>
      <c r="AT85" s="45"/>
      <c r="AU85" s="45"/>
      <c r="AV85" s="45"/>
      <c r="AW85" s="45"/>
      <c r="AX85" s="45"/>
      <c r="AY85" s="45"/>
      <c r="AZ85" s="45">
        <f>AZ84*AX84</f>
        <v>30</v>
      </c>
      <c r="BA85" s="45"/>
      <c r="BB85" s="45"/>
      <c r="BC85" s="45"/>
      <c r="BD85" s="45"/>
      <c r="BE85" s="45"/>
      <c r="BF85" s="45"/>
      <c r="BG85" s="46"/>
      <c r="BI85" s="28"/>
      <c r="BQ85" s="6" t="s">
        <v>224</v>
      </c>
      <c r="BR85" s="6">
        <v>0.0</v>
      </c>
      <c r="BS85" s="6">
        <f>VLOOKUP(BQ85,'Item List'!$A$2:$D$300,2,FALSE)</f>
        <v>1</v>
      </c>
      <c r="BT85" s="6">
        <f>VLOOKUP(BQ85,'Item List'!$A$2:$D$300,3,FALSE)</f>
        <v>4</v>
      </c>
      <c r="BU85" s="6">
        <f>VLOOKUP(BQ85,'Item List'!$A$2:$D$300,4,FALSE)</f>
        <v>2</v>
      </c>
      <c r="BW85" s="6" t="s">
        <v>624</v>
      </c>
      <c r="BX85" s="6">
        <v>22560.0</v>
      </c>
      <c r="BY85" s="6">
        <v>100.0</v>
      </c>
      <c r="CA85" s="6" t="s">
        <v>624</v>
      </c>
      <c r="CB85" s="6">
        <v>28500.0</v>
      </c>
      <c r="CC85" s="6">
        <v>10000.0</v>
      </c>
    </row>
    <row r="86">
      <c r="B86" s="40"/>
      <c r="C86" s="41" t="s">
        <v>142</v>
      </c>
      <c r="D86" s="38">
        <f>4000*I86</f>
        <v>268000</v>
      </c>
      <c r="E86" s="38"/>
      <c r="F86" s="42"/>
      <c r="G86" s="43"/>
      <c r="H86" s="56" t="s">
        <v>502</v>
      </c>
      <c r="I86" s="57">
        <v>67.0</v>
      </c>
      <c r="J86" s="100" t="s">
        <v>424</v>
      </c>
      <c r="K86" s="100">
        <v>0.0</v>
      </c>
      <c r="L86" s="45"/>
      <c r="M86" s="45"/>
      <c r="N86" s="45"/>
      <c r="O86" s="45"/>
      <c r="P86" s="45"/>
      <c r="Q86" s="45"/>
      <c r="R86" s="45"/>
      <c r="S86" s="101"/>
      <c r="T86" s="101"/>
      <c r="U86" s="45"/>
      <c r="V86" s="45"/>
      <c r="W86" s="45"/>
      <c r="X86" s="45"/>
      <c r="Y86" s="45"/>
      <c r="Z86" s="45"/>
      <c r="AA86" s="45"/>
      <c r="AB86" s="45"/>
      <c r="AC86" s="45"/>
      <c r="AD86" s="45"/>
      <c r="AE86" s="79"/>
      <c r="AF86" s="45"/>
      <c r="AG86" s="45"/>
      <c r="AH86" s="45"/>
      <c r="AI86" s="45"/>
      <c r="AJ86" s="45"/>
      <c r="AK86" s="45"/>
      <c r="AL86" s="45"/>
      <c r="AM86" s="45"/>
      <c r="AN86" s="45"/>
      <c r="AO86" s="45"/>
      <c r="AP86" s="45"/>
      <c r="AQ86" s="45"/>
      <c r="AR86" s="79"/>
      <c r="AS86" s="45"/>
      <c r="AT86" s="45"/>
      <c r="AU86" s="45"/>
      <c r="AV86" s="45"/>
      <c r="AW86" s="45"/>
      <c r="AX86" s="45"/>
      <c r="AY86" s="45"/>
      <c r="AZ86" s="45"/>
      <c r="BA86" s="45"/>
      <c r="BB86" s="45"/>
      <c r="BC86" s="45"/>
      <c r="BD86" s="45"/>
      <c r="BE86" s="45"/>
      <c r="BF86" s="45"/>
      <c r="BG86" s="46"/>
      <c r="BI86" s="28"/>
      <c r="BQ86" s="6" t="s">
        <v>226</v>
      </c>
      <c r="BR86" s="6">
        <v>-22500.0</v>
      </c>
      <c r="BS86" s="6">
        <f>VLOOKUP(BQ86,'Item List'!$A$2:$D$300,2,FALSE)</f>
        <v>0</v>
      </c>
      <c r="BT86" s="6">
        <f>VLOOKUP(BQ86,'Item List'!$A$2:$D$300,3,FALSE)</f>
        <v>5</v>
      </c>
      <c r="BU86" s="6">
        <f>VLOOKUP(BQ86,'Item List'!$A$2:$D$300,4,FALSE)</f>
        <v>1</v>
      </c>
      <c r="BW86" s="6" t="s">
        <v>625</v>
      </c>
      <c r="BX86" s="6">
        <v>4006.0</v>
      </c>
      <c r="BY86" s="6">
        <v>10.0</v>
      </c>
      <c r="CA86" s="6" t="s">
        <v>625</v>
      </c>
      <c r="CB86" s="6">
        <v>10000.0</v>
      </c>
      <c r="CC86" s="6">
        <v>10000.0</v>
      </c>
    </row>
    <row r="87">
      <c r="B87" s="50"/>
      <c r="C87" s="51"/>
      <c r="D87" s="52"/>
      <c r="E87" s="52"/>
      <c r="F87" s="52"/>
      <c r="G87" s="43"/>
      <c r="H87" s="52"/>
      <c r="I87" s="52"/>
      <c r="J87" s="52"/>
      <c r="K87" s="52"/>
      <c r="L87" s="52"/>
      <c r="M87" s="52"/>
      <c r="N87" s="52"/>
      <c r="O87" s="52"/>
      <c r="P87" s="52"/>
      <c r="Q87" s="52"/>
      <c r="R87" s="52"/>
      <c r="S87" s="52"/>
      <c r="T87" s="52"/>
      <c r="U87" s="52"/>
      <c r="V87" s="52"/>
      <c r="W87" s="52"/>
      <c r="X87" s="52"/>
      <c r="Y87" s="52"/>
      <c r="Z87" s="52"/>
      <c r="AA87" s="52"/>
      <c r="AB87" s="52"/>
      <c r="AC87" s="52"/>
      <c r="AD87" s="52"/>
      <c r="AE87" s="43"/>
      <c r="AF87" s="52"/>
      <c r="AG87" s="52"/>
      <c r="AH87" s="52"/>
      <c r="AI87" s="52"/>
      <c r="AJ87" s="52"/>
      <c r="AK87" s="52"/>
      <c r="AL87" s="52"/>
      <c r="AM87" s="52"/>
      <c r="AN87" s="52"/>
      <c r="AO87" s="52"/>
      <c r="AP87" s="52"/>
      <c r="AQ87" s="52"/>
      <c r="AR87" s="43"/>
      <c r="AS87" s="52"/>
      <c r="AT87" s="52"/>
      <c r="AU87" s="52"/>
      <c r="AV87" s="52"/>
      <c r="AW87" s="52"/>
      <c r="AX87" s="52"/>
      <c r="AY87" s="52"/>
      <c r="AZ87" s="52"/>
      <c r="BA87" s="52"/>
      <c r="BB87" s="52"/>
      <c r="BC87" s="52"/>
      <c r="BD87" s="52"/>
      <c r="BE87" s="52"/>
      <c r="BF87" s="52"/>
      <c r="BG87" s="53"/>
      <c r="BI87" s="28"/>
      <c r="BQ87" s="6" t="s">
        <v>227</v>
      </c>
      <c r="BR87" s="6">
        <v>65640.0</v>
      </c>
      <c r="BS87" s="6">
        <f>VLOOKUP(BQ87,'Item List'!$A$2:$D$300,2,FALSE)</f>
        <v>1</v>
      </c>
      <c r="BT87" s="6">
        <f>VLOOKUP(BQ87,'Item List'!$A$2:$D$300,3,FALSE)</f>
        <v>4</v>
      </c>
      <c r="BU87" s="6">
        <f>VLOOKUP(BQ87,'Item List'!$A$2:$D$300,4,FALSE)</f>
        <v>1</v>
      </c>
      <c r="BW87" s="6" t="s">
        <v>626</v>
      </c>
      <c r="BX87" s="6">
        <v>4060.0</v>
      </c>
      <c r="BY87" s="6">
        <v>100.0</v>
      </c>
      <c r="CA87" s="6" t="s">
        <v>626</v>
      </c>
      <c r="CB87" s="6">
        <v>10000.0</v>
      </c>
      <c r="CC87" s="6">
        <v>10000.0</v>
      </c>
    </row>
    <row r="88">
      <c r="B88" s="31" t="s">
        <v>616</v>
      </c>
      <c r="C88" s="54"/>
      <c r="D88" s="45"/>
      <c r="E88" s="45"/>
      <c r="F88" s="47"/>
      <c r="G88" s="35"/>
      <c r="H88" s="55" t="s">
        <v>349</v>
      </c>
      <c r="I88" s="38">
        <f>VLOOKUP(H88,'Machine List'!$A$1:$I$300,9,FALSE)</f>
        <v>4000</v>
      </c>
      <c r="J88" s="38">
        <f>IF(VLOOKUP(H88,'Machine List'!$A$1:$I$300,5,FALSE)="Multi",IF(VLOOKUP(H88,'Machine List'!$A$1:$I$300,6,FALSE)="Yes",AG88*3*10^Z88,AG88*(2*3)*10^(Z88-1)),0)</f>
        <v>600</v>
      </c>
      <c r="K88" s="38">
        <f>J88+IF(ISNUMBER(I88),I88,
  SWITCH(
      I88,
      "1T",1*10^Z88,
      "2T",2*10^Z88,
      "3T",3*10^Z88,
      "4T",4*10^Z88,
      "4000+500(7O-5)",4000+500*(7*I89-5),
      "13500 + 16C",13500+16*VLOOKUP(J90,'Machine Helper Sheet'!$G$1:$K$16,5,FALSE),
      1
  )
)</f>
        <v>4600</v>
      </c>
      <c r="L88" s="38">
        <f>IF(VLOOKUP(H88,'Machine List'!$A$1:$I$300,5,FALSE)="Multi",IF(VLOOKUP(H88,'Machine List'!$A$1:$I$300,6,FALSE)="Yes",AU88*3*10^AT88,AU88*(2*3)*10^(AT88-1)),0)</f>
        <v>6000</v>
      </c>
      <c r="M88" s="38">
        <f>L88+IF(ISNUMBER(I88),I88,
  SWITCH(
      I88,
      "1T",1*10^AT88,
      "2T",2*10^AT88,
      "3T",3*10^AT88,
      "4T",4*10^AT88,
      "4000+500(7O-5)",4000+500*(7*I89-5),
      1
  )
)</f>
        <v>10000</v>
      </c>
      <c r="N88" s="38" t="str">
        <f>VLOOKUP(H88,'Machine List'!$A$1:$I$300,8,FALSE)</f>
        <v>Tier</v>
      </c>
      <c r="O88" s="38">
        <f>IF(ISNUMBER(N88),N88,10^Z88)</f>
        <v>1000</v>
      </c>
      <c r="P88" s="38">
        <f>IF(ISNUMBER(N88),N88,10^AT88)</f>
        <v>10000</v>
      </c>
      <c r="Q88" s="38">
        <f>VLOOKUP(H88,'Machine List'!$A$1:$B$138,2,FALSE)</f>
        <v>1</v>
      </c>
      <c r="R88" s="38" t="s">
        <v>594</v>
      </c>
      <c r="S88" s="45">
        <f>IF(ISNUMBER(Q88),Q88,
  SWITCH(
      Q88,
      "1",1,
      "2T",Z88*2,
      "4T",Z88*4,
      "6T",Z88*6,
      "8T",Z88*8,
      "10T",Z88*10,
      "12T",Z88*12,
      "14T",Z88*14,
      "16T",Z88*16,
      "2(T+1)",2*(Z88+1),
      "1T*C",Z88*J90,
      1
  )
)</f>
        <v>1</v>
      </c>
      <c r="T88" s="38" t="s">
        <v>277</v>
      </c>
      <c r="U88" s="38">
        <f>IF(OR(T88="No",T88=""),S88,T88)</f>
        <v>1</v>
      </c>
      <c r="V88" s="38">
        <f>IF(ISNUMBER(Q88),Q88,
  SWITCH(
      Q88,
      "1",1,
      "2T",AT88*2,
      "4T",AT88*4,
      "6T",AT88*6,
      "8T",AT88*8,
      "10T",AT88*10,
      "12T",AT88*12,
      "14T",AT88*14,
      "16T",AT88*16,
      "2(T+1)",2*(AT88+1),
      "1T*C",AT88*J90,
      1
  )
)</f>
        <v>1</v>
      </c>
      <c r="W88" s="38" t="str">
        <f>T88</f>
        <v>No</v>
      </c>
      <c r="X88" s="38">
        <f>IF(OR(W88="No",W88=""),V88,W88)</f>
        <v>1</v>
      </c>
      <c r="Y88" s="38" t="s">
        <v>397</v>
      </c>
      <c r="Z88" s="38">
        <f>VLOOKUP(Y88,'Item Helper Sheet'!$A$2:$B$16,2,FALSE)</f>
        <v>3</v>
      </c>
      <c r="AA88" s="38">
        <v>480.0</v>
      </c>
      <c r="AB88" s="38">
        <f>5*20</f>
        <v>100</v>
      </c>
      <c r="AC88" s="38">
        <f>AB88*I90</f>
        <v>1500</v>
      </c>
      <c r="AD88" s="38">
        <f>AA88*AC88</f>
        <v>720000</v>
      </c>
      <c r="AE88" s="75"/>
      <c r="AF88" s="38" t="str">
        <f>Y88</f>
        <v>03 - HV</v>
      </c>
      <c r="AG88" s="38">
        <v>1.0</v>
      </c>
      <c r="AH88" s="38">
        <v>1.0</v>
      </c>
      <c r="AI88" s="38">
        <f>AH88*8*4^Z88</f>
        <v>512</v>
      </c>
      <c r="AJ88" s="38">
        <f>MIN(ROUNDDOWN(AI88/AL88,0),U88)</f>
        <v>1</v>
      </c>
      <c r="AK88" s="38">
        <f>IF(OR(T88="No",T88=""),AG88*S88,AG88*T88)</f>
        <v>1</v>
      </c>
      <c r="AL88" s="38">
        <f>ROUNDUP(AA88*VLOOKUP(H88,'Machine List'!$A$2:$D$219,4,FALSE),0)</f>
        <v>480</v>
      </c>
      <c r="AM88" s="38">
        <f>AL88*AK88</f>
        <v>480</v>
      </c>
      <c r="AN88" s="38">
        <f>ROUNDUP(AB88*I90,0)</f>
        <v>1500</v>
      </c>
      <c r="AO88" s="38">
        <f>ROUNDUP(AN88/VLOOKUP(H88,'Machine List'!$A$2:$D$219,3,FALSE),0)</f>
        <v>1500</v>
      </c>
      <c r="AP88" s="38">
        <f>ROUNDUP(AO88/AK88,0)</f>
        <v>1500</v>
      </c>
      <c r="AQ88" s="38">
        <f>AM88*AP88</f>
        <v>720000</v>
      </c>
      <c r="AR88" s="75"/>
      <c r="AS88" s="38" t="s">
        <v>401</v>
      </c>
      <c r="AT88" s="38">
        <f>VLOOKUP(AS88,'Item Helper Sheet'!$A$2:$B$16,2,FALSE)</f>
        <v>4</v>
      </c>
      <c r="AU88" s="38">
        <f>AG88</f>
        <v>1</v>
      </c>
      <c r="AV88" s="38">
        <v>1.0</v>
      </c>
      <c r="AW88" s="38">
        <f>AV88*8*4^AT88</f>
        <v>2048</v>
      </c>
      <c r="AX88" s="38">
        <f>MIN(ROUNDDOWN(AW88/AL88,0),X88)</f>
        <v>1</v>
      </c>
      <c r="AY88" s="38">
        <f>AX88*AU88</f>
        <v>1</v>
      </c>
      <c r="AZ88" s="38">
        <f>AL88</f>
        <v>480</v>
      </c>
      <c r="BA88" s="38">
        <f>MIN(AT88-Z88,IF(AW88&gt;=AZ89*4,
IF(AW88&gt;=AZ89*4^2,
IF(AW88&gt;=AZ89*4^3,
IF(AW88&gt;=AZ89*4^4,
IF(AW88&gt;=AZ89*4^5,
IF(AW88&gt;=AZ89*4^6,
IF(AW88&gt;=AZ89*4^7,
IF(AW88&gt;=AZ89*4^8,
IF(AW88&gt;=AZ89*4^9,
IF(AW88&gt;=AZ89*4^10,
9),
8),
7),
6),
5),
4),
3),
2),
1),
0))</f>
        <v>1</v>
      </c>
      <c r="BB88" s="38">
        <f>AZ88*AX88*4^BA88</f>
        <v>1920</v>
      </c>
      <c r="BC88" s="38">
        <f>BB88*AU88</f>
        <v>1920</v>
      </c>
      <c r="BD88" s="45">
        <f>ROUNDUP(IF(R88="Yes",AN88/(2^((BA88)*2)),AN88/(2^(BA88))),0)</f>
        <v>375</v>
      </c>
      <c r="BE88" s="45">
        <f>ROUNDUP(BD88/VLOOKUP(H88,'Machine List'!$A$2:$D$219,3,FALSE),0)</f>
        <v>375</v>
      </c>
      <c r="BF88" s="45">
        <f>ROUNDUP(BE88/AY88,0)</f>
        <v>375</v>
      </c>
      <c r="BG88" s="46">
        <f>BF88*BC88</f>
        <v>720000</v>
      </c>
      <c r="BI88" s="28"/>
      <c r="BQ88" s="6" t="s">
        <v>228</v>
      </c>
      <c r="BR88" s="6">
        <v>8000.0</v>
      </c>
      <c r="BS88" s="6">
        <f>VLOOKUP(BQ88,'Item List'!$A$2:$D$300,2,FALSE)</f>
        <v>1</v>
      </c>
      <c r="BT88" s="6">
        <f>VLOOKUP(BQ88,'Item List'!$A$2:$D$300,3,FALSE)</f>
        <v>4</v>
      </c>
      <c r="BU88" s="6">
        <f>VLOOKUP(BQ88,'Item List'!$A$2:$D$300,4,FALSE)</f>
        <v>2</v>
      </c>
      <c r="BW88" s="6" t="s">
        <v>627</v>
      </c>
      <c r="BX88" s="6">
        <v>4600.0</v>
      </c>
      <c r="BY88" s="6">
        <v>1000.0</v>
      </c>
      <c r="CA88" s="6" t="s">
        <v>627</v>
      </c>
      <c r="CB88" s="6">
        <v>10000.0</v>
      </c>
      <c r="CC88" s="6">
        <v>10000.0</v>
      </c>
    </row>
    <row r="89">
      <c r="B89" s="40"/>
      <c r="C89" s="41" t="s">
        <v>106</v>
      </c>
      <c r="D89" s="38">
        <f>20000*I90</f>
        <v>300000</v>
      </c>
      <c r="E89" s="38" t="s">
        <v>54</v>
      </c>
      <c r="F89" s="42">
        <f>24000*I90</f>
        <v>360000</v>
      </c>
      <c r="G89" s="43"/>
      <c r="H89" s="99" t="s">
        <v>584</v>
      </c>
      <c r="I89" s="45">
        <f t="array" ref="I89">match(TRUE,ISBLANK(F89:F101),0)-1</f>
        <v>1</v>
      </c>
      <c r="J89" s="100" t="s">
        <v>420</v>
      </c>
      <c r="K89" s="100" t="s">
        <v>585</v>
      </c>
      <c r="L89" s="38"/>
      <c r="M89" s="38"/>
      <c r="N89" s="38"/>
      <c r="O89" s="38"/>
      <c r="P89" s="38"/>
      <c r="Q89" s="38"/>
      <c r="R89" s="101"/>
      <c r="S89" s="101"/>
      <c r="T89" s="101"/>
      <c r="U89" s="45"/>
      <c r="V89" s="45"/>
      <c r="W89" s="45"/>
      <c r="X89" s="45"/>
      <c r="Y89" s="45"/>
      <c r="Z89" s="45"/>
      <c r="AA89" s="45"/>
      <c r="AB89" s="45"/>
      <c r="AC89" s="45"/>
      <c r="AD89" s="45"/>
      <c r="AE89" s="79"/>
      <c r="AF89" s="45"/>
      <c r="AG89" s="45"/>
      <c r="AH89" s="45"/>
      <c r="AI89" s="45"/>
      <c r="AJ89" s="45"/>
      <c r="AK89" s="45"/>
      <c r="AL89" s="45"/>
      <c r="AM89" s="45"/>
      <c r="AN89" s="45"/>
      <c r="AO89" s="45"/>
      <c r="AP89" s="45"/>
      <c r="AQ89" s="45"/>
      <c r="AR89" s="79"/>
      <c r="AS89" s="45"/>
      <c r="AT89" s="45"/>
      <c r="AU89" s="45"/>
      <c r="AV89" s="45"/>
      <c r="AW89" s="45"/>
      <c r="AX89" s="45"/>
      <c r="AY89" s="45"/>
      <c r="AZ89" s="45">
        <f>AZ88*AX88</f>
        <v>480</v>
      </c>
      <c r="BA89" s="45"/>
      <c r="BB89" s="45"/>
      <c r="BC89" s="45"/>
      <c r="BD89" s="45"/>
      <c r="BE89" s="45"/>
      <c r="BF89" s="45"/>
      <c r="BG89" s="46"/>
      <c r="BI89" s="28"/>
      <c r="BQ89" s="6" t="s">
        <v>229</v>
      </c>
      <c r="BR89" s="6">
        <v>10000.0</v>
      </c>
      <c r="BS89" s="6">
        <f>VLOOKUP(BQ89,'Item List'!$A$2:$D$300,2,FALSE)</f>
        <v>1</v>
      </c>
      <c r="BT89" s="6">
        <f>VLOOKUP(BQ89,'Item List'!$A$2:$D$300,3,FALSE)</f>
        <v>4</v>
      </c>
      <c r="BU89" s="6">
        <f>VLOOKUP(BQ89,'Item List'!$A$2:$D$300,4,FALSE)</f>
        <v>2</v>
      </c>
      <c r="BW89" s="6" t="s">
        <v>628</v>
      </c>
      <c r="BX89" s="6">
        <v>4006.0</v>
      </c>
      <c r="BY89" s="6">
        <v>10.0</v>
      </c>
      <c r="CA89" s="6" t="s">
        <v>628</v>
      </c>
      <c r="CB89" s="6">
        <v>10000.0</v>
      </c>
      <c r="CC89" s="6">
        <v>10000.0</v>
      </c>
    </row>
    <row r="90">
      <c r="B90" s="40"/>
      <c r="C90" s="41" t="s">
        <v>81</v>
      </c>
      <c r="D90" s="38">
        <f>4000*I90</f>
        <v>60000</v>
      </c>
      <c r="E90" s="38"/>
      <c r="F90" s="42"/>
      <c r="G90" s="43"/>
      <c r="H90" s="56" t="s">
        <v>502</v>
      </c>
      <c r="I90" s="57">
        <v>15.0</v>
      </c>
      <c r="J90" s="100" t="s">
        <v>424</v>
      </c>
      <c r="K90" s="100">
        <v>0.0</v>
      </c>
      <c r="L90" s="45"/>
      <c r="M90" s="45"/>
      <c r="N90" s="45"/>
      <c r="O90" s="45"/>
      <c r="P90" s="45"/>
      <c r="Q90" s="45"/>
      <c r="R90" s="45"/>
      <c r="S90" s="101"/>
      <c r="T90" s="101"/>
      <c r="U90" s="45"/>
      <c r="V90" s="45"/>
      <c r="W90" s="45"/>
      <c r="X90" s="45"/>
      <c r="Y90" s="45"/>
      <c r="Z90" s="45"/>
      <c r="AA90" s="45"/>
      <c r="AB90" s="45"/>
      <c r="AC90" s="45"/>
      <c r="AD90" s="45"/>
      <c r="AE90" s="79"/>
      <c r="AF90" s="45"/>
      <c r="AG90" s="45"/>
      <c r="AH90" s="45"/>
      <c r="AI90" s="45"/>
      <c r="AJ90" s="45"/>
      <c r="AK90" s="45"/>
      <c r="AL90" s="45"/>
      <c r="AM90" s="45"/>
      <c r="AN90" s="45"/>
      <c r="AO90" s="45"/>
      <c r="AP90" s="45"/>
      <c r="AQ90" s="45"/>
      <c r="AR90" s="79"/>
      <c r="AS90" s="45"/>
      <c r="AT90" s="45"/>
      <c r="AU90" s="45"/>
      <c r="AV90" s="45"/>
      <c r="AW90" s="45"/>
      <c r="AX90" s="45"/>
      <c r="AY90" s="45"/>
      <c r="AZ90" s="45"/>
      <c r="BA90" s="45"/>
      <c r="BB90" s="45"/>
      <c r="BC90" s="45"/>
      <c r="BD90" s="45"/>
      <c r="BE90" s="45"/>
      <c r="BF90" s="45"/>
      <c r="BG90" s="46"/>
      <c r="BI90" s="28"/>
      <c r="BQ90" s="6" t="s">
        <v>230</v>
      </c>
      <c r="BR90" s="6">
        <v>0.0</v>
      </c>
      <c r="BS90" s="6">
        <f>VLOOKUP(BQ90,'Item List'!$A$2:$D$300,2,FALSE)</f>
        <v>1</v>
      </c>
      <c r="BT90" s="6">
        <f>VLOOKUP(BQ90,'Item List'!$A$2:$D$300,3,FALSE)</f>
        <v>4</v>
      </c>
      <c r="BU90" s="6">
        <f>VLOOKUP(BQ90,'Item List'!$A$2:$D$300,4,FALSE)</f>
        <v>2</v>
      </c>
      <c r="BW90" s="6" t="s">
        <v>629</v>
      </c>
      <c r="BX90" s="6">
        <v>10.0</v>
      </c>
      <c r="BY90" s="6">
        <v>10.0</v>
      </c>
      <c r="CA90" s="6" t="s">
        <v>629</v>
      </c>
      <c r="CB90" s="6">
        <v>10000.0</v>
      </c>
      <c r="CC90" s="6">
        <v>10000.0</v>
      </c>
    </row>
    <row r="91">
      <c r="B91" s="50"/>
      <c r="C91" s="51"/>
      <c r="D91" s="52"/>
      <c r="E91" s="52"/>
      <c r="F91" s="52"/>
      <c r="G91" s="43"/>
      <c r="H91" s="52"/>
      <c r="I91" s="52"/>
      <c r="J91" s="52"/>
      <c r="K91" s="52"/>
      <c r="L91" s="52"/>
      <c r="M91" s="52"/>
      <c r="N91" s="52"/>
      <c r="O91" s="52"/>
      <c r="P91" s="52"/>
      <c r="Q91" s="52"/>
      <c r="R91" s="52"/>
      <c r="S91" s="52"/>
      <c r="T91" s="52"/>
      <c r="U91" s="52"/>
      <c r="V91" s="52"/>
      <c r="W91" s="52"/>
      <c r="X91" s="52"/>
      <c r="Y91" s="52"/>
      <c r="Z91" s="52"/>
      <c r="AA91" s="52"/>
      <c r="AB91" s="52"/>
      <c r="AC91" s="52"/>
      <c r="AD91" s="52"/>
      <c r="AE91" s="43"/>
      <c r="AF91" s="52"/>
      <c r="AG91" s="52"/>
      <c r="AH91" s="52"/>
      <c r="AI91" s="52"/>
      <c r="AJ91" s="52"/>
      <c r="AK91" s="52"/>
      <c r="AL91" s="52"/>
      <c r="AM91" s="52"/>
      <c r="AN91" s="52"/>
      <c r="AO91" s="52"/>
      <c r="AP91" s="52"/>
      <c r="AQ91" s="52"/>
      <c r="AR91" s="43"/>
      <c r="AS91" s="52"/>
      <c r="AT91" s="52"/>
      <c r="AU91" s="52"/>
      <c r="AV91" s="52"/>
      <c r="AW91" s="52"/>
      <c r="AX91" s="52"/>
      <c r="AY91" s="52"/>
      <c r="AZ91" s="52"/>
      <c r="BA91" s="52"/>
      <c r="BB91" s="52"/>
      <c r="BC91" s="52"/>
      <c r="BD91" s="52"/>
      <c r="BE91" s="52"/>
      <c r="BF91" s="52"/>
      <c r="BG91" s="53"/>
      <c r="BI91" s="28"/>
      <c r="BQ91" s="6" t="s">
        <v>231</v>
      </c>
      <c r="BR91" s="6">
        <v>0.0</v>
      </c>
      <c r="BS91" s="6">
        <f>VLOOKUP(BQ91,'Item List'!$A$2:$D$300,2,FALSE)</f>
        <v>1</v>
      </c>
      <c r="BT91" s="6">
        <f>VLOOKUP(BQ91,'Item List'!$A$2:$D$300,3,FALSE)</f>
        <v>4</v>
      </c>
      <c r="BU91" s="6">
        <f>VLOOKUP(BQ91,'Item List'!$A$2:$D$300,4,FALSE)</f>
        <v>2</v>
      </c>
      <c r="BW91" s="6" t="s">
        <v>630</v>
      </c>
      <c r="BX91" s="6">
        <v>4060.0</v>
      </c>
      <c r="BY91" s="6">
        <v>100.0</v>
      </c>
      <c r="CA91" s="6" t="s">
        <v>630</v>
      </c>
      <c r="CB91" s="6">
        <v>10000.0</v>
      </c>
      <c r="CC91" s="6">
        <v>10000.0</v>
      </c>
    </row>
    <row r="92">
      <c r="B92" s="31" t="s">
        <v>623</v>
      </c>
      <c r="C92" s="54"/>
      <c r="D92" s="45"/>
      <c r="E92" s="45"/>
      <c r="F92" s="47"/>
      <c r="G92" s="35"/>
      <c r="H92" s="55" t="s">
        <v>357</v>
      </c>
      <c r="I92" s="38" t="str">
        <f>VLOOKUP(H92,'Machine List'!$A$1:$I$300,9,FALSE)</f>
        <v>13500 + 16C</v>
      </c>
      <c r="J92" s="38">
        <f>IF(VLOOKUP(H92,'Machine List'!$A$1:$I$300,5,FALSE)="Multi",IF(VLOOKUP(H92,'Machine List'!$A$1:$I$300,6,FALSE)="Yes",AG92*3*10^Z92,AG92*(2*3)*10^(Z92-1)),0)</f>
        <v>600</v>
      </c>
      <c r="K92" s="38">
        <f>J92+IF(ISNUMBER(I92),I92,
  SWITCH(
      I92,
      "1T",1*10^Z92,
      "2T",2*10^Z92,
      "3T",3*10^Z92,
      "4T",4*10^Z92,
      "4000+500(7O-5)",4000+500*(7*I93-5),
      "13500 + 16C",13500+16*VLOOKUP(J94,'Machine Helper Sheet'!$G$1:$K$16,5,FALSE),
      1
  )
)</f>
        <v>14260</v>
      </c>
      <c r="L92" s="38">
        <f>IF(VLOOKUP(H92,'Machine List'!$A$1:$I$300,5,FALSE)="Multi",IF(VLOOKUP(H92,'Machine List'!$A$1:$I$300,6,FALSE)="Yes",AU92*3*10^AT92,AU92*(2*3)*10^(AT92-1)),0)</f>
        <v>6000</v>
      </c>
      <c r="M92" s="38">
        <f>L92+IF(ISNUMBER(I92),I92,
  SWITCH(
      I92,
      "1T",1*10^AT92,
      "2T",2*10^AT92,
      "3T",3*10^AT92,
      "4T",4*10^AT92,
      "4000+500(7O-5)",4000+500*(7*I93-5),
      1
  )
)</f>
        <v>6001</v>
      </c>
      <c r="N92" s="38" t="str">
        <f>VLOOKUP(H92,'Machine List'!$A$1:$I$300,8,FALSE)</f>
        <v>Tier</v>
      </c>
      <c r="O92" s="38">
        <f>IF(ISNUMBER(N92),N92,10^Z92)</f>
        <v>1000</v>
      </c>
      <c r="P92" s="38">
        <f>IF(ISNUMBER(N92),N92,10^AT92)</f>
        <v>10000</v>
      </c>
      <c r="Q92" s="38">
        <f>VLOOKUP(H92,'Machine List'!$A$1:$B$138,2,FALSE)</f>
        <v>1</v>
      </c>
      <c r="R92" s="38" t="s">
        <v>277</v>
      </c>
      <c r="S92" s="45">
        <f>IF(ISNUMBER(Q92),Q92,
  SWITCH(
      Q92,
      "1",1,
      "2T",Z92*2,
      "4T",Z92*4,
      "6T",Z92*6,
      "8T",Z92*8,
      "10T",Z92*10,
      "12T",Z92*12,
      "14T",Z92*14,
      "16T",Z92*16,
      "2(T+1)",2*(Z92+1),
      "1T*C",Z92*J94,
      1
  )
)</f>
        <v>1</v>
      </c>
      <c r="T92" s="38" t="s">
        <v>277</v>
      </c>
      <c r="U92" s="38">
        <f>IF(OR(T92="No",T92=""),S92,T92)</f>
        <v>1</v>
      </c>
      <c r="V92" s="38">
        <f>IF(ISNUMBER(Q92),Q92,
  SWITCH(
      Q92,
      "1",1,
      "2T",AT92*2,
      "4T",AT92*4,
      "6T",AT92*6,
      "8T",AT92*8,
      "10T",AT92*10,
      "12T",AT92*12,
      "14T",AT92*14,
      "16T",AT92*16,
      "2(T+1)",2*(AT92+1),
      "1T*C",AT92*J94,
      1
  )
)</f>
        <v>1</v>
      </c>
      <c r="W92" s="38" t="str">
        <f>T92</f>
        <v>No</v>
      </c>
      <c r="X92" s="38">
        <f>IF(OR(W92="No",W92=""),V92,W92)</f>
        <v>1</v>
      </c>
      <c r="Y92" s="38" t="s">
        <v>397</v>
      </c>
      <c r="Z92" s="38">
        <f>VLOOKUP(Y92,'Item Helper Sheet'!$A$2:$B$16,2,FALSE)</f>
        <v>3</v>
      </c>
      <c r="AA92" s="38">
        <v>240.0</v>
      </c>
      <c r="AB92" s="38">
        <f>1.5*20</f>
        <v>30</v>
      </c>
      <c r="AC92" s="38">
        <f>AB92*I94</f>
        <v>1350</v>
      </c>
      <c r="AD92" s="38">
        <f>AA92*AC92</f>
        <v>324000</v>
      </c>
      <c r="AE92" s="75"/>
      <c r="AF92" s="38" t="str">
        <f>Y92</f>
        <v>03 - HV</v>
      </c>
      <c r="AG92" s="38">
        <v>1.0</v>
      </c>
      <c r="AH92" s="38">
        <v>1.0</v>
      </c>
      <c r="AI92" s="38">
        <f>AH92*8*4^Z92</f>
        <v>512</v>
      </c>
      <c r="AJ92" s="38">
        <f>MIN(ROUNDDOWN(AI92/AL92,0),U92)</f>
        <v>1</v>
      </c>
      <c r="AK92" s="38">
        <f>IF(OR(T92="No",T92=""),AG92*S92,AG92*T92)</f>
        <v>1</v>
      </c>
      <c r="AL92" s="38">
        <f>ROUNDUP(AA92*VLOOKUP(H92,'Machine List'!$A$2:$D$219,4,FALSE),0)</f>
        <v>240</v>
      </c>
      <c r="AM92" s="38">
        <f>AL92*AK92</f>
        <v>240</v>
      </c>
      <c r="AN92" s="38">
        <f>ROUNDUP(AB92*I94,0)</f>
        <v>1350</v>
      </c>
      <c r="AO92" s="38">
        <f>ROUNDUP(AN92/VLOOKUP(H92,'Machine List'!$A$2:$D$219,3,FALSE),0)</f>
        <v>1350</v>
      </c>
      <c r="AP92" s="38">
        <f>ROUNDUP(AO92/AK92,0)</f>
        <v>1350</v>
      </c>
      <c r="AQ92" s="38">
        <f>AM92*AP92</f>
        <v>324000</v>
      </c>
      <c r="AR92" s="75"/>
      <c r="AS92" s="38" t="s">
        <v>401</v>
      </c>
      <c r="AT92" s="38">
        <f>VLOOKUP(AS92,'Item Helper Sheet'!$A$2:$B$16,2,FALSE)</f>
        <v>4</v>
      </c>
      <c r="AU92" s="38">
        <f>AG92</f>
        <v>1</v>
      </c>
      <c r="AV92" s="38">
        <v>1.0</v>
      </c>
      <c r="AW92" s="38">
        <f>AV92*8*4^AT92</f>
        <v>2048</v>
      </c>
      <c r="AX92" s="38">
        <f>MIN(ROUNDDOWN(AW92/AL92,0),X92)</f>
        <v>1</v>
      </c>
      <c r="AY92" s="38">
        <f>AX92*AU92</f>
        <v>1</v>
      </c>
      <c r="AZ92" s="38">
        <f>AL92</f>
        <v>240</v>
      </c>
      <c r="BA92" s="38">
        <f>MIN(AT92-Z92,IF(AW92&gt;=AZ93*4,
IF(AW92&gt;=AZ93*4^2,
IF(AW92&gt;=AZ93*4^3,
IF(AW92&gt;=AZ93*4^4,
IF(AW92&gt;=AZ93*4^5,
IF(AW92&gt;=AZ93*4^6,
IF(AW92&gt;=AZ93*4^7,
IF(AW92&gt;=AZ93*4^8,
IF(AW92&gt;=AZ93*4^9,
IF(AW92&gt;=AZ93*4^10,
9),
8),
7),
6),
5),
4),
3),
2),
1),
0))</f>
        <v>1</v>
      </c>
      <c r="BB92" s="38">
        <f>AZ92*AX92*4^BA92</f>
        <v>960</v>
      </c>
      <c r="BC92" s="38">
        <f>BB92*AU92</f>
        <v>960</v>
      </c>
      <c r="BD92" s="45">
        <f>ROUNDUP(IF(R92="Yes",AN92/(2^((BA92)*2)),AN92/(2^(BA92))),0)</f>
        <v>675</v>
      </c>
      <c r="BE92" s="45">
        <f>ROUNDUP(BD92/VLOOKUP(H92,'Machine List'!$A$2:$D$219,3,FALSE),0)</f>
        <v>675</v>
      </c>
      <c r="BF92" s="45">
        <f>ROUNDUP(BE92/AY92,0)</f>
        <v>675</v>
      </c>
      <c r="BG92" s="46">
        <f>BF92*BC92</f>
        <v>648000</v>
      </c>
      <c r="BI92" s="28"/>
      <c r="BQ92" s="6" t="s">
        <v>233</v>
      </c>
      <c r="BR92" s="6">
        <v>800.0</v>
      </c>
      <c r="BS92" s="6">
        <f>VLOOKUP(BQ92,'Item List'!$A$2:$D$300,2,FALSE)</f>
        <v>3</v>
      </c>
      <c r="BT92" s="6">
        <f>VLOOKUP(BQ92,'Item List'!$A$2:$D$300,3,FALSE)</f>
        <v>4</v>
      </c>
      <c r="BU92" s="6">
        <f>VLOOKUP(BQ92,'Item List'!$A$2:$D$300,4,FALSE)</f>
        <v>3</v>
      </c>
      <c r="BW92" s="6" t="s">
        <v>631</v>
      </c>
      <c r="BX92" s="6">
        <v>4600.0</v>
      </c>
      <c r="BY92" s="6">
        <v>1000.0</v>
      </c>
      <c r="CA92" s="6" t="s">
        <v>631</v>
      </c>
      <c r="CB92" s="6">
        <v>10000.0</v>
      </c>
      <c r="CC92" s="6">
        <v>10000.0</v>
      </c>
    </row>
    <row r="93">
      <c r="B93" s="40"/>
      <c r="C93" s="41" t="s">
        <v>183</v>
      </c>
      <c r="D93" s="38">
        <f>500*I94</f>
        <v>22500</v>
      </c>
      <c r="E93" s="38" t="s">
        <v>224</v>
      </c>
      <c r="F93" s="42">
        <f>600*I94</f>
        <v>27000</v>
      </c>
      <c r="G93" s="43"/>
      <c r="H93" s="99" t="s">
        <v>584</v>
      </c>
      <c r="I93" s="45">
        <f t="array" ref="I93">match(TRUE,ISBLANK(F93:F105),0)-1</f>
        <v>1</v>
      </c>
      <c r="J93" s="100" t="s">
        <v>420</v>
      </c>
      <c r="K93" s="100" t="s">
        <v>585</v>
      </c>
      <c r="L93" s="38"/>
      <c r="M93" s="38"/>
      <c r="N93" s="38"/>
      <c r="O93" s="38"/>
      <c r="P93" s="38"/>
      <c r="Q93" s="38"/>
      <c r="R93" s="101"/>
      <c r="S93" s="101"/>
      <c r="T93" s="101"/>
      <c r="U93" s="45"/>
      <c r="V93" s="45"/>
      <c r="W93" s="45"/>
      <c r="X93" s="45"/>
      <c r="Y93" s="45"/>
      <c r="Z93" s="45"/>
      <c r="AA93" s="45"/>
      <c r="AB93" s="45"/>
      <c r="AC93" s="45"/>
      <c r="AD93" s="45"/>
      <c r="AE93" s="79"/>
      <c r="AF93" s="45"/>
      <c r="AG93" s="45"/>
      <c r="AH93" s="45"/>
      <c r="AI93" s="45"/>
      <c r="AJ93" s="45"/>
      <c r="AK93" s="45"/>
      <c r="AL93" s="45"/>
      <c r="AM93" s="45"/>
      <c r="AN93" s="45"/>
      <c r="AO93" s="45"/>
      <c r="AP93" s="45"/>
      <c r="AQ93" s="45"/>
      <c r="AR93" s="79"/>
      <c r="AS93" s="45"/>
      <c r="AT93" s="45"/>
      <c r="AU93" s="45"/>
      <c r="AV93" s="45"/>
      <c r="AW93" s="45"/>
      <c r="AX93" s="45"/>
      <c r="AY93" s="45"/>
      <c r="AZ93" s="45">
        <f>AZ92*AX92</f>
        <v>240</v>
      </c>
      <c r="BA93" s="45"/>
      <c r="BB93" s="45"/>
      <c r="BC93" s="45"/>
      <c r="BD93" s="45"/>
      <c r="BE93" s="45"/>
      <c r="BF93" s="45"/>
      <c r="BG93" s="46"/>
      <c r="BI93" s="28"/>
      <c r="BQ93" s="6" t="s">
        <v>248</v>
      </c>
      <c r="BR93" s="6">
        <v>68000.0</v>
      </c>
      <c r="BS93" s="6">
        <f>VLOOKUP(BQ93,'Item List'!$A$2:$D$300,2,FALSE)</f>
        <v>0</v>
      </c>
      <c r="BT93" s="6">
        <f>VLOOKUP(BQ93,'Item List'!$A$2:$D$300,3,FALSE)</f>
        <v>5</v>
      </c>
      <c r="BU93" s="6">
        <f>VLOOKUP(BQ93,'Item List'!$A$2:$D$300,4,FALSE)</f>
        <v>0</v>
      </c>
    </row>
    <row r="94">
      <c r="B94" s="40"/>
      <c r="C94" s="41" t="s">
        <v>226</v>
      </c>
      <c r="D94" s="38">
        <f>500*I94</f>
        <v>22500</v>
      </c>
      <c r="E94" s="38"/>
      <c r="F94" s="42"/>
      <c r="G94" s="43"/>
      <c r="H94" s="56" t="s">
        <v>502</v>
      </c>
      <c r="I94" s="57">
        <v>45.0</v>
      </c>
      <c r="J94" s="100" t="s">
        <v>427</v>
      </c>
      <c r="K94" s="100">
        <v>0.0</v>
      </c>
      <c r="L94" s="45"/>
      <c r="M94" s="45"/>
      <c r="N94" s="45"/>
      <c r="O94" s="45"/>
      <c r="P94" s="45"/>
      <c r="Q94" s="45"/>
      <c r="R94" s="45"/>
      <c r="S94" s="101"/>
      <c r="T94" s="101"/>
      <c r="U94" s="45"/>
      <c r="V94" s="45"/>
      <c r="W94" s="45"/>
      <c r="X94" s="45"/>
      <c r="Y94" s="45"/>
      <c r="Z94" s="45"/>
      <c r="AA94" s="45"/>
      <c r="AB94" s="45"/>
      <c r="AC94" s="45"/>
      <c r="AD94" s="45"/>
      <c r="AE94" s="79"/>
      <c r="AF94" s="45"/>
      <c r="AG94" s="45"/>
      <c r="AH94" s="45"/>
      <c r="AI94" s="45"/>
      <c r="AJ94" s="45"/>
      <c r="AK94" s="45"/>
      <c r="AL94" s="45"/>
      <c r="AM94" s="45"/>
      <c r="AN94" s="45"/>
      <c r="AO94" s="45"/>
      <c r="AP94" s="45"/>
      <c r="AQ94" s="45"/>
      <c r="AR94" s="79"/>
      <c r="AS94" s="45"/>
      <c r="AT94" s="45"/>
      <c r="AU94" s="45"/>
      <c r="AV94" s="45"/>
      <c r="AW94" s="45"/>
      <c r="AX94" s="45"/>
      <c r="AY94" s="45"/>
      <c r="AZ94" s="45"/>
      <c r="BA94" s="45"/>
      <c r="BB94" s="45"/>
      <c r="BC94" s="45"/>
      <c r="BD94" s="45"/>
      <c r="BE94" s="45"/>
      <c r="BF94" s="45"/>
      <c r="BG94" s="46"/>
      <c r="BI94" s="28"/>
    </row>
    <row r="95">
      <c r="B95" s="50"/>
      <c r="C95" s="51"/>
      <c r="D95" s="52"/>
      <c r="E95" s="52"/>
      <c r="F95" s="52"/>
      <c r="G95" s="112"/>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2"/>
      <c r="AF95" s="113"/>
      <c r="AG95" s="113"/>
      <c r="AH95" s="113"/>
      <c r="AI95" s="113"/>
      <c r="AJ95" s="113"/>
      <c r="AK95" s="113"/>
      <c r="AL95" s="113"/>
      <c r="AM95" s="113"/>
      <c r="AN95" s="113"/>
      <c r="AO95" s="113"/>
      <c r="AP95" s="113"/>
      <c r="AQ95" s="113"/>
      <c r="AR95" s="112"/>
      <c r="AS95" s="113"/>
      <c r="AT95" s="113"/>
      <c r="AU95" s="113"/>
      <c r="AV95" s="113"/>
      <c r="AW95" s="113"/>
      <c r="AX95" s="113"/>
      <c r="AY95" s="113"/>
      <c r="AZ95" s="113"/>
      <c r="BA95" s="113"/>
      <c r="BB95" s="113"/>
      <c r="BC95" s="113"/>
      <c r="BD95" s="113"/>
      <c r="BE95" s="113"/>
      <c r="BF95" s="113"/>
      <c r="BG95" s="114"/>
      <c r="BI95" s="28"/>
    </row>
    <row r="96">
      <c r="B96" s="31" t="s">
        <v>624</v>
      </c>
      <c r="C96" s="54"/>
      <c r="D96" s="45"/>
      <c r="E96" s="45"/>
      <c r="F96" s="47"/>
      <c r="G96" s="112"/>
      <c r="H96" s="115" t="s">
        <v>298</v>
      </c>
      <c r="I96" s="116" t="str">
        <f>VLOOKUP(H96,'Machine List'!$A$1:$I$300,9,FALSE)</f>
        <v>4000+500(7O-5)</v>
      </c>
      <c r="J96" s="116">
        <f>IF(VLOOKUP(H96,'Machine List'!$A$1:$I$300,5,FALSE)="Multi",IF(VLOOKUP(H96,'Machine List'!$A$1:$I$300,6,FALSE)="Yes",AG96*3*10^Z96,AG96*(2*3)*10^(Z96-1)),0)</f>
        <v>60</v>
      </c>
      <c r="K96" s="38">
        <f>J96+IF(ISNUMBER(I96),I96,
  SWITCH(
      I96,
      "1T",1*10^Z96,
      "2T",2*10^Z96,
      "3T",3*10^Z96,
      "4T",4*10^Z96,
      "4000+500(7O-5)",4000+500*(7*I97-5),
      "13500 + 16C",13500+16*VLOOKUP(J98,'Machine Helper Sheet'!$G$1:$K$16,5,FALSE),
      1
  )
)</f>
        <v>22560</v>
      </c>
      <c r="L96" s="38">
        <f>IF(VLOOKUP(H96,'Machine List'!$A$1:$I$300,5,FALSE)="Multi",IF(VLOOKUP(H96,'Machine List'!$A$1:$I$300,6,FALSE)="Yes",AU96*3*10^AT96,AU96*(2*3)*10^(AT96-1)),0)</f>
        <v>6000</v>
      </c>
      <c r="M96" s="38">
        <f>L96+IF(ISNUMBER(I96),I96,
  SWITCH(
      I96,
      "1T",1*10^AT96,
      "2T",2*10^AT96,
      "3T",3*10^AT96,
      "4T",4*10^AT96,
      "4000+500(7O-5)",4000+500*(7*I97-5),
      1
  )
)</f>
        <v>28500</v>
      </c>
      <c r="N96" s="116" t="str">
        <f>VLOOKUP(H96,'Machine List'!$A$1:$I$300,8,FALSE)</f>
        <v>Tier</v>
      </c>
      <c r="O96" s="116">
        <f>IF(ISNUMBER(N96),N96,10^Z96)</f>
        <v>100</v>
      </c>
      <c r="P96" s="116">
        <f>IF(ISNUMBER(N96),N96,10^AT96)</f>
        <v>10000</v>
      </c>
      <c r="Q96" s="116">
        <f>VLOOKUP(H96,'Machine List'!$A$1:$B$138,2,FALSE)</f>
        <v>1</v>
      </c>
      <c r="R96" s="117" t="s">
        <v>277</v>
      </c>
      <c r="S96" s="116">
        <f>IF(ISNUMBER(Q96),Q96,
  SWITCH(
      Q96,
      "1",1,
      "2T",Z96*2,
      "4T",Z96*4,
      "6T",Z96*6,
      "8T",Z96*8,
      "10T",Z96*10,
      "12T",Z96*12,
      "14T",Z96*14,
      "16T",Z96*16,
      "2(T+1)",2*(Z96+1),
      "1T*C",Z96*J98,
      1
  )
)</f>
        <v>1</v>
      </c>
      <c r="T96" s="116" t="s">
        <v>277</v>
      </c>
      <c r="U96" s="116">
        <f>IF(OR(T96="No",T96=""),S96,T96)</f>
        <v>1</v>
      </c>
      <c r="V96" s="116">
        <f>IF(ISNUMBER(Q96),Q96,
  SWITCH(
      Q96,
      "1",1,
      "2T",AT96*2,
      "4T",AT96*4,
      "6T",AT96*6,
      "8T",AT96*8,
      "10T",AT96*10,
      "12T",AT96*12,
      "14T",AT96*14,
      "16T",AT96*16,
      "2(T+1)",2*(AT96+1),
      "1T*C",AT96*J98,
      1
  )
)</f>
        <v>1</v>
      </c>
      <c r="W96" s="116" t="str">
        <f>T96</f>
        <v>No</v>
      </c>
      <c r="X96" s="116">
        <f>IF(OR(W96="No",W96=""),V96,W96)</f>
        <v>1</v>
      </c>
      <c r="Y96" s="117" t="s">
        <v>393</v>
      </c>
      <c r="Z96" s="116">
        <f>VLOOKUP(Y96,'Item Helper Sheet'!$A$2:$B$16,2,FALSE)</f>
        <v>2</v>
      </c>
      <c r="AA96" s="117">
        <v>120.0</v>
      </c>
      <c r="AB96" s="116">
        <f>6*20</f>
        <v>120</v>
      </c>
      <c r="AC96" s="116">
        <f>AB96*I102</f>
        <v>3240</v>
      </c>
      <c r="AD96" s="116">
        <f>AA96*AC96</f>
        <v>388800</v>
      </c>
      <c r="AE96" s="118"/>
      <c r="AF96" s="116" t="str">
        <f>Y96</f>
        <v>02 - MV</v>
      </c>
      <c r="AG96" s="116">
        <v>1.0</v>
      </c>
      <c r="AH96" s="116">
        <v>1.0</v>
      </c>
      <c r="AI96" s="116">
        <f>AH96*8*4^Z96</f>
        <v>128</v>
      </c>
      <c r="AJ96" s="116">
        <f>MIN(ROUNDDOWN(AI96/AL96,0),U96)</f>
        <v>1</v>
      </c>
      <c r="AK96" s="116">
        <f>IF(OR(T96="No",T96=""),AG96*S96,AG96*T96)</f>
        <v>1</v>
      </c>
      <c r="AL96" s="116">
        <f>ROUNDUP(AA96*VLOOKUP(H96,'Machine List'!$A$2:$D$219,4,FALSE),0)</f>
        <v>120</v>
      </c>
      <c r="AM96" s="116">
        <f>AL96*AK96</f>
        <v>120</v>
      </c>
      <c r="AN96" s="116">
        <f>ROUNDUP(AB96*I102,0)</f>
        <v>3240</v>
      </c>
      <c r="AO96" s="116">
        <f>ROUNDUP(AN96/VLOOKUP(H96,'Machine List'!$A$2:$D$219,3,FALSE),0)</f>
        <v>3240</v>
      </c>
      <c r="AP96" s="116">
        <f>ROUNDUP(AO96/AK96,0)</f>
        <v>3240</v>
      </c>
      <c r="AQ96" s="116">
        <f>AM96*AP96</f>
        <v>388800</v>
      </c>
      <c r="AR96" s="118"/>
      <c r="AS96" s="116" t="s">
        <v>401</v>
      </c>
      <c r="AT96" s="116">
        <f>VLOOKUP(AS96,'Item Helper Sheet'!$A$2:$B$16,2,FALSE)</f>
        <v>4</v>
      </c>
      <c r="AU96" s="116">
        <f>AG96</f>
        <v>1</v>
      </c>
      <c r="AV96" s="116">
        <v>1.0</v>
      </c>
      <c r="AW96" s="116">
        <f>AV96*8*4^AT96</f>
        <v>2048</v>
      </c>
      <c r="AX96" s="116">
        <f>MIN(ROUNDDOWN(AW96/AL96,0),X96)</f>
        <v>1</v>
      </c>
      <c r="AY96" s="116">
        <f>AX96*AU96</f>
        <v>1</v>
      </c>
      <c r="AZ96" s="116">
        <f>AL96</f>
        <v>120</v>
      </c>
      <c r="BA96" s="116">
        <f>MIN(AT96-Z96,IF(AW96&gt;=AZ97*4,
IF(AW96&gt;=AZ97*4^2,
IF(AW96&gt;=AZ97*4^3,
IF(AW96&gt;=AZ97*4^4,
IF(AW96&gt;=AZ97*4^5,
IF(AW96&gt;=AZ97*4^6,
IF(AW96&gt;=AZ97*4^7,
IF(AW96&gt;=AZ97*4^8,
IF(AW96&gt;=AZ97*4^9,
IF(AW96&gt;=AZ97*4^10,
9),
8),
7),
6),
5),
4),
3),
2),
1),
0))</f>
        <v>2</v>
      </c>
      <c r="BB96" s="116">
        <f>AZ96*AX96*4^BA96</f>
        <v>1920</v>
      </c>
      <c r="BC96" s="116">
        <f>BB96*AU96</f>
        <v>1920</v>
      </c>
      <c r="BD96" s="116">
        <f>ROUNDUP(IF(R96="Yes",AN96/(2^((BA96)*2)),AN96/(2^(BA96))),0)</f>
        <v>810</v>
      </c>
      <c r="BE96" s="116">
        <f>ROUNDUP(BD96/VLOOKUP(H96,'Machine List'!$A$2:$D$219,3,FALSE),0)</f>
        <v>810</v>
      </c>
      <c r="BF96" s="116">
        <f>ROUNDUP(BE96/AY96,0)</f>
        <v>810</v>
      </c>
      <c r="BG96" s="119">
        <f>BF96*BC96</f>
        <v>1555200</v>
      </c>
      <c r="BI96" s="28"/>
      <c r="BK96" s="6" t="s">
        <v>457</v>
      </c>
      <c r="BL96" s="6" t="s">
        <v>467</v>
      </c>
      <c r="BM96" s="6" t="s">
        <v>471</v>
      </c>
      <c r="BN96" s="6" t="s">
        <v>457</v>
      </c>
      <c r="BO96" s="6" t="s">
        <v>466</v>
      </c>
      <c r="BP96" s="6" t="s">
        <v>470</v>
      </c>
      <c r="BQ96" s="6" t="s">
        <v>457</v>
      </c>
      <c r="BR96" s="6" t="s">
        <v>484</v>
      </c>
      <c r="BS96" s="6" t="s">
        <v>605</v>
      </c>
      <c r="BT96" s="6" t="s">
        <v>606</v>
      </c>
    </row>
    <row r="97">
      <c r="B97" s="40"/>
      <c r="C97" s="41" t="s">
        <v>224</v>
      </c>
      <c r="D97" s="38">
        <f>1000*I102</f>
        <v>27000</v>
      </c>
      <c r="E97" s="38" t="s">
        <v>82</v>
      </c>
      <c r="F97" s="42">
        <f>100*I102</f>
        <v>2700</v>
      </c>
      <c r="G97" s="112"/>
      <c r="H97" s="99" t="s">
        <v>584</v>
      </c>
      <c r="I97" s="45">
        <f t="array" ref="I97">match(TRUE,ISBLANK(F97:F109),0)-1</f>
        <v>6</v>
      </c>
      <c r="J97" s="120" t="s">
        <v>420</v>
      </c>
      <c r="K97" s="120" t="s">
        <v>585</v>
      </c>
      <c r="L97" s="121"/>
      <c r="M97" s="121"/>
      <c r="N97" s="121"/>
      <c r="O97" s="121"/>
      <c r="P97" s="121"/>
      <c r="Q97" s="121"/>
      <c r="R97" s="121"/>
      <c r="S97" s="121"/>
      <c r="T97" s="121"/>
      <c r="U97" s="121"/>
      <c r="V97" s="121"/>
      <c r="W97" s="121"/>
      <c r="X97" s="121"/>
      <c r="Y97" s="121"/>
      <c r="Z97" s="121"/>
      <c r="AA97" s="121"/>
      <c r="AB97" s="121"/>
      <c r="AC97" s="121"/>
      <c r="AD97" s="121"/>
      <c r="AE97" s="118"/>
      <c r="AF97" s="121"/>
      <c r="AG97" s="121"/>
      <c r="AH97" s="121"/>
      <c r="AI97" s="121"/>
      <c r="AJ97" s="121"/>
      <c r="AK97" s="121"/>
      <c r="AL97" s="121"/>
      <c r="AM97" s="121"/>
      <c r="AN97" s="121"/>
      <c r="AO97" s="121"/>
      <c r="AP97" s="121"/>
      <c r="AQ97" s="121"/>
      <c r="AR97" s="118"/>
      <c r="AS97" s="121"/>
      <c r="AT97" s="121"/>
      <c r="AU97" s="121"/>
      <c r="AV97" s="121"/>
      <c r="AW97" s="121"/>
      <c r="AX97" s="121"/>
      <c r="AY97" s="121"/>
      <c r="AZ97" s="116">
        <f>AZ96*AX96</f>
        <v>120</v>
      </c>
      <c r="BA97" s="121"/>
      <c r="BB97" s="121"/>
      <c r="BC97" s="121"/>
      <c r="BD97" s="121"/>
      <c r="BE97" s="121"/>
      <c r="BF97" s="121"/>
      <c r="BG97" s="122"/>
      <c r="BI97" s="28"/>
      <c r="BK97" s="6" t="s">
        <v>579</v>
      </c>
      <c r="BL97" s="6">
        <v>9216000.0</v>
      </c>
      <c r="BM97" s="6">
        <v>1.8432E7</v>
      </c>
      <c r="BN97" s="6" t="s">
        <v>579</v>
      </c>
      <c r="BO97" s="6">
        <v>19200.0</v>
      </c>
      <c r="BP97" s="6">
        <v>9600.0</v>
      </c>
      <c r="BQ97" s="6" t="s">
        <v>579</v>
      </c>
      <c r="BR97" s="6">
        <v>3.0</v>
      </c>
      <c r="BS97" s="6">
        <v>4.0</v>
      </c>
      <c r="BT97" s="6">
        <v>1.0</v>
      </c>
    </row>
    <row r="98">
      <c r="B98" s="40"/>
      <c r="C98" s="41"/>
      <c r="D98" s="38"/>
      <c r="E98" s="38" t="s">
        <v>118</v>
      </c>
      <c r="F98" s="42">
        <f>700*I102</f>
        <v>18900</v>
      </c>
      <c r="G98" s="112"/>
      <c r="H98" s="123"/>
      <c r="I98" s="101"/>
      <c r="J98" s="100" t="s">
        <v>424</v>
      </c>
      <c r="K98" s="120">
        <v>0.0</v>
      </c>
      <c r="L98" s="121"/>
      <c r="M98" s="121"/>
      <c r="N98" s="121"/>
      <c r="O98" s="121"/>
      <c r="P98" s="121"/>
      <c r="Q98" s="121"/>
      <c r="R98" s="121"/>
      <c r="S98" s="121"/>
      <c r="T98" s="121"/>
      <c r="U98" s="121"/>
      <c r="V98" s="121"/>
      <c r="W98" s="121"/>
      <c r="X98" s="121"/>
      <c r="Y98" s="121"/>
      <c r="Z98" s="121"/>
      <c r="AA98" s="121"/>
      <c r="AB98" s="121"/>
      <c r="AC98" s="121"/>
      <c r="AD98" s="121"/>
      <c r="AE98" s="118"/>
      <c r="AF98" s="121"/>
      <c r="AG98" s="121"/>
      <c r="AH98" s="121"/>
      <c r="AI98" s="121"/>
      <c r="AJ98" s="121"/>
      <c r="AK98" s="121"/>
      <c r="AL98" s="121"/>
      <c r="AM98" s="121"/>
      <c r="AN98" s="121"/>
      <c r="AO98" s="121"/>
      <c r="AP98" s="121"/>
      <c r="AQ98" s="121"/>
      <c r="AR98" s="118"/>
      <c r="AS98" s="121"/>
      <c r="AT98" s="121"/>
      <c r="AU98" s="121"/>
      <c r="AV98" s="121"/>
      <c r="AW98" s="121"/>
      <c r="AX98" s="121"/>
      <c r="AY98" s="121"/>
      <c r="AZ98" s="121"/>
      <c r="BA98" s="121"/>
      <c r="BB98" s="121"/>
      <c r="BC98" s="121"/>
      <c r="BD98" s="121"/>
      <c r="BE98" s="121"/>
      <c r="BF98" s="121"/>
      <c r="BG98" s="122"/>
      <c r="BI98" s="28"/>
      <c r="BK98" s="6" t="s">
        <v>593</v>
      </c>
      <c r="BL98" s="6">
        <v>105600.0</v>
      </c>
      <c r="BM98" s="6">
        <v>105600.0</v>
      </c>
      <c r="BN98" s="6" t="s">
        <v>593</v>
      </c>
      <c r="BO98" s="6">
        <v>3520.0</v>
      </c>
      <c r="BP98" s="6">
        <v>55.0</v>
      </c>
      <c r="BQ98" s="6" t="s">
        <v>593</v>
      </c>
      <c r="BR98" s="6">
        <v>1.0</v>
      </c>
      <c r="BS98" s="6">
        <v>4.0</v>
      </c>
      <c r="BT98" s="6">
        <v>3.0</v>
      </c>
    </row>
    <row r="99">
      <c r="B99" s="40"/>
      <c r="C99" s="41"/>
      <c r="D99" s="38"/>
      <c r="E99" s="38" t="s">
        <v>64</v>
      </c>
      <c r="F99" s="42">
        <f>300*I102</f>
        <v>8100</v>
      </c>
      <c r="G99" s="112"/>
      <c r="H99" s="123"/>
      <c r="I99" s="101"/>
      <c r="J99" s="101"/>
      <c r="K99" s="101"/>
      <c r="L99" s="101"/>
      <c r="M99" s="101"/>
      <c r="N99" s="101"/>
      <c r="O99" s="101"/>
      <c r="P99" s="101"/>
      <c r="Q99" s="101"/>
      <c r="R99" s="101"/>
      <c r="S99" s="101"/>
      <c r="T99" s="101"/>
      <c r="U99" s="101"/>
      <c r="V99" s="101"/>
      <c r="W99" s="101"/>
      <c r="X99" s="101"/>
      <c r="Y99" s="101"/>
      <c r="Z99" s="101"/>
      <c r="AA99" s="101"/>
      <c r="AB99" s="101"/>
      <c r="AC99" s="101"/>
      <c r="AD99" s="101"/>
      <c r="AE99" s="118"/>
      <c r="AF99" s="101"/>
      <c r="AG99" s="101"/>
      <c r="AH99" s="101"/>
      <c r="AI99" s="101"/>
      <c r="AJ99" s="101"/>
      <c r="AK99" s="101"/>
      <c r="AL99" s="101"/>
      <c r="AM99" s="101"/>
      <c r="AN99" s="101"/>
      <c r="AO99" s="101"/>
      <c r="AP99" s="101"/>
      <c r="AQ99" s="101"/>
      <c r="AR99" s="118"/>
      <c r="AS99" s="101"/>
      <c r="AT99" s="101"/>
      <c r="AU99" s="101"/>
      <c r="AV99" s="101"/>
      <c r="AW99" s="101"/>
      <c r="AX99" s="101"/>
      <c r="AY99" s="101"/>
      <c r="AZ99" s="101"/>
      <c r="BA99" s="101"/>
      <c r="BB99" s="101"/>
      <c r="BC99" s="101"/>
      <c r="BD99" s="101"/>
      <c r="BE99" s="101"/>
      <c r="BF99" s="101"/>
      <c r="BG99" s="124"/>
      <c r="BI99" s="28"/>
      <c r="BK99" s="6" t="s">
        <v>599</v>
      </c>
      <c r="BL99" s="6">
        <v>48000.0</v>
      </c>
      <c r="BM99" s="6">
        <v>48000.0</v>
      </c>
      <c r="BN99" s="6" t="s">
        <v>599</v>
      </c>
      <c r="BO99" s="6">
        <v>1600.0</v>
      </c>
      <c r="BP99" s="6">
        <v>25.0</v>
      </c>
      <c r="BQ99" s="6" t="s">
        <v>599</v>
      </c>
      <c r="BR99" s="6">
        <v>1.0</v>
      </c>
      <c r="BS99" s="6">
        <v>4.0</v>
      </c>
      <c r="BT99" s="6">
        <v>3.0</v>
      </c>
    </row>
    <row r="100">
      <c r="B100" s="40"/>
      <c r="C100" s="41"/>
      <c r="D100" s="38"/>
      <c r="E100" s="38" t="s">
        <v>61</v>
      </c>
      <c r="F100" s="42">
        <f>10*I102</f>
        <v>270</v>
      </c>
      <c r="G100" s="112"/>
      <c r="H100" s="123"/>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18"/>
      <c r="AF100" s="101"/>
      <c r="AG100" s="101"/>
      <c r="AH100" s="101"/>
      <c r="AI100" s="101"/>
      <c r="AJ100" s="101"/>
      <c r="AK100" s="101"/>
      <c r="AL100" s="101"/>
      <c r="AM100" s="101"/>
      <c r="AN100" s="101"/>
      <c r="AO100" s="101"/>
      <c r="AP100" s="101"/>
      <c r="AQ100" s="101"/>
      <c r="AR100" s="118"/>
      <c r="AS100" s="101"/>
      <c r="AT100" s="101"/>
      <c r="AU100" s="101"/>
      <c r="AV100" s="101"/>
      <c r="AW100" s="101"/>
      <c r="AX100" s="101"/>
      <c r="AY100" s="101"/>
      <c r="AZ100" s="101"/>
      <c r="BA100" s="101"/>
      <c r="BB100" s="101"/>
      <c r="BC100" s="101"/>
      <c r="BD100" s="101"/>
      <c r="BE100" s="101"/>
      <c r="BF100" s="101"/>
      <c r="BG100" s="124"/>
      <c r="BI100" s="28"/>
      <c r="BK100" s="6" t="s">
        <v>601</v>
      </c>
      <c r="BL100" s="6">
        <v>120000.0</v>
      </c>
      <c r="BM100" s="6">
        <v>120960.0</v>
      </c>
      <c r="BN100" s="6" t="s">
        <v>601</v>
      </c>
      <c r="BO100" s="6">
        <v>4000.0</v>
      </c>
      <c r="BP100" s="6">
        <v>63.0</v>
      </c>
      <c r="BQ100" s="6" t="s">
        <v>601</v>
      </c>
      <c r="BR100" s="6">
        <v>1.0</v>
      </c>
      <c r="BS100" s="6">
        <v>4.0</v>
      </c>
      <c r="BT100" s="6">
        <v>3.0</v>
      </c>
    </row>
    <row r="101">
      <c r="B101" s="40"/>
      <c r="C101" s="41"/>
      <c r="D101" s="38"/>
      <c r="E101" s="38" t="s">
        <v>162</v>
      </c>
      <c r="F101" s="42">
        <f>10*I102</f>
        <v>270</v>
      </c>
      <c r="G101" s="112"/>
      <c r="H101" s="123"/>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18"/>
      <c r="AF101" s="101"/>
      <c r="AG101" s="101"/>
      <c r="AH101" s="101"/>
      <c r="AI101" s="101"/>
      <c r="AJ101" s="101"/>
      <c r="AK101" s="101"/>
      <c r="AL101" s="101"/>
      <c r="AM101" s="101"/>
      <c r="AN101" s="101"/>
      <c r="AO101" s="101"/>
      <c r="AP101" s="101"/>
      <c r="AQ101" s="101"/>
      <c r="AR101" s="118"/>
      <c r="AS101" s="101"/>
      <c r="AT101" s="101"/>
      <c r="AU101" s="101"/>
      <c r="AV101" s="101"/>
      <c r="AW101" s="101"/>
      <c r="AX101" s="101"/>
      <c r="AY101" s="101"/>
      <c r="AZ101" s="101"/>
      <c r="BA101" s="101"/>
      <c r="BB101" s="101"/>
      <c r="BC101" s="101"/>
      <c r="BD101" s="101"/>
      <c r="BE101" s="101"/>
      <c r="BF101" s="101"/>
      <c r="BG101" s="124"/>
      <c r="BI101" s="28"/>
      <c r="BK101" s="6" t="s">
        <v>611</v>
      </c>
      <c r="BL101" s="6">
        <v>48000.0</v>
      </c>
      <c r="BM101" s="6">
        <v>48000.0</v>
      </c>
      <c r="BN101" s="6" t="s">
        <v>611</v>
      </c>
      <c r="BO101" s="6">
        <v>1600.0</v>
      </c>
      <c r="BP101" s="6">
        <v>25.0</v>
      </c>
      <c r="BQ101" s="6" t="s">
        <v>611</v>
      </c>
      <c r="BR101" s="6">
        <v>1.0</v>
      </c>
      <c r="BS101" s="6">
        <v>4.0</v>
      </c>
      <c r="BT101" s="6">
        <v>3.0</v>
      </c>
    </row>
    <row r="102">
      <c r="B102" s="40"/>
      <c r="C102" s="41"/>
      <c r="D102" s="38"/>
      <c r="E102" s="38" t="s">
        <v>44</v>
      </c>
      <c r="F102" s="42">
        <f>0.1*I102</f>
        <v>2.7</v>
      </c>
      <c r="G102" s="112"/>
      <c r="H102" s="48" t="s">
        <v>502</v>
      </c>
      <c r="I102" s="49">
        <v>27.0</v>
      </c>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18"/>
      <c r="AF102" s="101"/>
      <c r="AG102" s="101"/>
      <c r="AH102" s="101"/>
      <c r="AI102" s="101"/>
      <c r="AJ102" s="101"/>
      <c r="AK102" s="101"/>
      <c r="AL102" s="101"/>
      <c r="AM102" s="101"/>
      <c r="AN102" s="101"/>
      <c r="AO102" s="101"/>
      <c r="AP102" s="101"/>
      <c r="AQ102" s="101"/>
      <c r="AR102" s="118"/>
      <c r="AS102" s="101"/>
      <c r="AT102" s="101"/>
      <c r="AU102" s="101"/>
      <c r="AV102" s="101"/>
      <c r="AW102" s="101"/>
      <c r="AX102" s="101"/>
      <c r="AY102" s="101"/>
      <c r="AZ102" s="101"/>
      <c r="BA102" s="101"/>
      <c r="BB102" s="101"/>
      <c r="BC102" s="101"/>
      <c r="BD102" s="101"/>
      <c r="BE102" s="101"/>
      <c r="BF102" s="101"/>
      <c r="BG102" s="124"/>
      <c r="BI102" s="28"/>
      <c r="BK102" s="6" t="s">
        <v>615</v>
      </c>
      <c r="BL102" s="6">
        <v>964800.0</v>
      </c>
      <c r="BM102" s="6">
        <v>965760.0</v>
      </c>
      <c r="BN102" s="6" t="s">
        <v>615</v>
      </c>
      <c r="BO102" s="6">
        <v>32160.0</v>
      </c>
      <c r="BP102" s="6">
        <v>503.0</v>
      </c>
      <c r="BQ102" s="6" t="s">
        <v>615</v>
      </c>
      <c r="BR102" s="6">
        <v>1.0</v>
      </c>
      <c r="BS102" s="6">
        <v>4.0</v>
      </c>
      <c r="BT102" s="6">
        <v>3.0</v>
      </c>
    </row>
    <row r="103">
      <c r="B103" s="50"/>
      <c r="C103" s="51"/>
      <c r="D103" s="52"/>
      <c r="E103" s="52"/>
      <c r="F103" s="52"/>
      <c r="G103" s="112"/>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2"/>
      <c r="AF103" s="113"/>
      <c r="AG103" s="113"/>
      <c r="AH103" s="113"/>
      <c r="AI103" s="113"/>
      <c r="AJ103" s="113"/>
      <c r="AK103" s="113"/>
      <c r="AL103" s="113"/>
      <c r="AM103" s="113"/>
      <c r="AN103" s="113"/>
      <c r="AO103" s="113"/>
      <c r="AP103" s="113"/>
      <c r="AQ103" s="113"/>
      <c r="AR103" s="112"/>
      <c r="AS103" s="113"/>
      <c r="AT103" s="113"/>
      <c r="AU103" s="113"/>
      <c r="AV103" s="113"/>
      <c r="AW103" s="113"/>
      <c r="AX103" s="113"/>
      <c r="AY103" s="113"/>
      <c r="AZ103" s="113"/>
      <c r="BA103" s="113"/>
      <c r="BB103" s="113"/>
      <c r="BC103" s="113"/>
      <c r="BD103" s="113"/>
      <c r="BE103" s="113"/>
      <c r="BF103" s="113"/>
      <c r="BG103" s="114"/>
      <c r="BI103" s="28"/>
      <c r="BK103" s="6" t="s">
        <v>616</v>
      </c>
      <c r="BL103" s="6">
        <v>720000.0</v>
      </c>
      <c r="BM103" s="6">
        <v>720000.0</v>
      </c>
      <c r="BN103" s="6" t="s">
        <v>616</v>
      </c>
      <c r="BO103" s="6">
        <v>1500.0</v>
      </c>
      <c r="BP103" s="6">
        <v>375.0</v>
      </c>
      <c r="BQ103" s="6" t="s">
        <v>616</v>
      </c>
      <c r="BR103" s="6">
        <v>3.0</v>
      </c>
      <c r="BS103" s="6">
        <v>4.0</v>
      </c>
      <c r="BT103" s="6">
        <v>1.0</v>
      </c>
    </row>
    <row r="104">
      <c r="B104" s="31" t="s">
        <v>625</v>
      </c>
      <c r="C104" s="54"/>
      <c r="D104" s="45"/>
      <c r="E104" s="45"/>
      <c r="F104" s="47"/>
      <c r="G104" s="112"/>
      <c r="H104" s="125" t="s">
        <v>349</v>
      </c>
      <c r="I104" s="116">
        <f>VLOOKUP(H104,'Machine List'!$A$1:$I$300,9,FALSE)</f>
        <v>4000</v>
      </c>
      <c r="J104" s="116">
        <f>IF(VLOOKUP(H104,'Machine List'!$A$1:$I$300,5,FALSE)="Multi",IF(VLOOKUP(H104,'Machine List'!$A$1:$I$300,6,FALSE)="Yes",AG104*3*10^Z104,AG104*(2*3)*10^(Z104-1)),0)</f>
        <v>6</v>
      </c>
      <c r="K104" s="38">
        <f>J104+IF(ISNUMBER(I104),I104,
  SWITCH(
      I104,
      "1T",1*10^Z104,
      "2T",2*10^Z104,
      "3T",3*10^Z104,
      "4T",4*10^Z104,
      "4000+500(7O-5)",4000+500*(7*I105-5),
      "13500 + 16C",13500+16*VLOOKUP(J106,'Machine Helper Sheet'!$G$1:$K$16,5,FALSE),
      1
  )
)</f>
        <v>4006</v>
      </c>
      <c r="L104" s="38">
        <f>IF(VLOOKUP(H104,'Machine List'!$A$1:$I$300,5,FALSE)="Multi",IF(VLOOKUP(H104,'Machine List'!$A$1:$I$300,6,FALSE)="Yes",AU104*3*10^AT104,AU104*(2*3)*10^(AT104-1)),0)</f>
        <v>6000</v>
      </c>
      <c r="M104" s="38">
        <f>L104+IF(ISNUMBER(I104),I104,
  SWITCH(
      I104,
      "1T",1*10^AT104,
      "2T",2*10^AT104,
      "3T",3*10^AT104,
      "4T",4*10^AT104,
      "4000+500(7O-5)",4000+500*(7*I105-5),
      1
  )
)</f>
        <v>10000</v>
      </c>
      <c r="N104" s="116" t="str">
        <f>VLOOKUP(H104,'Machine List'!$A$1:$I$300,8,FALSE)</f>
        <v>Tier</v>
      </c>
      <c r="O104" s="116">
        <f>IF(ISNUMBER(N104),N104,10^Z104)</f>
        <v>10</v>
      </c>
      <c r="P104" s="116">
        <f>IF(ISNUMBER(N104),N104,10^AT104)</f>
        <v>10000</v>
      </c>
      <c r="Q104" s="116">
        <f>VLOOKUP(H104,'Machine List'!$A$1:$B$138,2,FALSE)</f>
        <v>1</v>
      </c>
      <c r="R104" s="116" t="s">
        <v>594</v>
      </c>
      <c r="S104" s="116">
        <f>IF(ISNUMBER(Q104),Q104,
  SWITCH(
      Q104,
      "1",1,
      "2T",Z104*2,
      "4T",Z104*4,
      "6T",Z104*6,
      "8T",Z104*8,
      "10T",Z104*10,
      "12T",Z104*12,
      "14T",Z104*14,
      "16T",Z104*16,
      "2(T+1)",2*(Z104+1),
      "1T*C",Z104*J106,
      1
  )
)</f>
        <v>1</v>
      </c>
      <c r="T104" s="116" t="s">
        <v>277</v>
      </c>
      <c r="U104" s="116">
        <f>IF(OR(T104="No",T104=""),S104,T104)</f>
        <v>1</v>
      </c>
      <c r="V104" s="116">
        <f>IF(ISNUMBER(Q104),Q104,
  SWITCH(
      Q104,
      "1",1,
      "2T",AT104*2,
      "4T",AT104*4,
      "6T",AT104*6,
      "8T",AT104*8,
      "10T",AT104*10,
      "12T",AT104*12,
      "14T",AT104*14,
      "16T",AT104*16,
      "2(T+1)",2*(AT104+1),
      "1T*C",AT104*J106,
      1
  )
)</f>
        <v>1</v>
      </c>
      <c r="W104" s="116" t="str">
        <f>T104</f>
        <v>No</v>
      </c>
      <c r="X104" s="116">
        <f>IF(OR(W104="No",W104=""),V104,W104)</f>
        <v>1</v>
      </c>
      <c r="Y104" s="117" t="s">
        <v>390</v>
      </c>
      <c r="Z104" s="116">
        <f>VLOOKUP(Y104,'Item Helper Sheet'!$A$2:$B$16,2,FALSE)</f>
        <v>1</v>
      </c>
      <c r="AA104" s="117">
        <v>30.0</v>
      </c>
      <c r="AB104" s="116">
        <f>5*20</f>
        <v>100</v>
      </c>
      <c r="AC104" s="116">
        <f>AB104*I106</f>
        <v>400</v>
      </c>
      <c r="AD104" s="116">
        <f>AA104*AC104</f>
        <v>12000</v>
      </c>
      <c r="AE104" s="118"/>
      <c r="AF104" s="116" t="str">
        <f>Y104</f>
        <v>01 - LV</v>
      </c>
      <c r="AG104" s="116">
        <v>1.0</v>
      </c>
      <c r="AH104" s="116">
        <v>1.0</v>
      </c>
      <c r="AI104" s="116">
        <f>AH104*8*4^Z104</f>
        <v>32</v>
      </c>
      <c r="AJ104" s="116">
        <f>MIN(ROUNDDOWN(AI104/AL104,0),U104)</f>
        <v>1</v>
      </c>
      <c r="AK104" s="116">
        <f>IF(OR(T104="No",T104=""),AG104*S104,AG104*T104)</f>
        <v>1</v>
      </c>
      <c r="AL104" s="116">
        <f>ROUNDUP(AA104*VLOOKUP(H104,'Machine List'!$A$2:$D$219,4,FALSE),0)</f>
        <v>30</v>
      </c>
      <c r="AM104" s="116">
        <f>AL104*AK104</f>
        <v>30</v>
      </c>
      <c r="AN104" s="116">
        <f>ROUNDUP(AB104*I106,0)</f>
        <v>400</v>
      </c>
      <c r="AO104" s="116">
        <f>ROUNDUP(AN104/VLOOKUP(H104,'Machine List'!$A$2:$D$219,3,FALSE),0)</f>
        <v>400</v>
      </c>
      <c r="AP104" s="116">
        <f>ROUNDUP(AO104/AK104,0)</f>
        <v>400</v>
      </c>
      <c r="AQ104" s="116">
        <f>AM104*AP104</f>
        <v>12000</v>
      </c>
      <c r="AR104" s="118"/>
      <c r="AS104" s="116" t="s">
        <v>401</v>
      </c>
      <c r="AT104" s="116">
        <f>VLOOKUP(AS104,'Item Helper Sheet'!$A$2:$B$16,2,FALSE)</f>
        <v>4</v>
      </c>
      <c r="AU104" s="116">
        <f>AG104</f>
        <v>1</v>
      </c>
      <c r="AV104" s="116">
        <v>1.0</v>
      </c>
      <c r="AW104" s="116">
        <f>AV104*8*4^AT104</f>
        <v>2048</v>
      </c>
      <c r="AX104" s="116">
        <f>MIN(ROUNDDOWN(AW104/AL104,0),X104)</f>
        <v>1</v>
      </c>
      <c r="AY104" s="116">
        <f>AX104*AU104</f>
        <v>1</v>
      </c>
      <c r="AZ104" s="116">
        <f>AL104</f>
        <v>30</v>
      </c>
      <c r="BA104" s="116">
        <f>MIN(AT104-Z104,IF(AW104&gt;=AZ105*4,
IF(AW104&gt;=AZ105*4^2,
IF(AW104&gt;=AZ105*4^3,
IF(AW104&gt;=AZ105*4^4,
IF(AW104&gt;=AZ105*4^5,
IF(AW104&gt;=AZ105*4^6,
IF(AW104&gt;=AZ105*4^7,
IF(AW104&gt;=AZ105*4^8,
IF(AW104&gt;=AZ105*4^9,
IF(AW104&gt;=AZ105*4^10,
9),
8),
7),
6),
5),
4),
3),
2),
1),
0))</f>
        <v>3</v>
      </c>
      <c r="BB104" s="116">
        <f>AZ104*AX104*4^BA104</f>
        <v>1920</v>
      </c>
      <c r="BC104" s="116">
        <f>BB104*AU104</f>
        <v>1920</v>
      </c>
      <c r="BD104" s="116">
        <f>ROUNDUP(IF(R104="Yes",AN104/(2^((BA104)*2)),AN104/(2^(BA104))),0)</f>
        <v>7</v>
      </c>
      <c r="BE104" s="116">
        <f>ROUNDUP(BD104/VLOOKUP(H104,'Machine List'!$A$2:$D$219,3,FALSE),0)</f>
        <v>7</v>
      </c>
      <c r="BF104" s="116">
        <f>ROUNDUP(BE104/AY104,0)</f>
        <v>7</v>
      </c>
      <c r="BG104" s="119">
        <f>BF104*BC104</f>
        <v>13440</v>
      </c>
      <c r="BI104" s="28"/>
      <c r="BK104" s="6" t="s">
        <v>623</v>
      </c>
      <c r="BL104" s="6">
        <v>324000.0</v>
      </c>
      <c r="BM104" s="6">
        <v>648000.0</v>
      </c>
      <c r="BN104" s="6" t="s">
        <v>623</v>
      </c>
      <c r="BO104" s="6">
        <v>1350.0</v>
      </c>
      <c r="BP104" s="6">
        <v>675.0</v>
      </c>
      <c r="BQ104" s="6" t="s">
        <v>623</v>
      </c>
      <c r="BR104" s="6">
        <v>3.0</v>
      </c>
      <c r="BS104" s="6">
        <v>4.0</v>
      </c>
      <c r="BT104" s="6">
        <v>1.0</v>
      </c>
    </row>
    <row r="105">
      <c r="B105" s="40"/>
      <c r="C105" s="41" t="s">
        <v>64</v>
      </c>
      <c r="D105" s="38">
        <f>2000*I106</f>
        <v>8000</v>
      </c>
      <c r="E105" s="38" t="s">
        <v>13</v>
      </c>
      <c r="F105" s="42">
        <f>1000*I106</f>
        <v>4000</v>
      </c>
      <c r="G105" s="112"/>
      <c r="H105" s="99" t="s">
        <v>584</v>
      </c>
      <c r="I105" s="45">
        <f t="array" ref="I105">match(TRUE,ISBLANK(F105:F117),0)-1</f>
        <v>1</v>
      </c>
      <c r="J105" s="120" t="s">
        <v>420</v>
      </c>
      <c r="K105" s="120" t="s">
        <v>585</v>
      </c>
      <c r="L105" s="121"/>
      <c r="M105" s="121"/>
      <c r="N105" s="121"/>
      <c r="O105" s="121"/>
      <c r="P105" s="121"/>
      <c r="Q105" s="121"/>
      <c r="R105" s="121"/>
      <c r="S105" s="121"/>
      <c r="T105" s="121"/>
      <c r="U105" s="121"/>
      <c r="V105" s="121"/>
      <c r="W105" s="121"/>
      <c r="X105" s="121"/>
      <c r="Y105" s="121"/>
      <c r="Z105" s="121"/>
      <c r="AA105" s="121"/>
      <c r="AB105" s="121"/>
      <c r="AC105" s="121"/>
      <c r="AD105" s="121"/>
      <c r="AE105" s="118"/>
      <c r="AF105" s="121"/>
      <c r="AG105" s="121"/>
      <c r="AH105" s="121"/>
      <c r="AI105" s="121"/>
      <c r="AJ105" s="121"/>
      <c r="AK105" s="121"/>
      <c r="AL105" s="121"/>
      <c r="AM105" s="121"/>
      <c r="AN105" s="121"/>
      <c r="AO105" s="121"/>
      <c r="AP105" s="121"/>
      <c r="AQ105" s="121"/>
      <c r="AR105" s="118"/>
      <c r="AS105" s="121"/>
      <c r="AT105" s="121"/>
      <c r="AU105" s="121"/>
      <c r="AV105" s="121"/>
      <c r="AW105" s="121"/>
      <c r="AX105" s="121"/>
      <c r="AY105" s="121"/>
      <c r="AZ105" s="116">
        <f>AZ104*AX104</f>
        <v>30</v>
      </c>
      <c r="BA105" s="121"/>
      <c r="BB105" s="121"/>
      <c r="BC105" s="121"/>
      <c r="BD105" s="121"/>
      <c r="BE105" s="121"/>
      <c r="BF105" s="121"/>
      <c r="BG105" s="122"/>
      <c r="BI105" s="28"/>
      <c r="BK105" s="6" t="s">
        <v>624</v>
      </c>
      <c r="BL105" s="6">
        <v>388800.0</v>
      </c>
      <c r="BM105" s="6">
        <v>1555200.0</v>
      </c>
      <c r="BN105" s="6" t="s">
        <v>624</v>
      </c>
      <c r="BO105" s="6">
        <v>3240.0</v>
      </c>
      <c r="BP105" s="6">
        <v>810.0</v>
      </c>
      <c r="BQ105" s="6" t="s">
        <v>624</v>
      </c>
      <c r="BR105" s="6">
        <v>2.0</v>
      </c>
      <c r="BS105" s="6">
        <v>4.0</v>
      </c>
      <c r="BT105" s="6">
        <v>2.0</v>
      </c>
    </row>
    <row r="106">
      <c r="B106" s="40"/>
      <c r="C106" s="41" t="s">
        <v>142</v>
      </c>
      <c r="D106" s="38">
        <f>1000*I106</f>
        <v>4000</v>
      </c>
      <c r="E106" s="38"/>
      <c r="F106" s="42"/>
      <c r="G106" s="112"/>
      <c r="H106" s="48" t="s">
        <v>502</v>
      </c>
      <c r="I106" s="49">
        <v>4.0</v>
      </c>
      <c r="J106" s="100" t="s">
        <v>424</v>
      </c>
      <c r="K106" s="120">
        <v>0.0</v>
      </c>
      <c r="L106" s="121"/>
      <c r="M106" s="121"/>
      <c r="N106" s="121"/>
      <c r="O106" s="121"/>
      <c r="P106" s="121"/>
      <c r="Q106" s="121"/>
      <c r="R106" s="121"/>
      <c r="S106" s="121"/>
      <c r="T106" s="121"/>
      <c r="U106" s="121"/>
      <c r="V106" s="121"/>
      <c r="W106" s="121"/>
      <c r="X106" s="121"/>
      <c r="Y106" s="121"/>
      <c r="Z106" s="121"/>
      <c r="AA106" s="121"/>
      <c r="AB106" s="121"/>
      <c r="AC106" s="121"/>
      <c r="AD106" s="121"/>
      <c r="AE106" s="118"/>
      <c r="AF106" s="121"/>
      <c r="AG106" s="121"/>
      <c r="AH106" s="121"/>
      <c r="AI106" s="121"/>
      <c r="AJ106" s="121"/>
      <c r="AK106" s="121"/>
      <c r="AL106" s="121"/>
      <c r="AM106" s="121"/>
      <c r="AN106" s="121"/>
      <c r="AO106" s="121"/>
      <c r="AP106" s="121"/>
      <c r="AQ106" s="121"/>
      <c r="AR106" s="118"/>
      <c r="AS106" s="121"/>
      <c r="AT106" s="121"/>
      <c r="AU106" s="121"/>
      <c r="AV106" s="121"/>
      <c r="AW106" s="121"/>
      <c r="AX106" s="121"/>
      <c r="AY106" s="121"/>
      <c r="AZ106" s="121"/>
      <c r="BA106" s="121"/>
      <c r="BB106" s="121"/>
      <c r="BC106" s="121"/>
      <c r="BD106" s="121"/>
      <c r="BE106" s="121"/>
      <c r="BF106" s="121"/>
      <c r="BG106" s="122"/>
      <c r="BI106" s="28"/>
      <c r="BK106" s="6" t="s">
        <v>625</v>
      </c>
      <c r="BL106" s="6">
        <v>12000.0</v>
      </c>
      <c r="BM106" s="6">
        <v>13440.0</v>
      </c>
      <c r="BN106" s="6" t="s">
        <v>625</v>
      </c>
      <c r="BO106" s="6">
        <v>400.0</v>
      </c>
      <c r="BP106" s="6">
        <v>7.0</v>
      </c>
      <c r="BQ106" s="6" t="s">
        <v>625</v>
      </c>
      <c r="BR106" s="6">
        <v>1.0</v>
      </c>
      <c r="BS106" s="6">
        <v>4.0</v>
      </c>
      <c r="BT106" s="6">
        <v>3.0</v>
      </c>
    </row>
    <row r="107">
      <c r="B107" s="50"/>
      <c r="C107" s="51"/>
      <c r="D107" s="52"/>
      <c r="E107" s="52"/>
      <c r="F107" s="52"/>
      <c r="G107" s="112"/>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2"/>
      <c r="AF107" s="113"/>
      <c r="AG107" s="113"/>
      <c r="AH107" s="113"/>
      <c r="AI107" s="113"/>
      <c r="AJ107" s="113"/>
      <c r="AK107" s="113"/>
      <c r="AL107" s="113"/>
      <c r="AM107" s="113"/>
      <c r="AN107" s="113"/>
      <c r="AO107" s="113"/>
      <c r="AP107" s="113"/>
      <c r="AQ107" s="113"/>
      <c r="AR107" s="112"/>
      <c r="AS107" s="113"/>
      <c r="AT107" s="113"/>
      <c r="AU107" s="113"/>
      <c r="AV107" s="113"/>
      <c r="AW107" s="113"/>
      <c r="AX107" s="113"/>
      <c r="AY107" s="113"/>
      <c r="AZ107" s="113"/>
      <c r="BA107" s="113"/>
      <c r="BB107" s="113"/>
      <c r="BC107" s="113"/>
      <c r="BD107" s="113"/>
      <c r="BE107" s="113"/>
      <c r="BF107" s="113"/>
      <c r="BG107" s="114"/>
      <c r="BI107" s="28"/>
      <c r="BK107" s="6" t="s">
        <v>626</v>
      </c>
      <c r="BL107" s="6">
        <v>76800.0</v>
      </c>
      <c r="BM107" s="6">
        <v>76800.0</v>
      </c>
      <c r="BN107" s="6" t="s">
        <v>626</v>
      </c>
      <c r="BO107" s="6">
        <v>640.0</v>
      </c>
      <c r="BP107" s="6">
        <v>40.0</v>
      </c>
      <c r="BQ107" s="6" t="s">
        <v>626</v>
      </c>
      <c r="BR107" s="6">
        <v>2.0</v>
      </c>
      <c r="BS107" s="6">
        <v>4.0</v>
      </c>
      <c r="BT107" s="6">
        <v>2.0</v>
      </c>
    </row>
    <row r="108">
      <c r="B108" s="31" t="s">
        <v>626</v>
      </c>
      <c r="C108" s="54"/>
      <c r="D108" s="45"/>
      <c r="E108" s="45"/>
      <c r="F108" s="47"/>
      <c r="G108" s="112"/>
      <c r="H108" s="125" t="s">
        <v>349</v>
      </c>
      <c r="I108" s="116">
        <f>VLOOKUP(H108,'Machine List'!$A$1:$I$300,9,FALSE)</f>
        <v>4000</v>
      </c>
      <c r="J108" s="116">
        <f>IF(VLOOKUP(H108,'Machine List'!$A$1:$I$300,5,FALSE)="Multi",IF(VLOOKUP(H108,'Machine List'!$A$1:$I$300,6,FALSE)="Yes",AG108*3*10^Z108,AG108*(2*3)*10^(Z108-1)),0)</f>
        <v>60</v>
      </c>
      <c r="K108" s="38">
        <f>J108+IF(ISNUMBER(I108),I108,
  SWITCH(
      I108,
      "1T",1*10^Z108,
      "2T",2*10^Z108,
      "3T",3*10^Z108,
      "4T",4*10^Z108,
      "4000+500(7O-5)",4000+500*(7*I109-5),
      "13500 + 16C",13500+16*VLOOKUP(J110,'Machine Helper Sheet'!$G$1:$K$16,5,FALSE),
      1
  )
)</f>
        <v>4060</v>
      </c>
      <c r="L108" s="38">
        <f>IF(VLOOKUP(H108,'Machine List'!$A$1:$I$300,5,FALSE)="Multi",IF(VLOOKUP(H108,'Machine List'!$A$1:$I$300,6,FALSE)="Yes",AU108*3*10^AT108,AU108*(2*3)*10^(AT108-1)),0)</f>
        <v>6000</v>
      </c>
      <c r="M108" s="38">
        <f>L108+IF(ISNUMBER(I108),I108,
  SWITCH(
      I108,
      "1T",1*10^AT108,
      "2T",2*10^AT108,
      "3T",3*10^AT108,
      "4T",4*10^AT108,
      "4000+500(7O-5)",4000+500*(7*I109-5),
      1
  )
)</f>
        <v>10000</v>
      </c>
      <c r="N108" s="116" t="str">
        <f>VLOOKUP(H108,'Machine List'!$A$1:$I$300,8,FALSE)</f>
        <v>Tier</v>
      </c>
      <c r="O108" s="116">
        <f>IF(ISNUMBER(N108),N108,10^Z108)</f>
        <v>100</v>
      </c>
      <c r="P108" s="116">
        <f>IF(ISNUMBER(N108),N108,10^AT108)</f>
        <v>10000</v>
      </c>
      <c r="Q108" s="116">
        <f>VLOOKUP(H108,'Machine List'!$A$1:$B$138,2,FALSE)</f>
        <v>1</v>
      </c>
      <c r="R108" s="116" t="s">
        <v>594</v>
      </c>
      <c r="S108" s="116">
        <f>IF(ISNUMBER(Q108),Q108,
  SWITCH(
      Q108,
      "1",1,
      "2T",Z108*2,
      "4T",Z108*4,
      "6T",Z108*6,
      "8T",Z108*8,
      "10T",Z108*10,
      "12T",Z108*12,
      "14T",Z108*14,
      "16T",Z108*16,
      "2(T+1)",2*(Z108+1),
      "1T*C",Z108*J110,
      1
  )
)</f>
        <v>1</v>
      </c>
      <c r="T108" s="116" t="s">
        <v>277</v>
      </c>
      <c r="U108" s="116">
        <f>IF(OR(T108="No",T108=""),S108,T108)</f>
        <v>1</v>
      </c>
      <c r="V108" s="116">
        <f>IF(ISNUMBER(Q108),Q108,
  SWITCH(
      Q108,
      "1",1,
      "2T",AT108*2,
      "4T",AT108*4,
      "6T",AT108*6,
      "8T",AT108*8,
      "10T",AT108*10,
      "12T",AT108*12,
      "14T",AT108*14,
      "16T",AT108*16,
      "2(T+1)",2*(AT108+1),
      "1T*C",AT108*J110,
      1
  )
)</f>
        <v>1</v>
      </c>
      <c r="W108" s="116" t="str">
        <f>T108</f>
        <v>No</v>
      </c>
      <c r="X108" s="116">
        <f>IF(OR(W108="No",W108=""),V108,W108)</f>
        <v>1</v>
      </c>
      <c r="Y108" s="117" t="s">
        <v>393</v>
      </c>
      <c r="Z108" s="116">
        <f>VLOOKUP(Y108,'Item Helper Sheet'!$A$2:$B$16,2,FALSE)</f>
        <v>2</v>
      </c>
      <c r="AA108" s="117">
        <v>120.0</v>
      </c>
      <c r="AB108" s="116">
        <f>8*20</f>
        <v>160</v>
      </c>
      <c r="AC108" s="116">
        <f>AB108*I110</f>
        <v>640</v>
      </c>
      <c r="AD108" s="116">
        <f>AA108*AC108</f>
        <v>76800</v>
      </c>
      <c r="AE108" s="118"/>
      <c r="AF108" s="116" t="str">
        <f>Y108</f>
        <v>02 - MV</v>
      </c>
      <c r="AG108" s="116">
        <v>1.0</v>
      </c>
      <c r="AH108" s="116">
        <v>1.0</v>
      </c>
      <c r="AI108" s="116">
        <f>AH108*8*4^Z108</f>
        <v>128</v>
      </c>
      <c r="AJ108" s="116">
        <f>MIN(ROUNDDOWN(AI108/AL108,0),U108)</f>
        <v>1</v>
      </c>
      <c r="AK108" s="116">
        <f>IF(OR(T108="No",T108=""),AG108*S108,AG108*T108)</f>
        <v>1</v>
      </c>
      <c r="AL108" s="116">
        <f>ROUNDUP(AA108*VLOOKUP(H108,'Machine List'!$A$2:$D$219,4,FALSE),0)</f>
        <v>120</v>
      </c>
      <c r="AM108" s="116">
        <f>AL108*AK108</f>
        <v>120</v>
      </c>
      <c r="AN108" s="116">
        <f>ROUNDUP(AB108*I110,0)</f>
        <v>640</v>
      </c>
      <c r="AO108" s="116">
        <f>ROUNDUP(AN108/VLOOKUP(H108,'Machine List'!$A$2:$D$219,3,FALSE),0)</f>
        <v>640</v>
      </c>
      <c r="AP108" s="116">
        <f>ROUNDUP(AO108/AK108,0)</f>
        <v>640</v>
      </c>
      <c r="AQ108" s="116">
        <f>AM108*AP108</f>
        <v>76800</v>
      </c>
      <c r="AR108" s="118"/>
      <c r="AS108" s="116" t="s">
        <v>401</v>
      </c>
      <c r="AT108" s="116">
        <f>VLOOKUP(AS108,'Item Helper Sheet'!$A$2:$B$16,2,FALSE)</f>
        <v>4</v>
      </c>
      <c r="AU108" s="116">
        <f>AG108</f>
        <v>1</v>
      </c>
      <c r="AV108" s="116">
        <v>1.0</v>
      </c>
      <c r="AW108" s="116">
        <f>AV108*8*4^AT108</f>
        <v>2048</v>
      </c>
      <c r="AX108" s="116">
        <f>MIN(ROUNDDOWN(AW108/AL108,0),X108)</f>
        <v>1</v>
      </c>
      <c r="AY108" s="116">
        <f>AX108*AU108</f>
        <v>1</v>
      </c>
      <c r="AZ108" s="116">
        <f>AL108</f>
        <v>120</v>
      </c>
      <c r="BA108" s="116">
        <f>MIN(AT108-Z108,IF(AW108&gt;=AZ109*4,
IF(AW108&gt;=AZ109*4^2,
IF(AW108&gt;=AZ109*4^3,
IF(AW108&gt;=AZ109*4^4,
IF(AW108&gt;=AZ109*4^5,
IF(AW108&gt;=AZ109*4^6,
IF(AW108&gt;=AZ109*4^7,
IF(AW108&gt;=AZ109*4^8,
IF(AW108&gt;=AZ109*4^9,
IF(AW108&gt;=AZ109*4^10,
9),
8),
7),
6),
5),
4),
3),
2),
1),
0))</f>
        <v>2</v>
      </c>
      <c r="BB108" s="116">
        <f>AZ108*AX108*4^BA108</f>
        <v>1920</v>
      </c>
      <c r="BC108" s="116">
        <f>BB108*AU108</f>
        <v>1920</v>
      </c>
      <c r="BD108" s="116">
        <f>ROUNDUP(IF(R108="Yes",AN108/(2^((BA108)*2)),AN108/(2^(BA108))),0)</f>
        <v>40</v>
      </c>
      <c r="BE108" s="116">
        <f>ROUNDUP(BD108/VLOOKUP(H108,'Machine List'!$A$2:$D$219,3,FALSE),0)</f>
        <v>40</v>
      </c>
      <c r="BF108" s="116">
        <f>ROUNDUP(BE108/AY108,0)</f>
        <v>40</v>
      </c>
      <c r="BG108" s="119">
        <f>BF108*BC108</f>
        <v>76800</v>
      </c>
      <c r="BI108" s="28"/>
      <c r="BK108" s="6" t="s">
        <v>627</v>
      </c>
      <c r="BL108" s="6">
        <v>3932160.0</v>
      </c>
      <c r="BM108" s="6">
        <v>3932160.0</v>
      </c>
      <c r="BN108" s="6" t="s">
        <v>627</v>
      </c>
      <c r="BO108" s="6">
        <v>10240.0</v>
      </c>
      <c r="BP108" s="6">
        <v>2560.0</v>
      </c>
      <c r="BQ108" s="6" t="s">
        <v>627</v>
      </c>
      <c r="BR108" s="6">
        <v>3.0</v>
      </c>
      <c r="BS108" s="6">
        <v>4.0</v>
      </c>
      <c r="BT108" s="6">
        <v>1.0</v>
      </c>
    </row>
    <row r="109">
      <c r="B109" s="40"/>
      <c r="C109" s="41" t="s">
        <v>13</v>
      </c>
      <c r="D109" s="38">
        <f>1000*I110</f>
        <v>4000</v>
      </c>
      <c r="E109" s="38" t="s">
        <v>63</v>
      </c>
      <c r="F109" s="42">
        <f>1000*I110</f>
        <v>4000</v>
      </c>
      <c r="G109" s="112"/>
      <c r="H109" s="99" t="s">
        <v>584</v>
      </c>
      <c r="I109" s="45">
        <f t="array" ref="I109">match(TRUE,ISBLANK(F109:F121),0)-1</f>
        <v>2</v>
      </c>
      <c r="J109" s="120" t="s">
        <v>420</v>
      </c>
      <c r="K109" s="120" t="s">
        <v>585</v>
      </c>
      <c r="L109" s="121"/>
      <c r="M109" s="121"/>
      <c r="N109" s="121"/>
      <c r="O109" s="121"/>
      <c r="P109" s="121"/>
      <c r="Q109" s="121"/>
      <c r="R109" s="121"/>
      <c r="S109" s="121"/>
      <c r="T109" s="121"/>
      <c r="U109" s="121"/>
      <c r="V109" s="121"/>
      <c r="W109" s="121"/>
      <c r="X109" s="121"/>
      <c r="Y109" s="121"/>
      <c r="Z109" s="121"/>
      <c r="AA109" s="121"/>
      <c r="AB109" s="121"/>
      <c r="AC109" s="121"/>
      <c r="AD109" s="121"/>
      <c r="AE109" s="118"/>
      <c r="AF109" s="121"/>
      <c r="AG109" s="121"/>
      <c r="AH109" s="121"/>
      <c r="AI109" s="121"/>
      <c r="AJ109" s="121"/>
      <c r="AK109" s="121"/>
      <c r="AL109" s="121"/>
      <c r="AM109" s="121"/>
      <c r="AN109" s="121"/>
      <c r="AO109" s="121"/>
      <c r="AP109" s="121"/>
      <c r="AQ109" s="121"/>
      <c r="AR109" s="118"/>
      <c r="AS109" s="121"/>
      <c r="AT109" s="121"/>
      <c r="AU109" s="121"/>
      <c r="AV109" s="121"/>
      <c r="AW109" s="121"/>
      <c r="AX109" s="121"/>
      <c r="AY109" s="121"/>
      <c r="AZ109" s="116">
        <f>AZ108*AX108</f>
        <v>120</v>
      </c>
      <c r="BA109" s="121"/>
      <c r="BB109" s="121"/>
      <c r="BC109" s="121"/>
      <c r="BD109" s="121"/>
      <c r="BE109" s="121"/>
      <c r="BF109" s="121"/>
      <c r="BG109" s="122"/>
      <c r="BI109" s="28"/>
      <c r="BK109" s="6" t="s">
        <v>628</v>
      </c>
      <c r="BL109" s="6">
        <v>307200.0</v>
      </c>
      <c r="BM109" s="6">
        <v>307200.0</v>
      </c>
      <c r="BN109" s="6" t="s">
        <v>628</v>
      </c>
      <c r="BO109" s="6">
        <v>10240.0</v>
      </c>
      <c r="BP109" s="6">
        <v>160.0</v>
      </c>
      <c r="BQ109" s="6" t="s">
        <v>628</v>
      </c>
      <c r="BR109" s="6">
        <v>1.0</v>
      </c>
      <c r="BS109" s="6">
        <v>4.0</v>
      </c>
      <c r="BT109" s="6">
        <v>3.0</v>
      </c>
    </row>
    <row r="110">
      <c r="B110" s="40"/>
      <c r="C110" s="41" t="s">
        <v>227</v>
      </c>
      <c r="D110" s="38">
        <f>1000*I110</f>
        <v>4000</v>
      </c>
      <c r="E110" s="38" t="s">
        <v>55</v>
      </c>
      <c r="F110" s="42">
        <f>1000*I110</f>
        <v>4000</v>
      </c>
      <c r="G110" s="112"/>
      <c r="H110" s="48" t="s">
        <v>502</v>
      </c>
      <c r="I110" s="49">
        <v>4.0</v>
      </c>
      <c r="J110" s="100" t="s">
        <v>424</v>
      </c>
      <c r="K110" s="120">
        <v>0.0</v>
      </c>
      <c r="L110" s="121"/>
      <c r="M110" s="121"/>
      <c r="N110" s="121"/>
      <c r="O110" s="121"/>
      <c r="P110" s="121"/>
      <c r="Q110" s="121"/>
      <c r="R110" s="121"/>
      <c r="S110" s="121"/>
      <c r="T110" s="121"/>
      <c r="U110" s="121"/>
      <c r="V110" s="121"/>
      <c r="W110" s="121"/>
      <c r="X110" s="121"/>
      <c r="Y110" s="121"/>
      <c r="Z110" s="121"/>
      <c r="AA110" s="121"/>
      <c r="AB110" s="121"/>
      <c r="AC110" s="121"/>
      <c r="AD110" s="121"/>
      <c r="AE110" s="118"/>
      <c r="AF110" s="121"/>
      <c r="AG110" s="121"/>
      <c r="AH110" s="121"/>
      <c r="AI110" s="121"/>
      <c r="AJ110" s="121"/>
      <c r="AK110" s="121"/>
      <c r="AL110" s="121"/>
      <c r="AM110" s="121"/>
      <c r="AN110" s="121"/>
      <c r="AO110" s="121"/>
      <c r="AP110" s="121"/>
      <c r="AQ110" s="121"/>
      <c r="AR110" s="118"/>
      <c r="AS110" s="121"/>
      <c r="AT110" s="121"/>
      <c r="AU110" s="121"/>
      <c r="AV110" s="121"/>
      <c r="AW110" s="121"/>
      <c r="AX110" s="121"/>
      <c r="AY110" s="121"/>
      <c r="AZ110" s="121"/>
      <c r="BA110" s="121"/>
      <c r="BB110" s="121"/>
      <c r="BC110" s="121"/>
      <c r="BD110" s="121"/>
      <c r="BE110" s="121"/>
      <c r="BF110" s="121"/>
      <c r="BG110" s="122"/>
      <c r="BI110" s="28"/>
      <c r="BK110" s="6" t="s">
        <v>629</v>
      </c>
      <c r="BL110" s="6">
        <v>47520.0</v>
      </c>
      <c r="BM110" s="6">
        <v>380160.0</v>
      </c>
      <c r="BN110" s="6" t="s">
        <v>629</v>
      </c>
      <c r="BO110" s="6">
        <v>1584.0</v>
      </c>
      <c r="BP110" s="6">
        <v>198.0</v>
      </c>
      <c r="BQ110" s="6" t="s">
        <v>629</v>
      </c>
      <c r="BR110" s="6">
        <v>1.0</v>
      </c>
      <c r="BS110" s="6">
        <v>4.0</v>
      </c>
      <c r="BT110" s="6">
        <v>3.0</v>
      </c>
    </row>
    <row r="111">
      <c r="B111" s="50"/>
      <c r="C111" s="51"/>
      <c r="D111" s="52"/>
      <c r="E111" s="52"/>
      <c r="F111" s="52"/>
      <c r="G111" s="112"/>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2"/>
      <c r="AF111" s="113"/>
      <c r="AG111" s="113"/>
      <c r="AH111" s="113"/>
      <c r="AI111" s="113"/>
      <c r="AJ111" s="113"/>
      <c r="AK111" s="113"/>
      <c r="AL111" s="113"/>
      <c r="AM111" s="113"/>
      <c r="AN111" s="113"/>
      <c r="AO111" s="113"/>
      <c r="AP111" s="113"/>
      <c r="AQ111" s="113"/>
      <c r="AR111" s="112"/>
      <c r="AS111" s="113"/>
      <c r="AT111" s="113"/>
      <c r="AU111" s="113"/>
      <c r="AV111" s="113"/>
      <c r="AW111" s="113"/>
      <c r="AX111" s="113"/>
      <c r="AY111" s="113"/>
      <c r="AZ111" s="113"/>
      <c r="BA111" s="113"/>
      <c r="BB111" s="113"/>
      <c r="BC111" s="113"/>
      <c r="BD111" s="113"/>
      <c r="BE111" s="113"/>
      <c r="BF111" s="113"/>
      <c r="BG111" s="114"/>
      <c r="BI111" s="28"/>
      <c r="BK111" s="6" t="s">
        <v>630</v>
      </c>
      <c r="BL111" s="6">
        <v>230400.0</v>
      </c>
      <c r="BM111" s="6">
        <v>230400.0</v>
      </c>
      <c r="BN111" s="6" t="s">
        <v>630</v>
      </c>
      <c r="BO111" s="6">
        <v>1920.0</v>
      </c>
      <c r="BP111" s="6">
        <v>120.0</v>
      </c>
      <c r="BQ111" s="6" t="s">
        <v>630</v>
      </c>
      <c r="BR111" s="6">
        <v>2.0</v>
      </c>
      <c r="BS111" s="6">
        <v>4.0</v>
      </c>
      <c r="BT111" s="6">
        <v>2.0</v>
      </c>
    </row>
    <row r="112">
      <c r="B112" s="31" t="s">
        <v>627</v>
      </c>
      <c r="C112" s="54"/>
      <c r="D112" s="45"/>
      <c r="E112" s="45"/>
      <c r="F112" s="47"/>
      <c r="G112" s="112"/>
      <c r="H112" s="125" t="s">
        <v>349</v>
      </c>
      <c r="I112" s="116">
        <f>VLOOKUP(H112,'Machine List'!$A$1:$I$300,9,FALSE)</f>
        <v>4000</v>
      </c>
      <c r="J112" s="116">
        <f>IF(VLOOKUP(H112,'Machine List'!$A$1:$I$300,5,FALSE)="Multi",IF(VLOOKUP(H112,'Machine List'!$A$1:$I$300,6,FALSE)="Yes",AG112*3*10^Z112,AG112*(2*3)*10^(Z112-1)),0)</f>
        <v>600</v>
      </c>
      <c r="K112" s="38">
        <f>J112+IF(ISNUMBER(I112),I112,
  SWITCH(
      I112,
      "1T",1*10^Z112,
      "2T",2*10^Z112,
      "3T",3*10^Z112,
      "4T",4*10^Z112,
      "4000+500(7O-5)",4000+500*(7*I113-5),
      "13500 + 16C",13500+16*VLOOKUP(J114,'Machine Helper Sheet'!$G$1:$K$16,5,FALSE),
      1
  )
)</f>
        <v>4600</v>
      </c>
      <c r="L112" s="38">
        <f>IF(VLOOKUP(H112,'Machine List'!$A$1:$I$300,5,FALSE)="Multi",IF(VLOOKUP(H112,'Machine List'!$A$1:$I$300,6,FALSE)="Yes",AU112*3*10^AT112,AU112*(2*3)*10^(AT112-1)),0)</f>
        <v>6000</v>
      </c>
      <c r="M112" s="38">
        <f>L112+IF(ISNUMBER(I112),I112,
  SWITCH(
      I112,
      "1T",1*10^AT112,
      "2T",2*10^AT112,
      "3T",3*10^AT112,
      "4T",4*10^AT112,
      "4000+500(7O-5)",4000+500*(7*I113-5),
      1
  )
)</f>
        <v>10000</v>
      </c>
      <c r="N112" s="116" t="str">
        <f>VLOOKUP(H112,'Machine List'!$A$1:$I$300,8,FALSE)</f>
        <v>Tier</v>
      </c>
      <c r="O112" s="116">
        <f>IF(ISNUMBER(N112),N112,10^Z112)</f>
        <v>1000</v>
      </c>
      <c r="P112" s="116">
        <f>IF(ISNUMBER(N112),N112,10^AT112)</f>
        <v>10000</v>
      </c>
      <c r="Q112" s="116">
        <f>VLOOKUP(H112,'Machine List'!$A$1:$B$138,2,FALSE)</f>
        <v>1</v>
      </c>
      <c r="R112" s="116" t="s">
        <v>594</v>
      </c>
      <c r="S112" s="116">
        <f>IF(ISNUMBER(Q112),Q112,
  SWITCH(
      Q112,
      "1",1,
      "2T",Z112*2,
      "4T",Z112*4,
      "6T",Z112*6,
      "8T",Z112*8,
      "10T",Z112*10,
      "12T",Z112*12,
      "14T",Z112*14,
      "16T",Z112*16,
      "2(T+1)",2*(Z112+1),
      "1T*C",Z112*J114,
      1
  )
)</f>
        <v>1</v>
      </c>
      <c r="T112" s="116" t="s">
        <v>277</v>
      </c>
      <c r="U112" s="116">
        <f>IF(OR(T112="No",T112=""),S112,T112)</f>
        <v>1</v>
      </c>
      <c r="V112" s="116">
        <f>IF(ISNUMBER(Q112),Q112,
  SWITCH(
      Q112,
      "1",1,
      "2T",AT112*2,
      "4T",AT112*4,
      "6T",AT112*6,
      "8T",AT112*8,
      "10T",AT112*10,
      "12T",AT112*12,
      "14T",AT112*14,
      "16T",AT112*16,
      "2(T+1)",2*(AT112+1),
      "1T*C",AT112*J114,
      1
  )
)</f>
        <v>1</v>
      </c>
      <c r="W112" s="116" t="str">
        <f>T112</f>
        <v>No</v>
      </c>
      <c r="X112" s="116">
        <f>IF(OR(W112="No",W112=""),V112,W112)</f>
        <v>1</v>
      </c>
      <c r="Y112" s="116" t="s">
        <v>397</v>
      </c>
      <c r="Z112" s="116">
        <f>VLOOKUP(Y112,'Item Helper Sheet'!$A$2:$B$16,2,FALSE)</f>
        <v>3</v>
      </c>
      <c r="AA112" s="117">
        <v>384.0</v>
      </c>
      <c r="AB112" s="116">
        <f>16*20</f>
        <v>320</v>
      </c>
      <c r="AC112" s="116">
        <f>AB112*I114</f>
        <v>10240</v>
      </c>
      <c r="AD112" s="116">
        <f>AA112*AC112</f>
        <v>3932160</v>
      </c>
      <c r="AE112" s="118"/>
      <c r="AF112" s="116" t="str">
        <f>Y112</f>
        <v>03 - HV</v>
      </c>
      <c r="AG112" s="116">
        <v>1.0</v>
      </c>
      <c r="AH112" s="116">
        <v>1.0</v>
      </c>
      <c r="AI112" s="116">
        <f>AH112*8*4^Z112</f>
        <v>512</v>
      </c>
      <c r="AJ112" s="116">
        <f>MIN(ROUNDDOWN(AI112/AL112,0),U112)</f>
        <v>1</v>
      </c>
      <c r="AK112" s="116">
        <f>IF(OR(T112="No",T112=""),AG112*S112,AG112*T112)</f>
        <v>1</v>
      </c>
      <c r="AL112" s="116">
        <f>ROUNDUP(AA112*VLOOKUP(H112,'Machine List'!$A$2:$D$219,4,FALSE),0)</f>
        <v>384</v>
      </c>
      <c r="AM112" s="116">
        <f>AL112*AK112</f>
        <v>384</v>
      </c>
      <c r="AN112" s="116">
        <f>ROUNDUP(AB112*I114,0)</f>
        <v>10240</v>
      </c>
      <c r="AO112" s="116">
        <f>ROUNDUP(AN112/VLOOKUP(H112,'Machine List'!$A$2:$D$219,3,FALSE),0)</f>
        <v>10240</v>
      </c>
      <c r="AP112" s="116">
        <f>ROUNDUP(AO112/AK112,0)</f>
        <v>10240</v>
      </c>
      <c r="AQ112" s="116">
        <f>AM112*AP112</f>
        <v>3932160</v>
      </c>
      <c r="AR112" s="118"/>
      <c r="AS112" s="117" t="s">
        <v>401</v>
      </c>
      <c r="AT112" s="116">
        <f>VLOOKUP(AS112,'Item Helper Sheet'!$A$2:$B$16,2,FALSE)</f>
        <v>4</v>
      </c>
      <c r="AU112" s="116">
        <f>AG112</f>
        <v>1</v>
      </c>
      <c r="AV112" s="116">
        <v>1.0</v>
      </c>
      <c r="AW112" s="116">
        <f>AV112*8*4^AT112</f>
        <v>2048</v>
      </c>
      <c r="AX112" s="116">
        <f>MIN(ROUNDDOWN(AW112/AL112,0),X112)</f>
        <v>1</v>
      </c>
      <c r="AY112" s="116">
        <f>AX112*AU112</f>
        <v>1</v>
      </c>
      <c r="AZ112" s="116">
        <f>AL112</f>
        <v>384</v>
      </c>
      <c r="BA112" s="116">
        <f>MIN(AT112-Z112,IF(AW112&gt;=AZ113*4,
IF(AW112&gt;=AZ113*4^2,
IF(AW112&gt;=AZ113*4^3,
IF(AW112&gt;=AZ113*4^4,
IF(AW112&gt;=AZ113*4^5,
IF(AW112&gt;=AZ113*4^6,
IF(AW112&gt;=AZ113*4^7,
IF(AW112&gt;=AZ113*4^8,
IF(AW112&gt;=AZ113*4^9,
IF(AW112&gt;=AZ113*4^10,
9),
8),
7),
6),
5),
4),
3),
2),
1),
0))</f>
        <v>1</v>
      </c>
      <c r="BB112" s="116">
        <f>AZ112*AX112*4^BA112</f>
        <v>1536</v>
      </c>
      <c r="BC112" s="116">
        <f>BB112*AU112</f>
        <v>1536</v>
      </c>
      <c r="BD112" s="116">
        <f>ROUNDUP(IF(R112="Yes",AN112/(2^((BA112)*2)),AN112/(2^(BA112))),0)</f>
        <v>2560</v>
      </c>
      <c r="BE112" s="116">
        <f>ROUNDUP(BD112/VLOOKUP(H112,'Machine List'!$A$2:$D$219,3,FALSE),0)</f>
        <v>2560</v>
      </c>
      <c r="BF112" s="116">
        <f>ROUNDUP(BE112/AY112,0)</f>
        <v>2560</v>
      </c>
      <c r="BG112" s="119">
        <f>BF112*BC112</f>
        <v>3932160</v>
      </c>
      <c r="BI112" s="28"/>
      <c r="BK112" s="6" t="s">
        <v>631</v>
      </c>
      <c r="BL112" s="6">
        <v>2073600.0</v>
      </c>
      <c r="BM112" s="6">
        <v>2073600.0</v>
      </c>
      <c r="BN112" s="6" t="s">
        <v>631</v>
      </c>
      <c r="BO112" s="6">
        <v>4320.0</v>
      </c>
      <c r="BP112" s="6">
        <v>1080.0</v>
      </c>
      <c r="BQ112" s="6" t="s">
        <v>631</v>
      </c>
      <c r="BR112" s="6">
        <v>3.0</v>
      </c>
      <c r="BS112" s="6">
        <v>4.0</v>
      </c>
      <c r="BT112" s="6">
        <v>1.0</v>
      </c>
    </row>
    <row r="113">
      <c r="B113" s="40"/>
      <c r="C113" s="41" t="s">
        <v>132</v>
      </c>
      <c r="D113" s="38">
        <f>1000*I114</f>
        <v>32000</v>
      </c>
      <c r="E113" s="38" t="s">
        <v>20</v>
      </c>
      <c r="F113" s="42">
        <f>1000*I114</f>
        <v>32000</v>
      </c>
      <c r="G113" s="112"/>
      <c r="H113" s="99" t="s">
        <v>584</v>
      </c>
      <c r="I113" s="45">
        <f t="array" ref="I113">match(TRUE,ISBLANK(F113:F125),0)-1</f>
        <v>1</v>
      </c>
      <c r="J113" s="120" t="s">
        <v>420</v>
      </c>
      <c r="K113" s="120" t="s">
        <v>585</v>
      </c>
      <c r="L113" s="121"/>
      <c r="M113" s="121"/>
      <c r="N113" s="121"/>
      <c r="O113" s="121"/>
      <c r="P113" s="121"/>
      <c r="Q113" s="121"/>
      <c r="R113" s="121"/>
      <c r="S113" s="121"/>
      <c r="T113" s="121"/>
      <c r="U113" s="121"/>
      <c r="V113" s="121"/>
      <c r="W113" s="121"/>
      <c r="X113" s="121"/>
      <c r="Y113" s="121"/>
      <c r="Z113" s="121"/>
      <c r="AA113" s="121"/>
      <c r="AB113" s="121"/>
      <c r="AC113" s="121"/>
      <c r="AD113" s="121"/>
      <c r="AE113" s="118"/>
      <c r="AF113" s="121"/>
      <c r="AG113" s="121"/>
      <c r="AH113" s="121"/>
      <c r="AI113" s="121"/>
      <c r="AJ113" s="121"/>
      <c r="AK113" s="121"/>
      <c r="AL113" s="121"/>
      <c r="AM113" s="121"/>
      <c r="AN113" s="121"/>
      <c r="AO113" s="121"/>
      <c r="AP113" s="121"/>
      <c r="AQ113" s="121"/>
      <c r="AR113" s="118"/>
      <c r="AS113" s="121"/>
      <c r="AT113" s="121"/>
      <c r="AU113" s="121"/>
      <c r="AV113" s="121"/>
      <c r="AW113" s="121"/>
      <c r="AX113" s="121"/>
      <c r="AY113" s="121"/>
      <c r="AZ113" s="116">
        <f>AZ112*AX112</f>
        <v>384</v>
      </c>
      <c r="BA113" s="121"/>
      <c r="BB113" s="121"/>
      <c r="BC113" s="121"/>
      <c r="BD113" s="121"/>
      <c r="BE113" s="121"/>
      <c r="BF113" s="121"/>
      <c r="BG113" s="122"/>
      <c r="BI113" s="28"/>
      <c r="BK113" s="6" t="s">
        <v>487</v>
      </c>
      <c r="BL113" s="6">
        <v>1.861488E7</v>
      </c>
      <c r="BM113" s="6">
        <v>2.965728E7</v>
      </c>
    </row>
    <row r="114">
      <c r="B114" s="40"/>
      <c r="C114" s="41" t="s">
        <v>87</v>
      </c>
      <c r="D114" s="38">
        <f>3000*I114</f>
        <v>96000</v>
      </c>
      <c r="E114" s="38"/>
      <c r="F114" s="42"/>
      <c r="G114" s="112"/>
      <c r="H114" s="48" t="s">
        <v>502</v>
      </c>
      <c r="I114" s="49">
        <v>32.0</v>
      </c>
      <c r="J114" s="100" t="s">
        <v>424</v>
      </c>
      <c r="K114" s="120">
        <v>0.0</v>
      </c>
      <c r="L114" s="121"/>
      <c r="M114" s="121"/>
      <c r="N114" s="121"/>
      <c r="O114" s="121"/>
      <c r="P114" s="121"/>
      <c r="Q114" s="121"/>
      <c r="R114" s="121"/>
      <c r="S114" s="121"/>
      <c r="T114" s="121"/>
      <c r="U114" s="121"/>
      <c r="V114" s="121"/>
      <c r="W114" s="121"/>
      <c r="X114" s="121"/>
      <c r="Y114" s="121"/>
      <c r="Z114" s="121"/>
      <c r="AA114" s="121"/>
      <c r="AB114" s="121"/>
      <c r="AC114" s="121"/>
      <c r="AD114" s="121"/>
      <c r="AE114" s="118"/>
      <c r="AF114" s="121"/>
      <c r="AG114" s="121"/>
      <c r="AH114" s="121"/>
      <c r="AI114" s="121"/>
      <c r="AJ114" s="121"/>
      <c r="AK114" s="121"/>
      <c r="AL114" s="121"/>
      <c r="AM114" s="121"/>
      <c r="AN114" s="121"/>
      <c r="AO114" s="121"/>
      <c r="AP114" s="121"/>
      <c r="AQ114" s="121"/>
      <c r="AR114" s="118"/>
      <c r="AS114" s="121"/>
      <c r="AT114" s="121"/>
      <c r="AU114" s="121"/>
      <c r="AV114" s="121"/>
      <c r="AW114" s="121"/>
      <c r="AX114" s="121"/>
      <c r="AY114" s="121"/>
      <c r="AZ114" s="121"/>
      <c r="BA114" s="121"/>
      <c r="BB114" s="121"/>
      <c r="BC114" s="121"/>
      <c r="BD114" s="121"/>
      <c r="BE114" s="121"/>
      <c r="BF114" s="121"/>
      <c r="BG114" s="122"/>
      <c r="BI114" s="28"/>
    </row>
    <row r="115">
      <c r="B115" s="50"/>
      <c r="C115" s="51"/>
      <c r="D115" s="52"/>
      <c r="E115" s="52"/>
      <c r="F115" s="52"/>
      <c r="G115" s="112"/>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2"/>
      <c r="AF115" s="113"/>
      <c r="AG115" s="113"/>
      <c r="AH115" s="113"/>
      <c r="AI115" s="113"/>
      <c r="AJ115" s="113"/>
      <c r="AK115" s="113"/>
      <c r="AL115" s="113"/>
      <c r="AM115" s="113"/>
      <c r="AN115" s="113"/>
      <c r="AO115" s="113"/>
      <c r="AP115" s="113"/>
      <c r="AQ115" s="113"/>
      <c r="AR115" s="112"/>
      <c r="AS115" s="113"/>
      <c r="AT115" s="113"/>
      <c r="AU115" s="113"/>
      <c r="AV115" s="113"/>
      <c r="AW115" s="113"/>
      <c r="AX115" s="113"/>
      <c r="AY115" s="113"/>
      <c r="AZ115" s="113"/>
      <c r="BA115" s="113"/>
      <c r="BB115" s="113"/>
      <c r="BC115" s="113"/>
      <c r="BD115" s="113"/>
      <c r="BE115" s="113"/>
      <c r="BF115" s="113"/>
      <c r="BG115" s="114"/>
      <c r="BI115" s="28"/>
    </row>
    <row r="116">
      <c r="B116" s="31" t="s">
        <v>628</v>
      </c>
      <c r="C116" s="54"/>
      <c r="D116" s="45"/>
      <c r="E116" s="45"/>
      <c r="F116" s="47"/>
      <c r="G116" s="112"/>
      <c r="H116" s="125" t="s">
        <v>349</v>
      </c>
      <c r="I116" s="116">
        <f>VLOOKUP(H116,'Machine List'!$A$1:$I$300,9,FALSE)</f>
        <v>4000</v>
      </c>
      <c r="J116" s="116">
        <f>IF(VLOOKUP(H116,'Machine List'!$A$1:$I$300,5,FALSE)="Multi",IF(VLOOKUP(H116,'Machine List'!$A$1:$I$300,6,FALSE)="Yes",AG116*3*10^Z116,AG116*(2*3)*10^(Z116-1)),0)</f>
        <v>6</v>
      </c>
      <c r="K116" s="38">
        <f>J116+IF(ISNUMBER(I116),I116,
  SWITCH(
      I116,
      "1T",1*10^Z116,
      "2T",2*10^Z116,
      "3T",3*10^Z116,
      "4T",4*10^Z116,
      "4000+500(7O-5)",4000+500*(7*I117-5),
      "13500 + 16C",13500+16*VLOOKUP(J118,'Machine Helper Sheet'!$G$1:$K$16,5,FALSE),
      1
  )
)</f>
        <v>4006</v>
      </c>
      <c r="L116" s="38">
        <f>IF(VLOOKUP(H116,'Machine List'!$A$1:$I$300,5,FALSE)="Multi",IF(VLOOKUP(H116,'Machine List'!$A$1:$I$300,6,FALSE)="Yes",AU116*3*10^AT116,AU116*(2*3)*10^(AT116-1)),0)</f>
        <v>6000</v>
      </c>
      <c r="M116" s="38">
        <f>L116+IF(ISNUMBER(I116),I116,
  SWITCH(
      I116,
      "1T",1*10^AT116,
      "2T",2*10^AT116,
      "3T",3*10^AT116,
      "4T",4*10^AT116,
      "4000+500(7O-5)",4000+500*(7*I117-5),
      1
  )
)</f>
        <v>10000</v>
      </c>
      <c r="N116" s="116" t="str">
        <f>VLOOKUP(H116,'Machine List'!$A$1:$I$300,8,FALSE)</f>
        <v>Tier</v>
      </c>
      <c r="O116" s="116">
        <f>IF(ISNUMBER(N116),N116,10^Z116)</f>
        <v>10</v>
      </c>
      <c r="P116" s="116">
        <f>IF(ISNUMBER(N116),N116,10^AT116)</f>
        <v>10000</v>
      </c>
      <c r="Q116" s="116">
        <f>VLOOKUP(H116,'Machine List'!$A$1:$B$138,2,FALSE)</f>
        <v>1</v>
      </c>
      <c r="R116" s="116" t="s">
        <v>594</v>
      </c>
      <c r="S116" s="116">
        <f>IF(ISNUMBER(Q116),Q116,
  SWITCH(
      Q116,
      "1",1,
      "2T",Z116*2,
      "4T",Z116*4,
      "6T",Z116*6,
      "8T",Z116*8,
      "10T",Z116*10,
      "12T",Z116*12,
      "14T",Z116*14,
      "16T",Z116*16,
      "2(T+1)",2*(Z116+1),
      "1T*C",Z116*J118,
      1
  )
)</f>
        <v>1</v>
      </c>
      <c r="T116" s="116" t="s">
        <v>277</v>
      </c>
      <c r="U116" s="116">
        <f>IF(OR(T116="No",T116=""),S116,T116)</f>
        <v>1</v>
      </c>
      <c r="V116" s="116">
        <f>IF(ISNUMBER(Q116),Q116,
  SWITCH(
      Q116,
      "1",1,
      "2T",AT116*2,
      "4T",AT116*4,
      "6T",AT116*6,
      "8T",AT116*8,
      "10T",AT116*10,
      "12T",AT116*12,
      "14T",AT116*14,
      "16T",AT116*16,
      "2(T+1)",2*(AT116+1),
      "1T*C",AT116*J118,
      1
  )
)</f>
        <v>1</v>
      </c>
      <c r="W116" s="116" t="str">
        <f>T116</f>
        <v>No</v>
      </c>
      <c r="X116" s="116">
        <f>IF(OR(W116="No",W116=""),V116,W116)</f>
        <v>1</v>
      </c>
      <c r="Y116" s="117" t="s">
        <v>390</v>
      </c>
      <c r="Z116" s="116">
        <f>VLOOKUP(Y116,'Item Helper Sheet'!$A$2:$B$16,2,FALSE)</f>
        <v>1</v>
      </c>
      <c r="AA116" s="117">
        <v>30.0</v>
      </c>
      <c r="AB116" s="116">
        <f>16*20</f>
        <v>320</v>
      </c>
      <c r="AC116" s="116">
        <f>AB116*I118</f>
        <v>10240</v>
      </c>
      <c r="AD116" s="116">
        <f>AA116*AC116</f>
        <v>307200</v>
      </c>
      <c r="AE116" s="118"/>
      <c r="AF116" s="116" t="str">
        <f>Y116</f>
        <v>01 - LV</v>
      </c>
      <c r="AG116" s="116">
        <v>1.0</v>
      </c>
      <c r="AH116" s="116">
        <v>1.0</v>
      </c>
      <c r="AI116" s="116">
        <f>AH116*8*4^Z116</f>
        <v>32</v>
      </c>
      <c r="AJ116" s="116">
        <f>MIN(ROUNDDOWN(AI116/AL116,0),U116)</f>
        <v>1</v>
      </c>
      <c r="AK116" s="116">
        <f>IF(OR(T116="No",T116=""),AG116*S116,AG116*T116)</f>
        <v>1</v>
      </c>
      <c r="AL116" s="116">
        <f>ROUNDUP(AA116*VLOOKUP(H116,'Machine List'!$A$2:$D$219,4,FALSE),0)</f>
        <v>30</v>
      </c>
      <c r="AM116" s="116">
        <f>AL116*AK116</f>
        <v>30</v>
      </c>
      <c r="AN116" s="116">
        <f>ROUNDUP(AB116*I118,0)</f>
        <v>10240</v>
      </c>
      <c r="AO116" s="116">
        <f>ROUNDUP(AN116/VLOOKUP(H116,'Machine List'!$A$2:$D$219,3,FALSE),0)</f>
        <v>10240</v>
      </c>
      <c r="AP116" s="116">
        <f>ROUNDUP(AO116/AK116,0)</f>
        <v>10240</v>
      </c>
      <c r="AQ116" s="116">
        <f>AM116*AP116</f>
        <v>307200</v>
      </c>
      <c r="AR116" s="118"/>
      <c r="AS116" s="116" t="s">
        <v>401</v>
      </c>
      <c r="AT116" s="116">
        <f>VLOOKUP(AS116,'Item Helper Sheet'!$A$2:$B$16,2,FALSE)</f>
        <v>4</v>
      </c>
      <c r="AU116" s="116">
        <f>AG116</f>
        <v>1</v>
      </c>
      <c r="AV116" s="116">
        <v>1.0</v>
      </c>
      <c r="AW116" s="116">
        <f>AV116*8*4^AT116</f>
        <v>2048</v>
      </c>
      <c r="AX116" s="116">
        <f>MIN(ROUNDDOWN(AW116/AL116,0),X116)</f>
        <v>1</v>
      </c>
      <c r="AY116" s="116">
        <f>AX116*AU116</f>
        <v>1</v>
      </c>
      <c r="AZ116" s="116">
        <f>AL116</f>
        <v>30</v>
      </c>
      <c r="BA116" s="116">
        <f>MIN(AT116-Z116,IF(AW116&gt;=AZ117*4,
IF(AW116&gt;=AZ117*4^2,
IF(AW116&gt;=AZ117*4^3,
IF(AW116&gt;=AZ117*4^4,
IF(AW116&gt;=AZ117*4^5,
IF(AW116&gt;=AZ117*4^6,
IF(AW116&gt;=AZ117*4^7,
IF(AW116&gt;=AZ117*4^8,
IF(AW116&gt;=AZ117*4^9,
IF(AW116&gt;=AZ117*4^10,
9),
8),
7),
6),
5),
4),
3),
2),
1),
0))</f>
        <v>3</v>
      </c>
      <c r="BB116" s="116">
        <f>AZ116*AX116*4^BA116</f>
        <v>1920</v>
      </c>
      <c r="BC116" s="116">
        <f>BB116*AU116</f>
        <v>1920</v>
      </c>
      <c r="BD116" s="116">
        <f>ROUNDUP(IF(R116="Yes",AN116/(2^((BA116)*2)),AN116/(2^(BA116))),0)</f>
        <v>160</v>
      </c>
      <c r="BE116" s="116">
        <f>ROUNDUP(BD116/VLOOKUP(H116,'Machine List'!$A$2:$D$219,3,FALSE),0)</f>
        <v>160</v>
      </c>
      <c r="BF116" s="116">
        <f>ROUNDUP(BE116/AY116,0)</f>
        <v>160</v>
      </c>
      <c r="BG116" s="119">
        <f>BF116*BC116</f>
        <v>307200</v>
      </c>
      <c r="BI116" s="28"/>
      <c r="BK116" s="6" t="s">
        <v>618</v>
      </c>
      <c r="BL116" s="6" t="s">
        <v>462</v>
      </c>
      <c r="BM116" s="6"/>
      <c r="BN116" s="6"/>
      <c r="BO116" s="6"/>
      <c r="BP116" s="6"/>
      <c r="BQ116" s="6" t="s">
        <v>619</v>
      </c>
      <c r="BR116" s="6" t="s">
        <v>495</v>
      </c>
      <c r="BS116" s="6"/>
      <c r="BT116" s="6"/>
      <c r="BU116" s="6"/>
      <c r="BW116" s="6" t="s">
        <v>560</v>
      </c>
      <c r="BX116" s="6" t="s">
        <v>495</v>
      </c>
      <c r="BY116" s="6"/>
      <c r="BZ116" s="6"/>
      <c r="CA116" s="6"/>
    </row>
    <row r="117">
      <c r="B117" s="40"/>
      <c r="C117" s="41" t="s">
        <v>20</v>
      </c>
      <c r="D117" s="38">
        <f>1000*I118</f>
        <v>32000</v>
      </c>
      <c r="E117" s="38" t="s">
        <v>130</v>
      </c>
      <c r="F117" s="42">
        <f>1000*I118</f>
        <v>32000</v>
      </c>
      <c r="G117" s="112"/>
      <c r="H117" s="99" t="s">
        <v>584</v>
      </c>
      <c r="I117" s="45">
        <f t="array" ref="I117">match(TRUE,ISBLANK(F117:F129),0)-1</f>
        <v>2</v>
      </c>
      <c r="J117" s="120" t="s">
        <v>420</v>
      </c>
      <c r="K117" s="120" t="s">
        <v>585</v>
      </c>
      <c r="L117" s="121"/>
      <c r="M117" s="121"/>
      <c r="N117" s="121"/>
      <c r="O117" s="121"/>
      <c r="P117" s="121"/>
      <c r="Q117" s="121"/>
      <c r="R117" s="121"/>
      <c r="S117" s="121"/>
      <c r="T117" s="121"/>
      <c r="U117" s="121"/>
      <c r="V117" s="121"/>
      <c r="W117" s="121"/>
      <c r="X117" s="121"/>
      <c r="Y117" s="121"/>
      <c r="Z117" s="121"/>
      <c r="AA117" s="121"/>
      <c r="AB117" s="121"/>
      <c r="AC117" s="121"/>
      <c r="AD117" s="121"/>
      <c r="AE117" s="118"/>
      <c r="AF117" s="121"/>
      <c r="AG117" s="121"/>
      <c r="AH117" s="121"/>
      <c r="AI117" s="121"/>
      <c r="AJ117" s="121"/>
      <c r="AK117" s="121"/>
      <c r="AL117" s="121"/>
      <c r="AM117" s="121"/>
      <c r="AN117" s="121"/>
      <c r="AO117" s="121"/>
      <c r="AP117" s="121"/>
      <c r="AQ117" s="121"/>
      <c r="AR117" s="118"/>
      <c r="AS117" s="121"/>
      <c r="AT117" s="121"/>
      <c r="AU117" s="121"/>
      <c r="AV117" s="121"/>
      <c r="AW117" s="121"/>
      <c r="AX117" s="121"/>
      <c r="AY117" s="121"/>
      <c r="AZ117" s="116">
        <f>AZ116*AX116</f>
        <v>30</v>
      </c>
      <c r="BA117" s="121"/>
      <c r="BB117" s="121"/>
      <c r="BC117" s="121"/>
      <c r="BD117" s="121"/>
      <c r="BE117" s="121"/>
      <c r="BF117" s="121"/>
      <c r="BG117" s="122"/>
      <c r="BI117" s="28"/>
      <c r="BK117" s="6" t="s">
        <v>457</v>
      </c>
      <c r="BL117" s="6" t="s">
        <v>298</v>
      </c>
      <c r="BM117" s="6" t="s">
        <v>300</v>
      </c>
      <c r="BN117" s="6" t="s">
        <v>349</v>
      </c>
      <c r="BO117" s="6" t="s">
        <v>357</v>
      </c>
      <c r="BP117" s="6" t="s">
        <v>487</v>
      </c>
      <c r="BQ117" s="6" t="s">
        <v>462</v>
      </c>
      <c r="BR117" s="6" t="s">
        <v>390</v>
      </c>
      <c r="BS117" s="6" t="s">
        <v>393</v>
      </c>
      <c r="BT117" s="6" t="s">
        <v>397</v>
      </c>
      <c r="BU117" s="6" t="s">
        <v>487</v>
      </c>
      <c r="BW117" s="6" t="s">
        <v>462</v>
      </c>
      <c r="BX117" s="6" t="s">
        <v>390</v>
      </c>
      <c r="BY117" s="6" t="s">
        <v>393</v>
      </c>
      <c r="BZ117" s="6" t="s">
        <v>397</v>
      </c>
      <c r="CA117" s="6" t="s">
        <v>487</v>
      </c>
    </row>
    <row r="118">
      <c r="B118" s="40"/>
      <c r="C118" s="41" t="s">
        <v>142</v>
      </c>
      <c r="D118" s="38">
        <f>4000*I118</f>
        <v>128000</v>
      </c>
      <c r="E118" s="38" t="s">
        <v>248</v>
      </c>
      <c r="F118" s="42">
        <f>1000*I118</f>
        <v>32000</v>
      </c>
      <c r="G118" s="112"/>
      <c r="H118" s="48" t="s">
        <v>502</v>
      </c>
      <c r="I118" s="49">
        <v>32.0</v>
      </c>
      <c r="J118" s="100" t="s">
        <v>424</v>
      </c>
      <c r="K118" s="120">
        <v>0.0</v>
      </c>
      <c r="L118" s="121"/>
      <c r="M118" s="121"/>
      <c r="N118" s="121"/>
      <c r="O118" s="121"/>
      <c r="P118" s="121"/>
      <c r="Q118" s="121"/>
      <c r="R118" s="121"/>
      <c r="S118" s="121"/>
      <c r="T118" s="121"/>
      <c r="U118" s="121"/>
      <c r="V118" s="121"/>
      <c r="W118" s="121"/>
      <c r="X118" s="121"/>
      <c r="Y118" s="121"/>
      <c r="Z118" s="121"/>
      <c r="AA118" s="121"/>
      <c r="AB118" s="121"/>
      <c r="AC118" s="121"/>
      <c r="AD118" s="121"/>
      <c r="AE118" s="118"/>
      <c r="AF118" s="121"/>
      <c r="AG118" s="121"/>
      <c r="AH118" s="121"/>
      <c r="AI118" s="121"/>
      <c r="AJ118" s="121"/>
      <c r="AK118" s="121"/>
      <c r="AL118" s="121"/>
      <c r="AM118" s="121"/>
      <c r="AN118" s="121"/>
      <c r="AO118" s="121"/>
      <c r="AP118" s="121"/>
      <c r="AQ118" s="121"/>
      <c r="AR118" s="118"/>
      <c r="AS118" s="121"/>
      <c r="AT118" s="121"/>
      <c r="AU118" s="121"/>
      <c r="AV118" s="121"/>
      <c r="AW118" s="121"/>
      <c r="AX118" s="121"/>
      <c r="AY118" s="121"/>
      <c r="AZ118" s="121"/>
      <c r="BA118" s="121"/>
      <c r="BB118" s="121"/>
      <c r="BC118" s="121"/>
      <c r="BD118" s="121"/>
      <c r="BE118" s="121"/>
      <c r="BF118" s="121"/>
      <c r="BG118" s="122"/>
      <c r="BI118" s="28"/>
      <c r="BK118" s="6" t="s">
        <v>579</v>
      </c>
      <c r="BL118" s="6">
        <v>1.0</v>
      </c>
      <c r="BM118" s="6"/>
      <c r="BN118" s="6"/>
      <c r="BO118" s="6"/>
      <c r="BP118" s="6">
        <v>1.0</v>
      </c>
      <c r="BQ118" s="6" t="s">
        <v>298</v>
      </c>
      <c r="BR118" s="6"/>
      <c r="BS118" s="6">
        <v>1.0</v>
      </c>
      <c r="BT118" s="6">
        <v>1.0</v>
      </c>
      <c r="BU118" s="6">
        <v>2.0</v>
      </c>
      <c r="BW118" s="6" t="s">
        <v>298</v>
      </c>
      <c r="BX118" s="6"/>
      <c r="BY118" s="6">
        <v>1.0</v>
      </c>
      <c r="BZ118" s="6">
        <v>1.0</v>
      </c>
      <c r="CA118" s="6">
        <v>2.0</v>
      </c>
    </row>
    <row r="119">
      <c r="B119" s="50"/>
      <c r="C119" s="51"/>
      <c r="D119" s="52"/>
      <c r="E119" s="52"/>
      <c r="F119" s="52"/>
      <c r="G119" s="112"/>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2"/>
      <c r="AF119" s="113"/>
      <c r="AG119" s="113"/>
      <c r="AH119" s="113"/>
      <c r="AI119" s="113"/>
      <c r="AJ119" s="113"/>
      <c r="AK119" s="113"/>
      <c r="AL119" s="113"/>
      <c r="AM119" s="113"/>
      <c r="AN119" s="113"/>
      <c r="AO119" s="113"/>
      <c r="AP119" s="113"/>
      <c r="AQ119" s="113"/>
      <c r="AR119" s="112"/>
      <c r="AS119" s="113"/>
      <c r="AT119" s="113"/>
      <c r="AU119" s="113"/>
      <c r="AV119" s="113"/>
      <c r="AW119" s="113"/>
      <c r="AX119" s="113"/>
      <c r="AY119" s="113"/>
      <c r="AZ119" s="113"/>
      <c r="BA119" s="113"/>
      <c r="BB119" s="113"/>
      <c r="BC119" s="113"/>
      <c r="BD119" s="113"/>
      <c r="BE119" s="113"/>
      <c r="BF119" s="113"/>
      <c r="BG119" s="114"/>
      <c r="BI119" s="28"/>
      <c r="BK119" s="6" t="s">
        <v>593</v>
      </c>
      <c r="BL119" s="6"/>
      <c r="BM119" s="6"/>
      <c r="BN119" s="6">
        <v>1.0</v>
      </c>
      <c r="BO119" s="6"/>
      <c r="BP119" s="6">
        <v>1.0</v>
      </c>
      <c r="BQ119" s="6" t="s">
        <v>300</v>
      </c>
      <c r="BR119" s="6">
        <v>1.0</v>
      </c>
      <c r="BS119" s="6"/>
      <c r="BT119" s="6"/>
      <c r="BU119" s="6">
        <v>1.0</v>
      </c>
      <c r="BW119" s="6" t="s">
        <v>300</v>
      </c>
      <c r="BX119" s="6">
        <v>1.0</v>
      </c>
      <c r="BY119" s="6"/>
      <c r="BZ119" s="6"/>
      <c r="CA119" s="6">
        <v>1.0</v>
      </c>
    </row>
    <row r="120">
      <c r="B120" s="31" t="s">
        <v>629</v>
      </c>
      <c r="C120" s="54"/>
      <c r="D120" s="45"/>
      <c r="E120" s="45"/>
      <c r="F120" s="47"/>
      <c r="G120" s="112"/>
      <c r="H120" s="115" t="s">
        <v>300</v>
      </c>
      <c r="I120" s="116" t="str">
        <f>VLOOKUP(H120,'Machine List'!$A$1:$I$300,9,FALSE)</f>
        <v>1T</v>
      </c>
      <c r="J120" s="116">
        <f>IF(VLOOKUP(H120,'Machine List'!$A$1:$I$300,5,FALSE)="Multi",IF(VLOOKUP(H120,'Machine List'!$A$1:$I$300,6,FALSE)="Yes",AG120*3*10^Z120,AG120*(2*3)*10^(Z120-1)),0)</f>
        <v>0</v>
      </c>
      <c r="K120" s="38">
        <f>J120+IF(ISNUMBER(I120),I120,
  SWITCH(
      I120,
      "1T",1*10^Z120,
      "2T",2*10^Z120,
      "3T",3*10^Z120,
      "4T",4*10^Z120,
      "4000+500(7O-5)",4000+500*(7*I121-5),
      "13500 + 16C",13500+16*VLOOKUP(J122,'Machine Helper Sheet'!$G$1:$K$16,5,FALSE),
      1
  )
)</f>
        <v>10</v>
      </c>
      <c r="L120" s="38">
        <f>IF(VLOOKUP(H120,'Machine List'!$A$1:$I$300,5,FALSE)="Multi",IF(VLOOKUP(H120,'Machine List'!$A$1:$I$300,6,FALSE)="Yes",AU120*3*10^AT120,AU120*(2*3)*10^(AT120-1)),0)</f>
        <v>0</v>
      </c>
      <c r="M120" s="38">
        <f>L120+IF(ISNUMBER(I120),I120,
  SWITCH(
      I120,
      "1T",1*10^AT120,
      "2T",2*10^AT120,
      "3T",3*10^AT120,
      "4T",4*10^AT120,
      "4000+500(7O-5)",4000+500*(7*I121-5),
      1
  )
)</f>
        <v>10000</v>
      </c>
      <c r="N120" s="116" t="str">
        <f>VLOOKUP(H120,'Machine List'!$A$1:$I$300,8,FALSE)</f>
        <v>Tier</v>
      </c>
      <c r="O120" s="116">
        <f>IF(ISNUMBER(N120),N120,10^Z120)</f>
        <v>10</v>
      </c>
      <c r="P120" s="116">
        <f>IF(ISNUMBER(N120),N120,10^AT120)</f>
        <v>10000</v>
      </c>
      <c r="Q120" s="116">
        <f>VLOOKUP(H120,'Machine List'!$A$1:$B$138,2,FALSE)</f>
        <v>1</v>
      </c>
      <c r="R120" s="117" t="s">
        <v>277</v>
      </c>
      <c r="S120" s="116">
        <f>IF(ISNUMBER(Q120),Q120,
  SWITCH(
      Q120,
      "1",1,
      "2T",Z120*2,
      "4T",Z120*4,
      "6T",Z120*6,
      "8T",Z120*8,
      "10T",Z120*10,
      "12T",Z120*12,
      "14T",Z120*14,
      "16T",Z120*16,
      "2(T+1)",2*(Z120+1),
      "1T*C",Z120*J122,
      1
  )
)</f>
        <v>1</v>
      </c>
      <c r="T120" s="116" t="s">
        <v>277</v>
      </c>
      <c r="U120" s="116">
        <f>IF(OR(T120="No",T120=""),S120,T120)</f>
        <v>1</v>
      </c>
      <c r="V120" s="116">
        <f>IF(ISNUMBER(Q120),Q120,
  SWITCH(
      Q120,
      "1",1,
      "2T",AT120*2,
      "4T",AT120*4,
      "6T",AT120*6,
      "8T",AT120*8,
      "10T",AT120*10,
      "12T",AT120*12,
      "14T",AT120*14,
      "16T",AT120*16,
      "2(T+1)",2*(AT120+1),
      "1T*C",AT120*J122,
      1
  )
)</f>
        <v>1</v>
      </c>
      <c r="W120" s="116" t="str">
        <f>T120</f>
        <v>No</v>
      </c>
      <c r="X120" s="116">
        <f>IF(OR(W120="No",W120=""),V120,W120)</f>
        <v>1</v>
      </c>
      <c r="Y120" s="117" t="s">
        <v>390</v>
      </c>
      <c r="Z120" s="116">
        <f>VLOOKUP(Y120,'Item Helper Sheet'!$A$2:$B$16,2,FALSE)</f>
        <v>1</v>
      </c>
      <c r="AA120" s="117">
        <v>30.0</v>
      </c>
      <c r="AB120" s="116">
        <f>1.2*20</f>
        <v>24</v>
      </c>
      <c r="AC120" s="116">
        <f>AB120*I122</f>
        <v>1584</v>
      </c>
      <c r="AD120" s="116">
        <f>AA120*AC120</f>
        <v>47520</v>
      </c>
      <c r="AE120" s="118"/>
      <c r="AF120" s="116" t="str">
        <f>Y120</f>
        <v>01 - LV</v>
      </c>
      <c r="AG120" s="116">
        <v>1.0</v>
      </c>
      <c r="AH120" s="116">
        <v>1.0</v>
      </c>
      <c r="AI120" s="116">
        <f>AH120*8*4^Z120</f>
        <v>32</v>
      </c>
      <c r="AJ120" s="116">
        <f>MIN(ROUNDDOWN(AI120/AL120,0),U120)</f>
        <v>1</v>
      </c>
      <c r="AK120" s="116">
        <f>IF(OR(T120="No",T120=""),AG120*S120,AG120*T120)</f>
        <v>1</v>
      </c>
      <c r="AL120" s="116">
        <f>ROUNDUP(AA120*VLOOKUP(H120,'Machine List'!$A$2:$D$219,4,FALSE),0)</f>
        <v>30</v>
      </c>
      <c r="AM120" s="116">
        <f>AL120*AK120</f>
        <v>30</v>
      </c>
      <c r="AN120" s="116">
        <f>ROUNDUP(AB120*I122,0)</f>
        <v>1584</v>
      </c>
      <c r="AO120" s="116">
        <f>ROUNDUP(AN120/VLOOKUP(H120,'Machine List'!$A$2:$D$219,3,FALSE),0)</f>
        <v>1584</v>
      </c>
      <c r="AP120" s="116">
        <f>ROUNDUP(AO120/AK120,0)</f>
        <v>1584</v>
      </c>
      <c r="AQ120" s="116">
        <f>AM120*AP120</f>
        <v>47520</v>
      </c>
      <c r="AR120" s="118"/>
      <c r="AS120" s="116" t="s">
        <v>401</v>
      </c>
      <c r="AT120" s="116">
        <f>VLOOKUP(AS120,'Item Helper Sheet'!$A$2:$B$16,2,FALSE)</f>
        <v>4</v>
      </c>
      <c r="AU120" s="116">
        <f>AG120</f>
        <v>1</v>
      </c>
      <c r="AV120" s="116">
        <v>1.0</v>
      </c>
      <c r="AW120" s="116">
        <f>AV120*8*4^AT120</f>
        <v>2048</v>
      </c>
      <c r="AX120" s="116">
        <f>MIN(ROUNDDOWN(AW120/AL120,0),X120)</f>
        <v>1</v>
      </c>
      <c r="AY120" s="116">
        <f>AX120*AU120</f>
        <v>1</v>
      </c>
      <c r="AZ120" s="116">
        <f>AL120</f>
        <v>30</v>
      </c>
      <c r="BA120" s="116">
        <f>MIN(AT120-Z120,IF(AW120&gt;=AZ121*4,
IF(AW120&gt;=AZ121*4^2,
IF(AW120&gt;=AZ121*4^3,
IF(AW120&gt;=AZ121*4^4,
IF(AW120&gt;=AZ121*4^5,
IF(AW120&gt;=AZ121*4^6,
IF(AW120&gt;=AZ121*4^7,
IF(AW120&gt;=AZ121*4^8,
IF(AW120&gt;=AZ121*4^9,
IF(AW120&gt;=AZ121*4^10,
9),
8),
7),
6),
5),
4),
3),
2),
1),
0))</f>
        <v>3</v>
      </c>
      <c r="BB120" s="116">
        <f>AZ120*AX120*4^BA120</f>
        <v>1920</v>
      </c>
      <c r="BC120" s="116">
        <f>BB120*AU120</f>
        <v>1920</v>
      </c>
      <c r="BD120" s="116">
        <f>ROUNDUP(IF(R120="Yes",AN120/(2^((BA120)*2)),AN120/(2^(BA120))),0)</f>
        <v>198</v>
      </c>
      <c r="BE120" s="116">
        <f>ROUNDUP(BD120/VLOOKUP(H120,'Machine List'!$A$2:$D$219,3,FALSE),0)</f>
        <v>198</v>
      </c>
      <c r="BF120" s="116">
        <f>ROUNDUP(BE120/AY120,0)</f>
        <v>198</v>
      </c>
      <c r="BG120" s="119">
        <f>BF120*BC120</f>
        <v>380160</v>
      </c>
      <c r="BI120" s="28"/>
      <c r="BK120" s="6" t="s">
        <v>599</v>
      </c>
      <c r="BL120" s="6"/>
      <c r="BM120" s="6"/>
      <c r="BN120" s="6">
        <v>1.0</v>
      </c>
      <c r="BO120" s="6"/>
      <c r="BP120" s="6">
        <v>1.0</v>
      </c>
      <c r="BQ120" s="6" t="s">
        <v>349</v>
      </c>
      <c r="BR120" s="6">
        <v>7.0</v>
      </c>
      <c r="BS120" s="6">
        <v>2.0</v>
      </c>
      <c r="BT120" s="6">
        <v>3.0</v>
      </c>
      <c r="BU120" s="6">
        <v>12.0</v>
      </c>
      <c r="BW120" s="6" t="s">
        <v>349</v>
      </c>
      <c r="BX120" s="6">
        <v>7.0</v>
      </c>
      <c r="BY120" s="6">
        <v>2.0</v>
      </c>
      <c r="BZ120" s="6">
        <v>3.0</v>
      </c>
      <c r="CA120" s="6">
        <v>12.0</v>
      </c>
    </row>
    <row r="121">
      <c r="B121" s="40"/>
      <c r="C121" s="41" t="s">
        <v>55</v>
      </c>
      <c r="D121" s="38">
        <f>60*I122</f>
        <v>3960</v>
      </c>
      <c r="E121" s="38" t="s">
        <v>227</v>
      </c>
      <c r="F121" s="42">
        <f>40*I122</f>
        <v>2640</v>
      </c>
      <c r="G121" s="112"/>
      <c r="H121" s="99" t="s">
        <v>584</v>
      </c>
      <c r="I121" s="45">
        <f t="array" ref="I121">match(TRUE,ISBLANK(F121:F133),0)-1</f>
        <v>1</v>
      </c>
      <c r="J121" s="120" t="s">
        <v>420</v>
      </c>
      <c r="K121" s="120" t="s">
        <v>585</v>
      </c>
      <c r="L121" s="121"/>
      <c r="M121" s="121"/>
      <c r="N121" s="121"/>
      <c r="O121" s="121"/>
      <c r="P121" s="121"/>
      <c r="Q121" s="121"/>
      <c r="R121" s="121"/>
      <c r="S121" s="121"/>
      <c r="T121" s="121"/>
      <c r="U121" s="121"/>
      <c r="V121" s="121"/>
      <c r="W121" s="121"/>
      <c r="X121" s="121"/>
      <c r="Y121" s="121"/>
      <c r="Z121" s="121"/>
      <c r="AA121" s="121"/>
      <c r="AB121" s="121"/>
      <c r="AC121" s="121"/>
      <c r="AD121" s="121"/>
      <c r="AE121" s="118"/>
      <c r="AF121" s="121"/>
      <c r="AG121" s="121"/>
      <c r="AH121" s="121"/>
      <c r="AI121" s="121"/>
      <c r="AJ121" s="121"/>
      <c r="AK121" s="121"/>
      <c r="AL121" s="121"/>
      <c r="AM121" s="121"/>
      <c r="AN121" s="121"/>
      <c r="AO121" s="121"/>
      <c r="AP121" s="121"/>
      <c r="AQ121" s="121"/>
      <c r="AR121" s="118"/>
      <c r="AS121" s="121"/>
      <c r="AT121" s="121"/>
      <c r="AU121" s="121"/>
      <c r="AV121" s="121"/>
      <c r="AW121" s="121"/>
      <c r="AX121" s="121"/>
      <c r="AY121" s="121"/>
      <c r="AZ121" s="116">
        <f>AZ120*AX120</f>
        <v>30</v>
      </c>
      <c r="BA121" s="121"/>
      <c r="BB121" s="121"/>
      <c r="BC121" s="121"/>
      <c r="BD121" s="121"/>
      <c r="BE121" s="121"/>
      <c r="BF121" s="121"/>
      <c r="BG121" s="122"/>
      <c r="BI121" s="28"/>
      <c r="BK121" s="6" t="s">
        <v>601</v>
      </c>
      <c r="BL121" s="6"/>
      <c r="BM121" s="6"/>
      <c r="BN121" s="6">
        <v>1.0</v>
      </c>
      <c r="BO121" s="6"/>
      <c r="BP121" s="6">
        <v>1.0</v>
      </c>
      <c r="BQ121" s="6" t="s">
        <v>357</v>
      </c>
      <c r="BR121" s="6"/>
      <c r="BS121" s="6"/>
      <c r="BT121" s="6">
        <v>1.0</v>
      </c>
      <c r="BU121" s="6">
        <v>1.0</v>
      </c>
      <c r="BW121" s="6" t="s">
        <v>357</v>
      </c>
      <c r="BX121" s="6"/>
      <c r="BY121" s="6"/>
      <c r="BZ121" s="6">
        <v>1.0</v>
      </c>
      <c r="CA121" s="6">
        <v>1.0</v>
      </c>
    </row>
    <row r="122">
      <c r="B122" s="40"/>
      <c r="C122" s="41"/>
      <c r="D122" s="38"/>
      <c r="E122" s="38"/>
      <c r="F122" s="42"/>
      <c r="G122" s="112"/>
      <c r="H122" s="48" t="s">
        <v>502</v>
      </c>
      <c r="I122" s="49">
        <v>66.0</v>
      </c>
      <c r="J122" s="100" t="s">
        <v>424</v>
      </c>
      <c r="K122" s="120">
        <v>0.0</v>
      </c>
      <c r="L122" s="121"/>
      <c r="M122" s="121"/>
      <c r="N122" s="121"/>
      <c r="O122" s="121"/>
      <c r="P122" s="121"/>
      <c r="Q122" s="121"/>
      <c r="R122" s="121"/>
      <c r="S122" s="121"/>
      <c r="T122" s="121"/>
      <c r="U122" s="121"/>
      <c r="V122" s="121"/>
      <c r="W122" s="121"/>
      <c r="X122" s="121"/>
      <c r="Y122" s="121"/>
      <c r="Z122" s="121"/>
      <c r="AA122" s="121"/>
      <c r="AB122" s="121"/>
      <c r="AC122" s="121"/>
      <c r="AD122" s="121"/>
      <c r="AE122" s="118"/>
      <c r="AF122" s="121"/>
      <c r="AG122" s="121"/>
      <c r="AH122" s="121"/>
      <c r="AI122" s="121"/>
      <c r="AJ122" s="121"/>
      <c r="AK122" s="121"/>
      <c r="AL122" s="121"/>
      <c r="AM122" s="121"/>
      <c r="AN122" s="121"/>
      <c r="AO122" s="121"/>
      <c r="AP122" s="121"/>
      <c r="AQ122" s="121"/>
      <c r="AR122" s="118"/>
      <c r="AS122" s="121"/>
      <c r="AT122" s="121"/>
      <c r="AU122" s="121"/>
      <c r="AV122" s="121"/>
      <c r="AW122" s="121"/>
      <c r="AX122" s="121"/>
      <c r="AY122" s="121"/>
      <c r="AZ122" s="121"/>
      <c r="BA122" s="121"/>
      <c r="BB122" s="121"/>
      <c r="BC122" s="121"/>
      <c r="BD122" s="121"/>
      <c r="BE122" s="121"/>
      <c r="BF122" s="121"/>
      <c r="BG122" s="122"/>
      <c r="BI122" s="28"/>
      <c r="BK122" s="6" t="s">
        <v>611</v>
      </c>
      <c r="BL122" s="6"/>
      <c r="BM122" s="6"/>
      <c r="BN122" s="6">
        <v>1.0</v>
      </c>
      <c r="BO122" s="6"/>
      <c r="BP122" s="6">
        <v>1.0</v>
      </c>
      <c r="BQ122" s="6" t="s">
        <v>487</v>
      </c>
      <c r="BR122" s="6">
        <v>8.0</v>
      </c>
      <c r="BS122" s="6">
        <v>3.0</v>
      </c>
      <c r="BT122" s="6">
        <v>5.0</v>
      </c>
      <c r="BU122" s="6">
        <v>16.0</v>
      </c>
      <c r="BW122" s="6" t="s">
        <v>487</v>
      </c>
      <c r="BX122" s="6">
        <v>8.0</v>
      </c>
      <c r="BY122" s="6">
        <v>3.0</v>
      </c>
      <c r="BZ122" s="6">
        <v>5.0</v>
      </c>
      <c r="CA122" s="6">
        <v>16.0</v>
      </c>
    </row>
    <row r="123">
      <c r="B123" s="50"/>
      <c r="C123" s="51"/>
      <c r="D123" s="52"/>
      <c r="E123" s="52"/>
      <c r="F123" s="52"/>
      <c r="G123" s="112"/>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2"/>
      <c r="AF123" s="113"/>
      <c r="AG123" s="113"/>
      <c r="AH123" s="113"/>
      <c r="AI123" s="113"/>
      <c r="AJ123" s="113"/>
      <c r="AK123" s="113"/>
      <c r="AL123" s="113"/>
      <c r="AM123" s="113"/>
      <c r="AN123" s="113"/>
      <c r="AO123" s="113"/>
      <c r="AP123" s="113"/>
      <c r="AQ123" s="113"/>
      <c r="AR123" s="112"/>
      <c r="AS123" s="113"/>
      <c r="AT123" s="113"/>
      <c r="AU123" s="113"/>
      <c r="AV123" s="113"/>
      <c r="AW123" s="113"/>
      <c r="AX123" s="113"/>
      <c r="AY123" s="113"/>
      <c r="AZ123" s="113"/>
      <c r="BA123" s="113"/>
      <c r="BB123" s="113"/>
      <c r="BC123" s="113"/>
      <c r="BD123" s="113"/>
      <c r="BE123" s="113"/>
      <c r="BF123" s="113"/>
      <c r="BG123" s="114"/>
      <c r="BI123" s="28"/>
      <c r="BK123" s="6" t="s">
        <v>615</v>
      </c>
      <c r="BL123" s="6"/>
      <c r="BM123" s="6"/>
      <c r="BN123" s="6">
        <v>1.0</v>
      </c>
      <c r="BO123" s="6"/>
      <c r="BP123" s="6">
        <v>1.0</v>
      </c>
    </row>
    <row r="124">
      <c r="B124" s="31" t="s">
        <v>630</v>
      </c>
      <c r="C124" s="54"/>
      <c r="D124" s="45"/>
      <c r="E124" s="45"/>
      <c r="F124" s="47"/>
      <c r="G124" s="112"/>
      <c r="H124" s="125" t="s">
        <v>349</v>
      </c>
      <c r="I124" s="116">
        <f>VLOOKUP(H124,'Machine List'!$A$1:$I$300,9,FALSE)</f>
        <v>4000</v>
      </c>
      <c r="J124" s="116">
        <f>IF(VLOOKUP(H124,'Machine List'!$A$1:$I$300,5,FALSE)="Multi",IF(VLOOKUP(H124,'Machine List'!$A$1:$I$300,6,FALSE)="Yes",AG124*3*10^Z124,AG124*(2*3)*10^(Z124-1)),0)</f>
        <v>60</v>
      </c>
      <c r="K124" s="38">
        <f>J124+IF(ISNUMBER(I124),I124,
  SWITCH(
      I124,
      "1T",1*10^Z124,
      "2T",2*10^Z124,
      "3T",3*10^Z124,
      "4T",4*10^Z124,
      "4000+500(7O-5)",4000+500*(7*I125-5),
      "13500 + 16C",13500+16*VLOOKUP(J126,'Machine Helper Sheet'!$G$1:$K$16,5,FALSE),
      1
  )
)</f>
        <v>4060</v>
      </c>
      <c r="L124" s="38">
        <f>IF(VLOOKUP(H124,'Machine List'!$A$1:$I$300,5,FALSE)="Multi",IF(VLOOKUP(H124,'Machine List'!$A$1:$I$300,6,FALSE)="Yes",AU124*3*10^AT124,AU124*(2*3)*10^(AT124-1)),0)</f>
        <v>6000</v>
      </c>
      <c r="M124" s="38">
        <f>L124+IF(ISNUMBER(I124),I124,
  SWITCH(
      I124,
      "1T",1*10^AT124,
      "2T",2*10^AT124,
      "3T",3*10^AT124,
      "4T",4*10^AT124,
      "4000+500(7O-5)",4000+500*(7*I125-5),
      1
  )
)</f>
        <v>10000</v>
      </c>
      <c r="N124" s="116" t="str">
        <f>VLOOKUP(H124,'Machine List'!$A$1:$I$300,8,FALSE)</f>
        <v>Tier</v>
      </c>
      <c r="O124" s="116">
        <f>IF(ISNUMBER(N124),N124,10^Z124)</f>
        <v>100</v>
      </c>
      <c r="P124" s="116">
        <f>IF(ISNUMBER(N124),N124,10^AT124)</f>
        <v>10000</v>
      </c>
      <c r="Q124" s="116">
        <f>VLOOKUP(H124,'Machine List'!$A$1:$B$138,2,FALSE)</f>
        <v>1</v>
      </c>
      <c r="R124" s="116" t="s">
        <v>594</v>
      </c>
      <c r="S124" s="116">
        <f>IF(ISNUMBER(Q124),Q124,
  SWITCH(
      Q124,
      "1",1,
      "2T",Z124*2,
      "4T",Z124*4,
      "6T",Z124*6,
      "8T",Z124*8,
      "10T",Z124*10,
      "12T",Z124*12,
      "14T",Z124*14,
      "16T",Z124*16,
      "2(T+1)",2*(Z124+1),
      "1T*C",Z124*J126,
      1
  )
)</f>
        <v>1</v>
      </c>
      <c r="T124" s="116" t="s">
        <v>277</v>
      </c>
      <c r="U124" s="116">
        <f>IF(OR(T124="No",T124=""),S124,T124)</f>
        <v>1</v>
      </c>
      <c r="V124" s="116">
        <f>IF(ISNUMBER(Q124),Q124,
  SWITCH(
      Q124,
      "1",1,
      "2T",AT124*2,
      "4T",AT124*4,
      "6T",AT124*6,
      "8T",AT124*8,
      "10T",AT124*10,
      "12T",AT124*12,
      "14T",AT124*14,
      "16T",AT124*16,
      "2(T+1)",2*(AT124+1),
      "1T*C",AT124*J126,
      1
  )
)</f>
        <v>1</v>
      </c>
      <c r="W124" s="116" t="str">
        <f>T124</f>
        <v>No</v>
      </c>
      <c r="X124" s="116">
        <f>IF(OR(W124="No",W124=""),V124,W124)</f>
        <v>1</v>
      </c>
      <c r="Y124" s="117" t="s">
        <v>393</v>
      </c>
      <c r="Z124" s="116">
        <f>VLOOKUP(Y124,'Item Helper Sheet'!$A$2:$B$16,2,FALSE)</f>
        <v>2</v>
      </c>
      <c r="AA124" s="117">
        <v>120.0</v>
      </c>
      <c r="AB124" s="116">
        <f>24*20</f>
        <v>480</v>
      </c>
      <c r="AC124" s="116">
        <f>AB124*I126</f>
        <v>1920</v>
      </c>
      <c r="AD124" s="116">
        <f>AA124*AC124</f>
        <v>230400</v>
      </c>
      <c r="AE124" s="118"/>
      <c r="AF124" s="116" t="str">
        <f>Y124</f>
        <v>02 - MV</v>
      </c>
      <c r="AG124" s="116">
        <v>1.0</v>
      </c>
      <c r="AH124" s="116">
        <v>1.0</v>
      </c>
      <c r="AI124" s="116">
        <f>AH124*8*4^Z124</f>
        <v>128</v>
      </c>
      <c r="AJ124" s="116">
        <f>MIN(ROUNDDOWN(AI124/AL124,0),U124)</f>
        <v>1</v>
      </c>
      <c r="AK124" s="116">
        <f>IF(OR(T124="No",T124=""),AG124*S124,AG124*T124)</f>
        <v>1</v>
      </c>
      <c r="AL124" s="116">
        <f>ROUNDUP(AA124*VLOOKUP(H124,'Machine List'!$A$2:$D$219,4,FALSE),0)</f>
        <v>120</v>
      </c>
      <c r="AM124" s="116">
        <f>AL124*AK124</f>
        <v>120</v>
      </c>
      <c r="AN124" s="116">
        <f>ROUNDUP(AB124*I126,0)</f>
        <v>1920</v>
      </c>
      <c r="AO124" s="116">
        <f>ROUNDUP(AN124/VLOOKUP(H124,'Machine List'!$A$2:$D$219,3,FALSE),0)</f>
        <v>1920</v>
      </c>
      <c r="AP124" s="116">
        <f>ROUNDUP(AO124/AK124,0)</f>
        <v>1920</v>
      </c>
      <c r="AQ124" s="116">
        <f>AM124*AP124</f>
        <v>230400</v>
      </c>
      <c r="AR124" s="118"/>
      <c r="AS124" s="116" t="s">
        <v>401</v>
      </c>
      <c r="AT124" s="116">
        <f>VLOOKUP(AS124,'Item Helper Sheet'!$A$2:$B$16,2,FALSE)</f>
        <v>4</v>
      </c>
      <c r="AU124" s="116">
        <f>AG124</f>
        <v>1</v>
      </c>
      <c r="AV124" s="116">
        <v>1.0</v>
      </c>
      <c r="AW124" s="116">
        <f>AV124*8*4^AT124</f>
        <v>2048</v>
      </c>
      <c r="AX124" s="116">
        <f>MIN(ROUNDDOWN(AW124/AL124,0),X124)</f>
        <v>1</v>
      </c>
      <c r="AY124" s="116">
        <f>AX124*AU124</f>
        <v>1</v>
      </c>
      <c r="AZ124" s="116">
        <f>AL124</f>
        <v>120</v>
      </c>
      <c r="BA124" s="116">
        <f>MIN(AT124-Z124,IF(AW124&gt;=AZ125*4,
IF(AW124&gt;=AZ125*4^2,
IF(AW124&gt;=AZ125*4^3,
IF(AW124&gt;=AZ125*4^4,
IF(AW124&gt;=AZ125*4^5,
IF(AW124&gt;=AZ125*4^6,
IF(AW124&gt;=AZ125*4^7,
IF(AW124&gt;=AZ125*4^8,
IF(AW124&gt;=AZ125*4^9,
IF(AW124&gt;=AZ125*4^10,
9),
8),
7),
6),
5),
4),
3),
2),
1),
0))</f>
        <v>2</v>
      </c>
      <c r="BB124" s="116">
        <f>AZ124*AX124*4^BA124</f>
        <v>1920</v>
      </c>
      <c r="BC124" s="116">
        <f>BB124*AU124</f>
        <v>1920</v>
      </c>
      <c r="BD124" s="116">
        <f>ROUNDUP(IF(R124="Yes",AN124/(2^((BA124)*2)),AN124/(2^(BA124))),0)</f>
        <v>120</v>
      </c>
      <c r="BE124" s="116">
        <f>ROUNDUP(BD124/VLOOKUP(H124,'Machine List'!$A$2:$D$219,3,FALSE),0)</f>
        <v>120</v>
      </c>
      <c r="BF124" s="116">
        <f>ROUNDUP(BE124/AY124,0)</f>
        <v>120</v>
      </c>
      <c r="BG124" s="119">
        <f>BF124*BC124</f>
        <v>230400</v>
      </c>
      <c r="BI124" s="28"/>
      <c r="BK124" s="6" t="s">
        <v>616</v>
      </c>
      <c r="BL124" s="6"/>
      <c r="BM124" s="6"/>
      <c r="BN124" s="6">
        <v>1.0</v>
      </c>
      <c r="BO124" s="6"/>
      <c r="BP124" s="6">
        <v>1.0</v>
      </c>
      <c r="BQ124" s="6" t="s">
        <v>567</v>
      </c>
      <c r="BR124" s="6" t="s">
        <v>468</v>
      </c>
      <c r="BS124" s="6"/>
      <c r="BW124" s="6" t="s">
        <v>571</v>
      </c>
      <c r="BX124" s="6" t="s">
        <v>495</v>
      </c>
      <c r="BY124" s="6"/>
      <c r="BZ124" s="6"/>
      <c r="CA124" s="6"/>
    </row>
    <row r="125">
      <c r="B125" s="40"/>
      <c r="C125" s="41" t="s">
        <v>130</v>
      </c>
      <c r="D125" s="38">
        <f>8000*I126</f>
        <v>32000</v>
      </c>
      <c r="E125" s="38" t="s">
        <v>233</v>
      </c>
      <c r="F125" s="42">
        <f>2000*I126</f>
        <v>8000</v>
      </c>
      <c r="G125" s="112"/>
      <c r="H125" s="99" t="s">
        <v>584</v>
      </c>
      <c r="I125" s="45">
        <f t="array" ref="I125">match(TRUE,ISBLANK(F125:F137),0)-1</f>
        <v>2</v>
      </c>
      <c r="J125" s="120" t="s">
        <v>420</v>
      </c>
      <c r="K125" s="120" t="s">
        <v>585</v>
      </c>
      <c r="L125" s="121"/>
      <c r="M125" s="121"/>
      <c r="N125" s="121"/>
      <c r="O125" s="121"/>
      <c r="P125" s="121"/>
      <c r="Q125" s="121"/>
      <c r="R125" s="121"/>
      <c r="S125" s="121"/>
      <c r="T125" s="121"/>
      <c r="U125" s="121"/>
      <c r="V125" s="121"/>
      <c r="W125" s="121"/>
      <c r="X125" s="121"/>
      <c r="Y125" s="121"/>
      <c r="Z125" s="121"/>
      <c r="AA125" s="121"/>
      <c r="AB125" s="121"/>
      <c r="AC125" s="121"/>
      <c r="AD125" s="121"/>
      <c r="AE125" s="118"/>
      <c r="AF125" s="121"/>
      <c r="AG125" s="121"/>
      <c r="AH125" s="121"/>
      <c r="AI125" s="121"/>
      <c r="AJ125" s="121"/>
      <c r="AK125" s="121"/>
      <c r="AL125" s="121"/>
      <c r="AM125" s="121"/>
      <c r="AN125" s="121"/>
      <c r="AO125" s="121"/>
      <c r="AP125" s="121"/>
      <c r="AQ125" s="121"/>
      <c r="AR125" s="118"/>
      <c r="AS125" s="121"/>
      <c r="AT125" s="121"/>
      <c r="AU125" s="121"/>
      <c r="AV125" s="121"/>
      <c r="AW125" s="121"/>
      <c r="AX125" s="121"/>
      <c r="AY125" s="121"/>
      <c r="AZ125" s="116">
        <f>AZ124*AX124</f>
        <v>120</v>
      </c>
      <c r="BA125" s="121"/>
      <c r="BB125" s="121"/>
      <c r="BC125" s="121"/>
      <c r="BD125" s="121"/>
      <c r="BE125" s="121"/>
      <c r="BF125" s="121"/>
      <c r="BG125" s="122"/>
      <c r="BI125" s="28"/>
      <c r="BK125" s="6" t="s">
        <v>623</v>
      </c>
      <c r="BL125" s="6"/>
      <c r="BM125" s="6"/>
      <c r="BN125" s="6"/>
      <c r="BO125" s="6">
        <v>1.0</v>
      </c>
      <c r="BP125" s="6">
        <v>1.0</v>
      </c>
      <c r="BQ125" s="6" t="s">
        <v>462</v>
      </c>
      <c r="BR125" s="6" t="s">
        <v>401</v>
      </c>
      <c r="BS125" s="6" t="s">
        <v>487</v>
      </c>
      <c r="BW125" s="6" t="s">
        <v>462</v>
      </c>
      <c r="BX125" s="6" t="s">
        <v>390</v>
      </c>
      <c r="BY125" s="6" t="s">
        <v>393</v>
      </c>
      <c r="BZ125" s="6" t="s">
        <v>397</v>
      </c>
      <c r="CA125" s="6" t="s">
        <v>487</v>
      </c>
    </row>
    <row r="126">
      <c r="B126" s="40"/>
      <c r="C126" s="41" t="s">
        <v>63</v>
      </c>
      <c r="D126" s="38">
        <f>1000*I126</f>
        <v>4000</v>
      </c>
      <c r="E126" s="38" t="s">
        <v>248</v>
      </c>
      <c r="F126" s="42">
        <f>9000*I126</f>
        <v>36000</v>
      </c>
      <c r="G126" s="112"/>
      <c r="H126" s="48" t="s">
        <v>502</v>
      </c>
      <c r="I126" s="49">
        <v>4.0</v>
      </c>
      <c r="J126" s="100" t="s">
        <v>424</v>
      </c>
      <c r="K126" s="120">
        <v>0.0</v>
      </c>
      <c r="L126" s="121"/>
      <c r="M126" s="121"/>
      <c r="N126" s="121"/>
      <c r="O126" s="121"/>
      <c r="P126" s="121"/>
      <c r="Q126" s="121"/>
      <c r="R126" s="121"/>
      <c r="S126" s="121"/>
      <c r="T126" s="121"/>
      <c r="U126" s="121"/>
      <c r="V126" s="121"/>
      <c r="W126" s="121"/>
      <c r="X126" s="121"/>
      <c r="Y126" s="121"/>
      <c r="Z126" s="121"/>
      <c r="AA126" s="121"/>
      <c r="AB126" s="121"/>
      <c r="AC126" s="121"/>
      <c r="AD126" s="121"/>
      <c r="AE126" s="118"/>
      <c r="AF126" s="121"/>
      <c r="AG126" s="121"/>
      <c r="AH126" s="121"/>
      <c r="AI126" s="121"/>
      <c r="AJ126" s="121"/>
      <c r="AK126" s="121"/>
      <c r="AL126" s="121"/>
      <c r="AM126" s="121"/>
      <c r="AN126" s="121"/>
      <c r="AO126" s="121"/>
      <c r="AP126" s="121"/>
      <c r="AQ126" s="121"/>
      <c r="AR126" s="118"/>
      <c r="AS126" s="121"/>
      <c r="AT126" s="121"/>
      <c r="AU126" s="121"/>
      <c r="AV126" s="121"/>
      <c r="AW126" s="121"/>
      <c r="AX126" s="121"/>
      <c r="AY126" s="121"/>
      <c r="AZ126" s="121"/>
      <c r="BA126" s="121"/>
      <c r="BB126" s="121"/>
      <c r="BC126" s="121"/>
      <c r="BD126" s="121"/>
      <c r="BE126" s="121"/>
      <c r="BF126" s="121"/>
      <c r="BG126" s="122"/>
      <c r="BI126" s="28"/>
      <c r="BK126" s="6" t="s">
        <v>624</v>
      </c>
      <c r="BL126" s="6">
        <v>1.0</v>
      </c>
      <c r="BM126" s="6"/>
      <c r="BN126" s="6"/>
      <c r="BO126" s="6"/>
      <c r="BP126" s="6">
        <v>1.0</v>
      </c>
      <c r="BQ126" s="6" t="s">
        <v>298</v>
      </c>
      <c r="BR126" s="6">
        <v>2.0</v>
      </c>
      <c r="BS126" s="6">
        <v>2.0</v>
      </c>
      <c r="BW126" s="6" t="s">
        <v>298</v>
      </c>
      <c r="BX126" s="6"/>
      <c r="BY126" s="6">
        <v>1.0</v>
      </c>
      <c r="BZ126" s="6">
        <v>1.0</v>
      </c>
      <c r="CA126" s="6">
        <v>2.0</v>
      </c>
    </row>
    <row r="127">
      <c r="B127" s="50"/>
      <c r="C127" s="51"/>
      <c r="D127" s="52"/>
      <c r="E127" s="52"/>
      <c r="F127" s="52"/>
      <c r="G127" s="112"/>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2"/>
      <c r="AF127" s="113"/>
      <c r="AG127" s="113"/>
      <c r="AH127" s="113"/>
      <c r="AI127" s="113"/>
      <c r="AJ127" s="113"/>
      <c r="AK127" s="113"/>
      <c r="AL127" s="113"/>
      <c r="AM127" s="113"/>
      <c r="AN127" s="113"/>
      <c r="AO127" s="113"/>
      <c r="AP127" s="113"/>
      <c r="AQ127" s="113"/>
      <c r="AR127" s="112"/>
      <c r="AS127" s="113"/>
      <c r="AT127" s="113"/>
      <c r="AU127" s="113"/>
      <c r="AV127" s="113"/>
      <c r="AW127" s="113"/>
      <c r="AX127" s="113"/>
      <c r="AY127" s="113"/>
      <c r="AZ127" s="113"/>
      <c r="BA127" s="113"/>
      <c r="BB127" s="113"/>
      <c r="BC127" s="113"/>
      <c r="BD127" s="113"/>
      <c r="BE127" s="113"/>
      <c r="BF127" s="113"/>
      <c r="BG127" s="114"/>
      <c r="BI127" s="28"/>
      <c r="BK127" s="6" t="s">
        <v>625</v>
      </c>
      <c r="BL127" s="6"/>
      <c r="BM127" s="6"/>
      <c r="BN127" s="6">
        <v>1.0</v>
      </c>
      <c r="BO127" s="6"/>
      <c r="BP127" s="6">
        <v>1.0</v>
      </c>
      <c r="BQ127" s="6" t="s">
        <v>300</v>
      </c>
      <c r="BR127" s="6">
        <v>1.0</v>
      </c>
      <c r="BS127" s="6">
        <v>1.0</v>
      </c>
      <c r="BW127" s="6" t="s">
        <v>300</v>
      </c>
      <c r="BX127" s="6">
        <v>1.0</v>
      </c>
      <c r="BY127" s="6"/>
      <c r="BZ127" s="6"/>
      <c r="CA127" s="6">
        <v>1.0</v>
      </c>
    </row>
    <row r="128">
      <c r="B128" s="31" t="s">
        <v>631</v>
      </c>
      <c r="C128" s="54"/>
      <c r="D128" s="45"/>
      <c r="E128" s="45"/>
      <c r="F128" s="47"/>
      <c r="G128" s="112"/>
      <c r="H128" s="125" t="s">
        <v>349</v>
      </c>
      <c r="I128" s="116">
        <f>VLOOKUP(H128,'Machine List'!$A$1:$I$300,9,FALSE)</f>
        <v>4000</v>
      </c>
      <c r="J128" s="116">
        <f>IF(VLOOKUP(H128,'Machine List'!$A$1:$I$300,5,FALSE)="Multi",IF(VLOOKUP(H128,'Machine List'!$A$1:$I$300,6,FALSE)="Yes",AG128*3*10^Z128,AG128*(2*3)*10^(Z128-1)),0)</f>
        <v>600</v>
      </c>
      <c r="K128" s="38">
        <f>J128+IF(ISNUMBER(I128),I128,
  SWITCH(
      I128,
      "1T",1*10^Z128,
      "2T",2*10^Z128,
      "3T",3*10^Z128,
      "4T",4*10^Z128,
      "4000+500(7O-5)",4000+500*(7*I129-5),
      "13500 + 16C",13500+16*VLOOKUP(J130,'Machine Helper Sheet'!$G$1:$K$16,5,FALSE),
      1
  )
)</f>
        <v>4600</v>
      </c>
      <c r="L128" s="38">
        <f>IF(VLOOKUP(H128,'Machine List'!$A$1:$I$300,5,FALSE)="Multi",IF(VLOOKUP(H128,'Machine List'!$A$1:$I$300,6,FALSE)="Yes",AU128*3*10^AT128,AU128*(2*3)*10^(AT128-1)),0)</f>
        <v>6000</v>
      </c>
      <c r="M128" s="38">
        <f>L128+IF(ISNUMBER(I128),I128,
  SWITCH(
      I128,
      "1T",1*10^AT128,
      "2T",2*10^AT128,
      "3T",3*10^AT128,
      "4T",4*10^AT128,
      "4000+500(7O-5)",4000+500*(7*I129-5),
      1
  )
)</f>
        <v>10000</v>
      </c>
      <c r="N128" s="116" t="str">
        <f>VLOOKUP(H128,'Machine List'!$A$1:$I$300,8,FALSE)</f>
        <v>Tier</v>
      </c>
      <c r="O128" s="116">
        <f>IF(ISNUMBER(N128),N128,10^Z128)</f>
        <v>1000</v>
      </c>
      <c r="P128" s="116">
        <f>IF(ISNUMBER(N128),N128,10^AT128)</f>
        <v>10000</v>
      </c>
      <c r="Q128" s="116">
        <f>VLOOKUP(H128,'Machine List'!$A$1:$B$138,2,FALSE)</f>
        <v>1</v>
      </c>
      <c r="R128" s="116" t="s">
        <v>594</v>
      </c>
      <c r="S128" s="116">
        <f>IF(ISNUMBER(Q128),Q128,
  SWITCH(
      Q128,
      "1",1,
      "2T",Z128*2,
      "4T",Z128*4,
      "6T",Z128*6,
      "8T",Z128*8,
      "10T",Z128*10,
      "12T",Z128*12,
      "14T",Z128*14,
      "16T",Z128*16,
      "2(T+1)",2*(Z128+1),
      "1T*C",Z128*J130,
      1
  )
)</f>
        <v>1</v>
      </c>
      <c r="T128" s="116" t="s">
        <v>277</v>
      </c>
      <c r="U128" s="116">
        <f>IF(OR(T128="No",T128=""),S128,T128)</f>
        <v>1</v>
      </c>
      <c r="V128" s="116">
        <f>IF(ISNUMBER(Q128),Q128,
  SWITCH(
      Q128,
      "1",1,
      "2T",AT128*2,
      "4T",AT128*4,
      "6T",AT128*6,
      "8T",AT128*8,
      "10T",AT128*10,
      "12T",AT128*12,
      "14T",AT128*14,
      "16T",AT128*16,
      "2(T+1)",2*(AT128+1),
      "1T*C",AT128*J130,
      1
  )
)</f>
        <v>1</v>
      </c>
      <c r="W128" s="116" t="str">
        <f>T128</f>
        <v>No</v>
      </c>
      <c r="X128" s="116">
        <f>IF(OR(W128="No",W128=""),V128,W128)</f>
        <v>1</v>
      </c>
      <c r="Y128" s="116" t="s">
        <v>397</v>
      </c>
      <c r="Z128" s="116">
        <f>VLOOKUP(Y128,'Item Helper Sheet'!$A$2:$B$16,2,FALSE)</f>
        <v>3</v>
      </c>
      <c r="AA128" s="116">
        <v>480.0</v>
      </c>
      <c r="AB128" s="116">
        <f>6*20</f>
        <v>120</v>
      </c>
      <c r="AC128" s="116">
        <f>AB128*I130</f>
        <v>4320</v>
      </c>
      <c r="AD128" s="116">
        <f>AA128*AC128</f>
        <v>2073600</v>
      </c>
      <c r="AE128" s="118"/>
      <c r="AF128" s="116" t="str">
        <f>Y128</f>
        <v>03 - HV</v>
      </c>
      <c r="AG128" s="116">
        <v>1.0</v>
      </c>
      <c r="AH128" s="116">
        <v>1.0</v>
      </c>
      <c r="AI128" s="116">
        <f>AH128*8*4^Z128</f>
        <v>512</v>
      </c>
      <c r="AJ128" s="116">
        <f>MIN(ROUNDDOWN(AI128/AL128,0),U128)</f>
        <v>1</v>
      </c>
      <c r="AK128" s="116">
        <f>IF(OR(T128="No",T128=""),AG128*S128,AG128*T128)</f>
        <v>1</v>
      </c>
      <c r="AL128" s="116">
        <f>ROUNDUP(AA128*VLOOKUP(H128,'Machine List'!$A$2:$D$219,4,FALSE),0)</f>
        <v>480</v>
      </c>
      <c r="AM128" s="116">
        <f>AL128*AK128</f>
        <v>480</v>
      </c>
      <c r="AN128" s="116">
        <f>ROUNDUP(AB128*I130,0)</f>
        <v>4320</v>
      </c>
      <c r="AO128" s="116">
        <f>ROUNDUP(AN128/VLOOKUP(H128,'Machine List'!$A$2:$D$219,3,FALSE),0)</f>
        <v>4320</v>
      </c>
      <c r="AP128" s="116">
        <f>ROUNDUP(AO128/AK128,0)</f>
        <v>4320</v>
      </c>
      <c r="AQ128" s="116">
        <f>AM128*AP128</f>
        <v>2073600</v>
      </c>
      <c r="AR128" s="118"/>
      <c r="AS128" s="116" t="s">
        <v>401</v>
      </c>
      <c r="AT128" s="116">
        <f>VLOOKUP(AS128,'Item Helper Sheet'!$A$2:$B$16,2,FALSE)</f>
        <v>4</v>
      </c>
      <c r="AU128" s="116">
        <f>AG128</f>
        <v>1</v>
      </c>
      <c r="AV128" s="116">
        <v>1.0</v>
      </c>
      <c r="AW128" s="116">
        <f>AV128*8*4^AT128</f>
        <v>2048</v>
      </c>
      <c r="AX128" s="116">
        <f>MIN(ROUNDDOWN(AW128/AL128,0),X128)</f>
        <v>1</v>
      </c>
      <c r="AY128" s="116">
        <f>AX128*AU128</f>
        <v>1</v>
      </c>
      <c r="AZ128" s="116">
        <f>AL128</f>
        <v>480</v>
      </c>
      <c r="BA128" s="116">
        <f>MIN(AT128-Z128,IF(AW128&gt;=AZ129*4,
IF(AW128&gt;=AZ129*4^2,
IF(AW128&gt;=AZ129*4^3,
IF(AW128&gt;=AZ129*4^4,
IF(AW128&gt;=AZ129*4^5,
IF(AW128&gt;=AZ129*4^6,
IF(AW128&gt;=AZ129*4^7,
IF(AW128&gt;=AZ129*4^8,
IF(AW128&gt;=AZ129*4^9,
IF(AW128&gt;=AZ129*4^10,
9),
8),
7),
6),
5),
4),
3),
2),
1),
0))</f>
        <v>1</v>
      </c>
      <c r="BB128" s="116">
        <f>AZ128*AX128*4^BA128</f>
        <v>1920</v>
      </c>
      <c r="BC128" s="116">
        <f>BB128*AU128</f>
        <v>1920</v>
      </c>
      <c r="BD128" s="116">
        <f>ROUNDUP(IF(R128="Yes",AN128/(2^((BA128)*2)),AN128/(2^(BA128))),0)</f>
        <v>1080</v>
      </c>
      <c r="BE128" s="116">
        <f>ROUNDUP(BD128/VLOOKUP(H128,'Machine List'!$A$2:$D$219,3,FALSE),0)</f>
        <v>1080</v>
      </c>
      <c r="BF128" s="116">
        <f>ROUNDUP(BE128/AY128,0)</f>
        <v>1080</v>
      </c>
      <c r="BG128" s="119">
        <f>BF128*BC128</f>
        <v>2073600</v>
      </c>
      <c r="BI128" s="28"/>
      <c r="BK128" s="6" t="s">
        <v>626</v>
      </c>
      <c r="BL128" s="6"/>
      <c r="BM128" s="6"/>
      <c r="BN128" s="6">
        <v>1.0</v>
      </c>
      <c r="BO128" s="6"/>
      <c r="BP128" s="6">
        <v>1.0</v>
      </c>
      <c r="BQ128" s="6" t="s">
        <v>349</v>
      </c>
      <c r="BR128" s="6">
        <v>12.0</v>
      </c>
      <c r="BS128" s="6">
        <v>12.0</v>
      </c>
      <c r="BW128" s="6" t="s">
        <v>349</v>
      </c>
      <c r="BX128" s="6">
        <v>7.0</v>
      </c>
      <c r="BY128" s="6">
        <v>2.0</v>
      </c>
      <c r="BZ128" s="6">
        <v>3.0</v>
      </c>
      <c r="CA128" s="6">
        <v>12.0</v>
      </c>
    </row>
    <row r="129">
      <c r="B129" s="40"/>
      <c r="C129" s="41" t="s">
        <v>54</v>
      </c>
      <c r="D129" s="38">
        <f>10000*I130</f>
        <v>360000</v>
      </c>
      <c r="E129" s="38" t="s">
        <v>46</v>
      </c>
      <c r="F129" s="42">
        <f>10000*I130</f>
        <v>360000</v>
      </c>
      <c r="G129" s="112"/>
      <c r="H129" s="99" t="s">
        <v>584</v>
      </c>
      <c r="I129" s="45">
        <f t="array" ref="I129">match(TRUE,ISBLANK(F129:F141),0)-1</f>
        <v>1</v>
      </c>
      <c r="J129" s="120" t="s">
        <v>420</v>
      </c>
      <c r="K129" s="120" t="s">
        <v>585</v>
      </c>
      <c r="L129" s="121"/>
      <c r="M129" s="121"/>
      <c r="N129" s="121"/>
      <c r="O129" s="121"/>
      <c r="P129" s="121"/>
      <c r="Q129" s="121"/>
      <c r="R129" s="121"/>
      <c r="S129" s="121"/>
      <c r="T129" s="121"/>
      <c r="U129" s="121"/>
      <c r="V129" s="121"/>
      <c r="W129" s="121"/>
      <c r="X129" s="121"/>
      <c r="Y129" s="121"/>
      <c r="Z129" s="121"/>
      <c r="AA129" s="121"/>
      <c r="AB129" s="121"/>
      <c r="AC129" s="121"/>
      <c r="AD129" s="121"/>
      <c r="AE129" s="118"/>
      <c r="AF129" s="121"/>
      <c r="AG129" s="121"/>
      <c r="AH129" s="121"/>
      <c r="AI129" s="121"/>
      <c r="AJ129" s="121"/>
      <c r="AK129" s="121"/>
      <c r="AL129" s="121"/>
      <c r="AM129" s="121"/>
      <c r="AN129" s="121"/>
      <c r="AO129" s="121"/>
      <c r="AP129" s="121"/>
      <c r="AQ129" s="121"/>
      <c r="AR129" s="118"/>
      <c r="AS129" s="121"/>
      <c r="AT129" s="121"/>
      <c r="AU129" s="121"/>
      <c r="AV129" s="121"/>
      <c r="AW129" s="121"/>
      <c r="AX129" s="121"/>
      <c r="AY129" s="121"/>
      <c r="AZ129" s="116">
        <f>AZ128*AX128</f>
        <v>480</v>
      </c>
      <c r="BA129" s="121"/>
      <c r="BB129" s="121"/>
      <c r="BC129" s="121"/>
      <c r="BD129" s="121"/>
      <c r="BE129" s="121"/>
      <c r="BF129" s="121"/>
      <c r="BG129" s="122"/>
      <c r="BI129" s="28"/>
      <c r="BK129" s="6" t="s">
        <v>627</v>
      </c>
      <c r="BL129" s="6"/>
      <c r="BM129" s="6"/>
      <c r="BN129" s="6">
        <v>1.0</v>
      </c>
      <c r="BO129" s="6"/>
      <c r="BP129" s="6">
        <v>1.0</v>
      </c>
      <c r="BQ129" s="6" t="s">
        <v>357</v>
      </c>
      <c r="BR129" s="6">
        <v>1.0</v>
      </c>
      <c r="BS129" s="6">
        <v>1.0</v>
      </c>
      <c r="BW129" s="6" t="s">
        <v>357</v>
      </c>
      <c r="BX129" s="6"/>
      <c r="BY129" s="6"/>
      <c r="BZ129" s="6">
        <v>1.0</v>
      </c>
      <c r="CA129" s="6">
        <v>1.0</v>
      </c>
    </row>
    <row r="130">
      <c r="B130" s="40"/>
      <c r="C130" s="41" t="s">
        <v>233</v>
      </c>
      <c r="D130" s="38">
        <f>200*I130</f>
        <v>7200</v>
      </c>
      <c r="E130" s="38"/>
      <c r="F130" s="42"/>
      <c r="G130" s="112"/>
      <c r="H130" s="48" t="s">
        <v>502</v>
      </c>
      <c r="I130" s="49">
        <v>36.0</v>
      </c>
      <c r="J130" s="100" t="s">
        <v>424</v>
      </c>
      <c r="K130" s="120">
        <v>0.0</v>
      </c>
      <c r="L130" s="121"/>
      <c r="M130" s="121"/>
      <c r="N130" s="121"/>
      <c r="O130" s="121"/>
      <c r="P130" s="121"/>
      <c r="Q130" s="121"/>
      <c r="R130" s="121"/>
      <c r="S130" s="121"/>
      <c r="T130" s="121"/>
      <c r="U130" s="121"/>
      <c r="V130" s="121"/>
      <c r="W130" s="121"/>
      <c r="X130" s="121"/>
      <c r="Y130" s="121"/>
      <c r="Z130" s="121"/>
      <c r="AA130" s="121"/>
      <c r="AB130" s="121"/>
      <c r="AC130" s="121"/>
      <c r="AD130" s="121"/>
      <c r="AE130" s="118"/>
      <c r="AF130" s="121"/>
      <c r="AG130" s="121"/>
      <c r="AH130" s="121"/>
      <c r="AI130" s="121"/>
      <c r="AJ130" s="121"/>
      <c r="AK130" s="121"/>
      <c r="AL130" s="121"/>
      <c r="AM130" s="121"/>
      <c r="AN130" s="121"/>
      <c r="AO130" s="121"/>
      <c r="AP130" s="121"/>
      <c r="AQ130" s="121"/>
      <c r="AR130" s="118"/>
      <c r="AS130" s="121"/>
      <c r="AT130" s="121"/>
      <c r="AU130" s="121"/>
      <c r="AV130" s="121"/>
      <c r="AW130" s="121"/>
      <c r="AX130" s="121"/>
      <c r="AY130" s="121"/>
      <c r="AZ130" s="121"/>
      <c r="BA130" s="121"/>
      <c r="BB130" s="121"/>
      <c r="BC130" s="121"/>
      <c r="BD130" s="121"/>
      <c r="BE130" s="121"/>
      <c r="BF130" s="121"/>
      <c r="BG130" s="122"/>
      <c r="BI130" s="28"/>
      <c r="BK130" s="6" t="s">
        <v>628</v>
      </c>
      <c r="BL130" s="6"/>
      <c r="BM130" s="6"/>
      <c r="BN130" s="6">
        <v>1.0</v>
      </c>
      <c r="BO130" s="6"/>
      <c r="BP130" s="6">
        <v>1.0</v>
      </c>
      <c r="BQ130" s="6" t="s">
        <v>487</v>
      </c>
      <c r="BR130" s="6">
        <v>16.0</v>
      </c>
      <c r="BS130" s="6">
        <v>16.0</v>
      </c>
      <c r="BW130" s="6" t="s">
        <v>487</v>
      </c>
      <c r="BX130" s="6">
        <v>8.0</v>
      </c>
      <c r="BY130" s="6">
        <v>3.0</v>
      </c>
      <c r="BZ130" s="6">
        <v>5.0</v>
      </c>
      <c r="CA130" s="6">
        <v>16.0</v>
      </c>
    </row>
    <row r="131">
      <c r="B131" s="50"/>
      <c r="C131" s="51"/>
      <c r="D131" s="52"/>
      <c r="E131" s="52"/>
      <c r="F131" s="52"/>
      <c r="G131" s="112"/>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2"/>
      <c r="AF131" s="113"/>
      <c r="AG131" s="113"/>
      <c r="AH131" s="113"/>
      <c r="AI131" s="113"/>
      <c r="AJ131" s="113"/>
      <c r="AK131" s="113"/>
      <c r="AL131" s="113"/>
      <c r="AM131" s="113"/>
      <c r="AN131" s="113"/>
      <c r="AO131" s="113"/>
      <c r="AP131" s="113"/>
      <c r="AQ131" s="113"/>
      <c r="AR131" s="112"/>
      <c r="AS131" s="113"/>
      <c r="AT131" s="113"/>
      <c r="AU131" s="113"/>
      <c r="AV131" s="113"/>
      <c r="AW131" s="113"/>
      <c r="AX131" s="113"/>
      <c r="AY131" s="113"/>
      <c r="AZ131" s="113"/>
      <c r="BA131" s="113"/>
      <c r="BB131" s="113"/>
      <c r="BC131" s="113"/>
      <c r="BD131" s="113"/>
      <c r="BE131" s="113"/>
      <c r="BF131" s="113"/>
      <c r="BG131" s="114"/>
      <c r="BI131" s="28"/>
      <c r="BK131" s="6" t="s">
        <v>629</v>
      </c>
      <c r="BL131" s="6"/>
      <c r="BM131" s="6">
        <v>1.0</v>
      </c>
      <c r="BN131" s="6"/>
      <c r="BO131" s="6"/>
      <c r="BP131" s="6">
        <v>1.0</v>
      </c>
    </row>
    <row r="132">
      <c r="BI132" s="28"/>
      <c r="BK132" s="6" t="s">
        <v>630</v>
      </c>
      <c r="BL132" s="6"/>
      <c r="BM132" s="6"/>
      <c r="BN132" s="6">
        <v>1.0</v>
      </c>
      <c r="BO132" s="6"/>
      <c r="BP132" s="6">
        <v>1.0</v>
      </c>
    </row>
    <row r="133">
      <c r="C133" s="103" t="s">
        <v>248</v>
      </c>
      <c r="D133" s="5"/>
      <c r="E133" s="103" t="s">
        <v>226</v>
      </c>
      <c r="BI133" s="28"/>
      <c r="BK133" s="6" t="s">
        <v>631</v>
      </c>
      <c r="BL133" s="6"/>
      <c r="BM133" s="6"/>
      <c r="BN133" s="6">
        <v>1.0</v>
      </c>
      <c r="BO133" s="6"/>
      <c r="BP133" s="6">
        <v>1.0</v>
      </c>
    </row>
    <row r="134">
      <c r="C134" s="103" t="s">
        <v>44</v>
      </c>
      <c r="D134" s="5"/>
      <c r="E134" s="4" t="s">
        <v>138</v>
      </c>
      <c r="BI134" s="28"/>
      <c r="BK134" s="6" t="s">
        <v>487</v>
      </c>
      <c r="BL134" s="6">
        <v>2.0</v>
      </c>
      <c r="BM134" s="6">
        <v>1.0</v>
      </c>
      <c r="BN134" s="6">
        <v>12.0</v>
      </c>
      <c r="BO134" s="6">
        <v>1.0</v>
      </c>
      <c r="BP134" s="6">
        <v>16.0</v>
      </c>
    </row>
    <row r="135">
      <c r="C135" s="4" t="s">
        <v>46</v>
      </c>
      <c r="E135" s="4" t="s">
        <v>142</v>
      </c>
      <c r="BI135" s="28"/>
    </row>
    <row r="136">
      <c r="C136" s="4" t="s">
        <v>61</v>
      </c>
      <c r="E136" s="4" t="s">
        <v>87</v>
      </c>
      <c r="BI136" s="28"/>
      <c r="BK136" s="6" t="s">
        <v>622</v>
      </c>
      <c r="BL136" s="6" t="s">
        <v>462</v>
      </c>
      <c r="BM136" s="6"/>
      <c r="BN136" s="6"/>
      <c r="BO136" s="6"/>
      <c r="BP136" s="6"/>
    </row>
    <row r="137">
      <c r="C137" s="4" t="s">
        <v>162</v>
      </c>
      <c r="E137" s="4" t="s">
        <v>132</v>
      </c>
      <c r="BI137" s="28"/>
      <c r="BK137" s="6" t="s">
        <v>457</v>
      </c>
      <c r="BL137" s="6" t="s">
        <v>298</v>
      </c>
      <c r="BM137" s="6" t="s">
        <v>300</v>
      </c>
      <c r="BN137" s="6" t="s">
        <v>349</v>
      </c>
      <c r="BO137" s="6" t="s">
        <v>357</v>
      </c>
      <c r="BP137" s="6" t="s">
        <v>487</v>
      </c>
    </row>
    <row r="138">
      <c r="C138" s="4" t="s">
        <v>118</v>
      </c>
      <c r="BI138" s="28"/>
      <c r="BK138" s="6" t="s">
        <v>579</v>
      </c>
      <c r="BL138" s="6">
        <v>1.0</v>
      </c>
      <c r="BM138" s="6"/>
      <c r="BN138" s="6"/>
      <c r="BO138" s="6"/>
      <c r="BP138" s="6">
        <v>1.0</v>
      </c>
    </row>
    <row r="139">
      <c r="C139" s="4" t="s">
        <v>82</v>
      </c>
      <c r="BI139" s="28"/>
      <c r="BK139" s="6" t="s">
        <v>593</v>
      </c>
      <c r="BL139" s="6"/>
      <c r="BM139" s="6"/>
      <c r="BN139" s="6">
        <v>1.0</v>
      </c>
      <c r="BO139" s="6"/>
      <c r="BP139" s="6">
        <v>1.0</v>
      </c>
    </row>
    <row r="140">
      <c r="C140" s="4" t="s">
        <v>124</v>
      </c>
      <c r="BI140" s="28"/>
      <c r="BK140" s="6" t="s">
        <v>599</v>
      </c>
      <c r="BL140" s="6"/>
      <c r="BM140" s="6"/>
      <c r="BN140" s="6">
        <v>1.0</v>
      </c>
      <c r="BO140" s="6"/>
      <c r="BP140" s="6">
        <v>1.0</v>
      </c>
    </row>
    <row r="141">
      <c r="C141" s="4" t="s">
        <v>125</v>
      </c>
      <c r="BI141" s="28"/>
      <c r="BK141" s="6" t="s">
        <v>601</v>
      </c>
      <c r="BL141" s="6"/>
      <c r="BM141" s="6"/>
      <c r="BN141" s="6">
        <v>1.0</v>
      </c>
      <c r="BO141" s="6"/>
      <c r="BP141" s="6">
        <v>1.0</v>
      </c>
    </row>
    <row r="142">
      <c r="BI142" s="28"/>
      <c r="BK142" s="6" t="s">
        <v>611</v>
      </c>
      <c r="BL142" s="6"/>
      <c r="BM142" s="6"/>
      <c r="BN142" s="6">
        <v>1.0</v>
      </c>
      <c r="BO142" s="6"/>
      <c r="BP142" s="6">
        <v>1.0</v>
      </c>
    </row>
    <row r="143">
      <c r="BI143" s="28"/>
      <c r="BK143" s="6" t="s">
        <v>615</v>
      </c>
      <c r="BL143" s="6"/>
      <c r="BM143" s="6"/>
      <c r="BN143" s="6">
        <v>1.0</v>
      </c>
      <c r="BO143" s="6"/>
      <c r="BP143" s="6">
        <v>1.0</v>
      </c>
    </row>
    <row r="144">
      <c r="BI144" s="28"/>
      <c r="BK144" s="6" t="s">
        <v>616</v>
      </c>
      <c r="BL144" s="6"/>
      <c r="BM144" s="6"/>
      <c r="BN144" s="6">
        <v>1.0</v>
      </c>
      <c r="BO144" s="6"/>
      <c r="BP144" s="6">
        <v>1.0</v>
      </c>
    </row>
    <row r="145">
      <c r="BI145" s="28"/>
      <c r="BK145" s="6" t="s">
        <v>623</v>
      </c>
      <c r="BL145" s="6"/>
      <c r="BM145" s="6"/>
      <c r="BN145" s="6"/>
      <c r="BO145" s="6">
        <v>1.0</v>
      </c>
      <c r="BP145" s="6">
        <v>1.0</v>
      </c>
    </row>
    <row r="146">
      <c r="BI146" s="28"/>
      <c r="BK146" s="6" t="s">
        <v>624</v>
      </c>
      <c r="BL146" s="6">
        <v>1.0</v>
      </c>
      <c r="BM146" s="6"/>
      <c r="BN146" s="6"/>
      <c r="BO146" s="6"/>
      <c r="BP146" s="6">
        <v>1.0</v>
      </c>
    </row>
    <row r="147">
      <c r="BI147" s="28"/>
      <c r="BK147" s="6" t="s">
        <v>625</v>
      </c>
      <c r="BL147" s="6"/>
      <c r="BM147" s="6"/>
      <c r="BN147" s="6">
        <v>1.0</v>
      </c>
      <c r="BO147" s="6"/>
      <c r="BP147" s="6">
        <v>1.0</v>
      </c>
    </row>
    <row r="148">
      <c r="BI148" s="28"/>
      <c r="BK148" s="6" t="s">
        <v>626</v>
      </c>
      <c r="BL148" s="6"/>
      <c r="BM148" s="6"/>
      <c r="BN148" s="6">
        <v>1.0</v>
      </c>
      <c r="BO148" s="6"/>
      <c r="BP148" s="6">
        <v>1.0</v>
      </c>
    </row>
    <row r="149">
      <c r="BI149" s="28"/>
      <c r="BK149" s="6" t="s">
        <v>627</v>
      </c>
      <c r="BL149" s="6"/>
      <c r="BM149" s="6"/>
      <c r="BN149" s="6">
        <v>1.0</v>
      </c>
      <c r="BO149" s="6"/>
      <c r="BP149" s="6">
        <v>1.0</v>
      </c>
    </row>
    <row r="150">
      <c r="BI150" s="28"/>
      <c r="BK150" s="6" t="s">
        <v>628</v>
      </c>
      <c r="BL150" s="6"/>
      <c r="BM150" s="6"/>
      <c r="BN150" s="6">
        <v>1.0</v>
      </c>
      <c r="BO150" s="6"/>
      <c r="BP150" s="6">
        <v>1.0</v>
      </c>
    </row>
    <row r="151">
      <c r="BI151" s="28"/>
      <c r="BK151" s="6" t="s">
        <v>629</v>
      </c>
      <c r="BL151" s="6"/>
      <c r="BM151" s="6">
        <v>1.0</v>
      </c>
      <c r="BN151" s="6"/>
      <c r="BO151" s="6"/>
      <c r="BP151" s="6">
        <v>1.0</v>
      </c>
    </row>
    <row r="152">
      <c r="BI152" s="28"/>
      <c r="BK152" s="6" t="s">
        <v>630</v>
      </c>
      <c r="BL152" s="6"/>
      <c r="BM152" s="6"/>
      <c r="BN152" s="6">
        <v>1.0</v>
      </c>
      <c r="BO152" s="6"/>
      <c r="BP152" s="6">
        <v>1.0</v>
      </c>
    </row>
    <row r="153">
      <c r="BI153" s="28"/>
      <c r="BK153" s="6" t="s">
        <v>631</v>
      </c>
      <c r="BL153" s="6"/>
      <c r="BM153" s="6"/>
      <c r="BN153" s="6">
        <v>1.0</v>
      </c>
      <c r="BO153" s="6"/>
      <c r="BP153" s="6">
        <v>1.0</v>
      </c>
    </row>
    <row r="154">
      <c r="BI154" s="28"/>
      <c r="BK154" s="6" t="s">
        <v>487</v>
      </c>
      <c r="BL154" s="6">
        <v>2.0</v>
      </c>
      <c r="BM154" s="6">
        <v>1.0</v>
      </c>
      <c r="BN154" s="6">
        <v>12.0</v>
      </c>
      <c r="BO154" s="6">
        <v>1.0</v>
      </c>
      <c r="BP154" s="6">
        <v>16.0</v>
      </c>
    </row>
    <row r="155">
      <c r="BI155" s="28"/>
    </row>
    <row r="156">
      <c r="BI156" s="28"/>
    </row>
  </sheetData>
  <mergeCells count="8">
    <mergeCell ref="B1:BH1"/>
    <mergeCell ref="BK1:CK1"/>
    <mergeCell ref="B2:BH2"/>
    <mergeCell ref="BK2:CK2"/>
    <mergeCell ref="B57:T57"/>
    <mergeCell ref="BK57:CK57"/>
    <mergeCell ref="B58:T58"/>
    <mergeCell ref="BK58:CK58"/>
  </mergeCells>
  <dataValidations>
    <dataValidation type="list" allowBlank="1" sqref="J7 J14 J18 J22 J26 J30 J34 J63 J70 J74 J78 J82 J86 J90 J94 J98 J106 J110 J114 J118 J122 J126 J130">
      <formula1>'Machine Helper Sheet'!$G$2:$G$16</formula1>
    </dataValidation>
    <dataValidation type="list" allowBlank="1" showErrorMessage="1" sqref="Y5 AS5 Y12 AS12 Y16 AS16 Y20 AS20 Y24 AS24 Y28 AS28 Y32 AS32 Y61 AS61 Y68 AS68 Y72 AS72 Y76 AS76 Y80 AS80 Y84 AS84 Y88 AS88 Y92 AS92 Y96 AS96 Y104 AS104 Y108 AS108 Y112 AS112 Y116 AS116 Y120 AS120 Y124 AS124 Y128 AS128">
      <formula1>'Item Helper Sheet'!$A$2:$A$16</formula1>
    </dataValidation>
    <dataValidation type="list" allowBlank="1" showErrorMessage="1" sqref="H5 H12 H16 H20 H24 H28 H32 H61 H68 H72 H76 H80 H84 H88 H92 H96 H104 H108 H112 H116 H120 H124 H128">
      <formula1>'Machine List'!$A$2:$A$107</formula1>
    </dataValidation>
    <dataValidation type="list" allowBlank="1" sqref="C6 CE6 E6:E10 C13:C14 E13:E14 C17:C18 E17:E18 C21:C22 E21:E22 C25:C26 E25:E26 E29 C29:C30 E33 C33:C34 E37:E39 C37:C41 C62 CE62 E62:E66 C69:C70 E69:E70 C73:C74 E73:E74 C77:C78 E77:E78 C81:C82 E81:E82 E85 C85:C86 E89 C89:C90 E93 C93:C94 C97 E97:E102 E105 C105:C106 C109:C110 E109:E110 E113 C113:C114 C117:C118 E117:E118 C121 E121 C125:C126 E125:E126 E129 C129:C130 E133:E137 C133:C141">
      <formula1>'Item List'!$A$2:$A$300</formula1>
    </dataValidation>
    <dataValidation type="list" allowBlank="1" showErrorMessage="1" sqref="R5 R12 R16 R20 R24 R28 R32 R61 R68 R72 R76 R80 R84 R88 R92 R96 R104 R108 R112 R116 R120 R124 R128">
      <formula1>"Yes,No"</formula1>
    </dataValidation>
  </dataValidations>
  <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22.5"/>
    <col customWidth="1" min="4" max="4" width="7.0"/>
    <col customWidth="1" min="5" max="5" width="22.5"/>
    <col customWidth="1" min="6" max="6" width="8.25"/>
    <col customWidth="1" min="7" max="7" width="6.75"/>
    <col customWidth="1" min="8" max="8" width="17.5"/>
    <col customWidth="1" min="9" max="11" width="9.5"/>
    <col customWidth="1" min="12" max="13" width="10.75"/>
    <col customWidth="1" min="14" max="14" width="10.25"/>
    <col customWidth="1" min="15" max="15" width="10.38"/>
    <col customWidth="1" min="16" max="16" width="10.88"/>
    <col customWidth="1" min="17" max="18" width="9.5"/>
    <col customWidth="1" min="19" max="24" width="8.25"/>
    <col customWidth="1" min="25" max="25" width="13.13"/>
    <col customWidth="1" min="26" max="30" width="8.25"/>
    <col customWidth="1" min="31" max="31" width="3.0"/>
    <col customWidth="1" min="32" max="43" width="8.25"/>
    <col customWidth="1" min="44" max="44" width="4.13"/>
    <col customWidth="1" min="45" max="45" width="11.88"/>
    <col customWidth="1" min="46" max="59" width="10.13"/>
    <col customWidth="1" min="60" max="60" width="8.25"/>
    <col customWidth="1" min="62" max="62" width="7.88"/>
    <col customWidth="1" min="63" max="63" width="21.5"/>
    <col customWidth="1" min="64" max="64" width="10.88"/>
    <col customWidth="1" min="65" max="65" width="11.63"/>
    <col customWidth="1" min="66" max="66" width="20.38"/>
    <col customWidth="1" min="67" max="68" width="13.13"/>
    <col customWidth="1" min="69" max="69" width="20.38"/>
    <col customWidth="1" min="70" max="70" width="14.0"/>
    <col customWidth="1" min="71" max="71" width="13.13"/>
    <col customWidth="1" min="72" max="72" width="11.25"/>
    <col customWidth="1" min="73" max="73" width="9.25"/>
    <col customWidth="1" min="74" max="74" width="13.13"/>
    <col customWidth="1" min="75" max="75" width="15.63"/>
    <col customWidth="1" min="76" max="76" width="13.63"/>
    <col customWidth="1" min="77" max="77" width="17.63"/>
    <col customWidth="1" min="78" max="78" width="17.25"/>
    <col customWidth="1" min="79" max="79" width="16.5"/>
    <col customWidth="1" min="80" max="80" width="18.88"/>
    <col customWidth="1" min="81" max="81" width="20.25"/>
    <col customWidth="1" min="82" max="82" width="21.25"/>
    <col customWidth="1" min="83" max="83" width="20.25"/>
    <col customWidth="1" min="84" max="84" width="18.25"/>
    <col customWidth="1" min="85" max="85" width="14.38"/>
    <col customWidth="1" min="86" max="86" width="17.25"/>
    <col customWidth="1" min="87" max="87" width="15.88"/>
    <col customWidth="1" min="88" max="88" width="11.63"/>
    <col customWidth="1" min="89" max="89" width="13.63"/>
  </cols>
  <sheetData>
    <row r="1">
      <c r="A1" s="9" t="s">
        <v>537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2" t="s">
        <v>490</v>
      </c>
      <c r="BJ1" s="8"/>
      <c r="BK1" s="9" t="s">
        <v>537</v>
      </c>
      <c r="BL1" s="10"/>
      <c r="BM1" s="10"/>
      <c r="BN1" s="10"/>
      <c r="BO1" s="10"/>
      <c r="BP1" s="10"/>
      <c r="BQ1" s="10"/>
      <c r="BR1" s="10"/>
      <c r="BS1" s="10"/>
      <c r="BT1" s="10"/>
      <c r="BU1" s="10"/>
      <c r="BV1" s="10"/>
      <c r="BW1" s="10"/>
      <c r="BX1" s="10"/>
      <c r="BY1" s="10"/>
      <c r="BZ1" s="10"/>
      <c r="CA1" s="10"/>
      <c r="CB1" s="10"/>
      <c r="CC1" s="10"/>
      <c r="CD1" s="10"/>
      <c r="CE1" s="10"/>
      <c r="CF1" s="13"/>
      <c r="CG1" s="126"/>
      <c r="CH1" s="126"/>
      <c r="CI1" s="126"/>
      <c r="CJ1" s="126"/>
      <c r="CK1" s="126"/>
      <c r="CL1" s="126"/>
    </row>
    <row r="2">
      <c r="A2" s="15" t="s">
        <v>539</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2" t="s">
        <v>492</v>
      </c>
      <c r="BJ2" s="14"/>
      <c r="BK2" s="15" t="s">
        <v>539</v>
      </c>
      <c r="BL2" s="16"/>
      <c r="BM2" s="16"/>
      <c r="BN2" s="16"/>
      <c r="BO2" s="16"/>
      <c r="BP2" s="16"/>
      <c r="BQ2" s="16"/>
      <c r="BR2" s="16"/>
      <c r="BS2" s="16"/>
      <c r="BT2" s="16"/>
      <c r="BU2" s="16"/>
      <c r="BV2" s="16"/>
      <c r="BW2" s="16"/>
      <c r="BX2" s="16"/>
      <c r="BY2" s="16"/>
      <c r="BZ2" s="16"/>
      <c r="CA2" s="16"/>
      <c r="CB2" s="16"/>
      <c r="CC2" s="16"/>
      <c r="CD2" s="16"/>
      <c r="CE2" s="16"/>
      <c r="CF2" s="18"/>
      <c r="CG2" s="127"/>
      <c r="CH2" s="127"/>
      <c r="CI2" s="127"/>
      <c r="CJ2" s="127"/>
      <c r="CK2" s="127"/>
      <c r="CL2" s="127"/>
    </row>
    <row r="3">
      <c r="BI3" s="28"/>
    </row>
    <row r="4" ht="27.0" customHeight="1">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2" t="s">
        <v>495</v>
      </c>
      <c r="Z4" s="90" t="s">
        <v>421</v>
      </c>
      <c r="AA4" s="92" t="s">
        <v>553</v>
      </c>
      <c r="AB4" s="90" t="s">
        <v>554</v>
      </c>
      <c r="AC4" s="92" t="s">
        <v>555</v>
      </c>
      <c r="AD4" s="93" t="s">
        <v>467</v>
      </c>
      <c r="AE4" s="90"/>
      <c r="AF4" s="90" t="s">
        <v>556</v>
      </c>
      <c r="AG4" s="94" t="s">
        <v>475</v>
      </c>
      <c r="AH4" s="90" t="s">
        <v>557</v>
      </c>
      <c r="AI4" s="90" t="s">
        <v>558</v>
      </c>
      <c r="AJ4" s="90" t="s">
        <v>559</v>
      </c>
      <c r="AK4" s="92" t="s">
        <v>560</v>
      </c>
      <c r="AL4" s="90" t="s">
        <v>561</v>
      </c>
      <c r="AM4" s="90" t="s">
        <v>562</v>
      </c>
      <c r="AN4" s="92" t="s">
        <v>563</v>
      </c>
      <c r="AO4" s="90" t="s">
        <v>564</v>
      </c>
      <c r="AP4" s="90" t="s">
        <v>565</v>
      </c>
      <c r="AQ4" s="95" t="s">
        <v>566</v>
      </c>
      <c r="AR4" s="90"/>
      <c r="AS4" s="90" t="s">
        <v>468</v>
      </c>
      <c r="AT4" s="92" t="s">
        <v>496</v>
      </c>
      <c r="AU4" s="94" t="s">
        <v>567</v>
      </c>
      <c r="AV4" s="90" t="s">
        <v>568</v>
      </c>
      <c r="AW4" s="90" t="s">
        <v>569</v>
      </c>
      <c r="AX4" s="90" t="s">
        <v>570</v>
      </c>
      <c r="AY4" s="92" t="s">
        <v>571</v>
      </c>
      <c r="AZ4" s="90" t="s">
        <v>572</v>
      </c>
      <c r="BA4" s="90" t="s">
        <v>573</v>
      </c>
      <c r="BB4" s="90" t="s">
        <v>574</v>
      </c>
      <c r="BC4" s="90" t="s">
        <v>575</v>
      </c>
      <c r="BD4" s="92" t="s">
        <v>576</v>
      </c>
      <c r="BE4" s="92" t="s">
        <v>577</v>
      </c>
      <c r="BF4" s="92" t="s">
        <v>578</v>
      </c>
      <c r="BG4" s="96" t="s">
        <v>471</v>
      </c>
      <c r="BI4" s="28"/>
    </row>
    <row r="5">
      <c r="B5" s="31" t="s">
        <v>632</v>
      </c>
      <c r="C5" s="54"/>
      <c r="D5" s="45"/>
      <c r="E5" s="45"/>
      <c r="F5" s="47"/>
      <c r="G5" s="35"/>
      <c r="H5" s="55" t="s">
        <v>375</v>
      </c>
      <c r="I5" s="38">
        <f>VLOOKUP(H5,'Machine List'!$A$1:$I$300,9,FALSE)</f>
        <v>5000</v>
      </c>
      <c r="J5" s="38">
        <f>IF(VLOOKUP(H5,'Machine List'!$A$1:$I$300,5,FALSE)="Multi",IF(VLOOKUP(H5,'Machine List'!$A$1:$I$300,6,FALSE)="Yes",AG5*3*10^Z5,AG5*(2*3)*10^(Z5-1)),0)</f>
        <v>600</v>
      </c>
      <c r="K5" s="38">
        <f>J5+IF(ISNUMBER(I5),I5,
  SWITCH(
      I5,
      "1T",1*10^Z5,
      "2T",2*10^Z5,
      "3T",3*10^Z5,
      "4T",4*10^Z5,
      "4000+500(7O-5)",4000+500*(7*I7-5),
      1
  )
)</f>
        <v>5600</v>
      </c>
      <c r="L5" s="38">
        <f>IF(VLOOKUP(H5,'Machine List'!$A$1:$I$300,5,FALSE)="Multi",IF(VLOOKUP(H5,'Machine List'!$A$1:$I$300,6,FALSE)="Yes",AU5*3*10^AT5,AU5*(2*3)*10^(AT5-1)),0)</f>
        <v>60000</v>
      </c>
      <c r="M5" s="38">
        <f>L5+IF(ISNUMBER(I5),I5,
  SWITCH(
      I5,
      "1T",1*10^AT5,
      "2T",2*10^AT5,
      "3T",3*10^AT5,
      "4T",4*10^AT5,
      "4000+500(7O-5)",4000+500*(7*I7-5),
      1
  )
)</f>
        <v>65000</v>
      </c>
      <c r="N5" s="38">
        <f>VLOOKUP(H5,'Machine List'!$A$1:$I$300,8,FALSE)</f>
        <v>1405511</v>
      </c>
      <c r="O5" s="38">
        <f>IF(ISNUMBER(N5),N5,10^Z5)</f>
        <v>1405511</v>
      </c>
      <c r="P5" s="38">
        <f>IF(ISNUMBER(N5),N5,10^AT5)</f>
        <v>1405511</v>
      </c>
      <c r="Q5" s="38">
        <f>VLOOKUP(H5,'Machine List'!$A$1:$B$138,2,FALSE)</f>
        <v>1</v>
      </c>
      <c r="R5" s="38" t="s">
        <v>594</v>
      </c>
      <c r="S5" s="45">
        <f>IF(ISNUMBER(Q5),Q5,
  SWITCH(
      Q5,
      "1",1,
      "2T",Z5*2,
      "4T",Z5*4,
      "6T",Z5*6,
      "8T",Z5*8,
      "10T",Z5*10,
      "12T",Z5*12,
      "14T",Z5*14,
      "16T",Z5*16,
      "2(T+1)",2*(Z5+1),
      "1T*C",Z5*J7,
      1
  )
)</f>
        <v>1</v>
      </c>
      <c r="T5" s="38" t="s">
        <v>277</v>
      </c>
      <c r="U5" s="38">
        <f>IF(OR(T5="No",T5=""),S5,T5)</f>
        <v>1</v>
      </c>
      <c r="V5" s="38">
        <f>IF(ISNUMBER(Q5),Q5,
  SWITCH(
      Q5,
      "1",1,
      "2T",AT5*2,
      "4T",AT5*4,
      "6T",AT5*6,
      "8T",AT5*8,
      "10T",AT5*10,
      "12T",AT5*12,
      "14T",AT5*14,
      "16T",AT5*16,
      "2(T+1)",2*(AT5+1),
      "1T*C",AT5*J7,
      1
  )
)</f>
        <v>1</v>
      </c>
      <c r="W5" s="38" t="str">
        <f>T5</f>
        <v>No</v>
      </c>
      <c r="X5" s="38">
        <f>IF(OR(W5="No",W5=""),V5,W5)</f>
        <v>1</v>
      </c>
      <c r="Y5" s="38" t="s">
        <v>397</v>
      </c>
      <c r="Z5" s="38">
        <f>VLOOKUP(Y5,'Item Helper Sheet'!$A$2:$B$16,2,FALSE)</f>
        <v>3</v>
      </c>
      <c r="AA5" s="38">
        <v>256.0</v>
      </c>
      <c r="AB5" s="38">
        <f>3.2*20</f>
        <v>64</v>
      </c>
      <c r="AC5" s="38">
        <f>AB5*I7</f>
        <v>4544</v>
      </c>
      <c r="AD5" s="38">
        <f>AA5*AC5</f>
        <v>1163264</v>
      </c>
      <c r="AE5" s="75"/>
      <c r="AF5" s="38" t="str">
        <f>Y5</f>
        <v>03 - HV</v>
      </c>
      <c r="AG5" s="38">
        <v>1.0</v>
      </c>
      <c r="AH5" s="38">
        <v>1.0</v>
      </c>
      <c r="AI5" s="38">
        <f>AH5*8*4^Z5</f>
        <v>512</v>
      </c>
      <c r="AJ5" s="38">
        <f>MIN(ROUNDDOWN(AI5/AL5,0),U5)</f>
        <v>1</v>
      </c>
      <c r="AK5" s="38">
        <f>AJ5*AG5</f>
        <v>1</v>
      </c>
      <c r="AL5" s="38">
        <f>ROUNDUP(AA5*VLOOKUP(H5,'Machine List'!$A$2:$D$219,4,FALSE),0)</f>
        <v>256</v>
      </c>
      <c r="AM5" s="38">
        <f>AL5*AK5</f>
        <v>256</v>
      </c>
      <c r="AN5" s="38">
        <f>ROUNDUP(AB5*I7,0)</f>
        <v>4544</v>
      </c>
      <c r="AO5" s="38">
        <f>ROUNDUP(AN5/VLOOKUP(H5,'Machine List'!$A$2:$D$219,3,FALSE),0)</f>
        <v>4544</v>
      </c>
      <c r="AP5" s="38">
        <f>ROUNDUP(AO5/AK5,0)</f>
        <v>4544</v>
      </c>
      <c r="AQ5" s="38">
        <f>AM5*AP5</f>
        <v>1163264</v>
      </c>
      <c r="AR5" s="75"/>
      <c r="AS5" s="38" t="s">
        <v>405</v>
      </c>
      <c r="AT5" s="38">
        <f>VLOOKUP(AS5,'Item Helper Sheet'!$A$2:$B$16,2,FALSE)</f>
        <v>5</v>
      </c>
      <c r="AU5" s="38">
        <f>AG5</f>
        <v>1</v>
      </c>
      <c r="AV5" s="38">
        <v>1.0</v>
      </c>
      <c r="AW5" s="38">
        <f>AV5*8*4^AT5</f>
        <v>8192</v>
      </c>
      <c r="AX5" s="38">
        <f>MIN(ROUNDDOWN(AW5/AL5,0),X5)</f>
        <v>1</v>
      </c>
      <c r="AY5" s="38">
        <f>AX5*AU5</f>
        <v>1</v>
      </c>
      <c r="AZ5" s="38">
        <f>AL5</f>
        <v>256</v>
      </c>
      <c r="BA5" s="38">
        <f>MIN(AT5-Z5,IF(AW5&gt;=AZ6*4,
IF(AW5&gt;=AZ6*4^2,
IF(AW5&gt;=AZ6*4^3,
IF(AW5&gt;=AZ6*4^4,
IF(AW5&gt;=AZ6*4^5,
IF(AW5&gt;=AZ6*4^6,
IF(AW5&gt;=AZ6*4^7,
IF(AW5&gt;=AZ6*4^8,
IF(AW5&gt;=AZ6*4^9,
IF(AW5&gt;=AZ6*4^10,
9),
8),
7),
6),
5),
4),
3),
2),
1),
0))</f>
        <v>2</v>
      </c>
      <c r="BB5" s="38">
        <f>AZ5*AX5*4^BA5</f>
        <v>4096</v>
      </c>
      <c r="BC5" s="38">
        <f>BB5*AU5</f>
        <v>4096</v>
      </c>
      <c r="BD5" s="45">
        <f>ROUNDUP(IF(R5="Yes",AN5/(2^((BA5)*2)),AN5/(2^(BA5))),0)</f>
        <v>284</v>
      </c>
      <c r="BE5" s="45">
        <f>ROUNDUP(BD5/VLOOKUP(H5,'Machine List'!$A$2:$D$219,3,FALSE),0)</f>
        <v>284</v>
      </c>
      <c r="BF5" s="45">
        <f>ROUNDUP(BE5/AY5,0)</f>
        <v>284</v>
      </c>
      <c r="BG5" s="46">
        <f>BF5*BC5</f>
        <v>1163264</v>
      </c>
      <c r="BI5" s="28"/>
      <c r="BQ5" s="6" t="s">
        <v>458</v>
      </c>
      <c r="BR5" s="6" t="s">
        <v>497</v>
      </c>
      <c r="BS5" s="7" t="s">
        <v>281</v>
      </c>
      <c r="BT5" s="7" t="s">
        <v>8</v>
      </c>
      <c r="BU5" s="1" t="s">
        <v>9</v>
      </c>
      <c r="BY5" s="97" t="s">
        <v>513</v>
      </c>
      <c r="BZ5" s="97" t="s">
        <v>514</v>
      </c>
      <c r="CA5" s="97" t="s">
        <v>580</v>
      </c>
      <c r="CB5" s="97" t="s">
        <v>581</v>
      </c>
      <c r="CC5" s="97" t="s">
        <v>582</v>
      </c>
      <c r="CE5" s="98" t="s">
        <v>503</v>
      </c>
      <c r="CF5" s="98" t="s">
        <v>583</v>
      </c>
      <c r="CG5" s="98" t="s">
        <v>498</v>
      </c>
      <c r="CH5" s="98" t="s">
        <v>504</v>
      </c>
      <c r="CI5" s="98" t="s">
        <v>509</v>
      </c>
    </row>
    <row r="6">
      <c r="B6" s="40"/>
      <c r="C6" s="41"/>
      <c r="D6" s="38"/>
      <c r="E6" s="38" t="s">
        <v>69</v>
      </c>
      <c r="F6" s="42">
        <f>10*I7</f>
        <v>710</v>
      </c>
      <c r="G6" s="43"/>
      <c r="H6" s="99" t="s">
        <v>584</v>
      </c>
      <c r="I6" s="45">
        <f t="array" ref="I6">match(TRUE,ISBLANK(F6:F18),0)-1</f>
        <v>1</v>
      </c>
      <c r="J6" s="100" t="s">
        <v>420</v>
      </c>
      <c r="K6" s="100" t="s">
        <v>585</v>
      </c>
      <c r="L6" s="38"/>
      <c r="M6" s="38"/>
      <c r="N6" s="38"/>
      <c r="O6" s="38"/>
      <c r="P6" s="38"/>
      <c r="Q6" s="38"/>
      <c r="R6" s="101"/>
      <c r="S6" s="101"/>
      <c r="T6" s="101"/>
      <c r="U6" s="45"/>
      <c r="V6" s="45"/>
      <c r="W6" s="45"/>
      <c r="X6" s="45"/>
      <c r="Y6" s="45"/>
      <c r="Z6" s="45"/>
      <c r="AA6" s="45"/>
      <c r="AB6" s="45"/>
      <c r="AC6" s="45"/>
      <c r="AD6" s="45"/>
      <c r="AE6" s="79"/>
      <c r="AF6" s="45"/>
      <c r="AG6" s="45"/>
      <c r="AH6" s="45"/>
      <c r="AI6" s="45"/>
      <c r="AJ6" s="45"/>
      <c r="AK6" s="45"/>
      <c r="AL6" s="45"/>
      <c r="AM6" s="45"/>
      <c r="AN6" s="45"/>
      <c r="AO6" s="45"/>
      <c r="AP6" s="45"/>
      <c r="AQ6" s="45"/>
      <c r="AR6" s="79"/>
      <c r="AS6" s="45"/>
      <c r="AT6" s="45"/>
      <c r="AU6" s="45"/>
      <c r="AV6" s="45"/>
      <c r="AW6" s="45"/>
      <c r="AX6" s="45"/>
      <c r="AY6" s="45"/>
      <c r="AZ6" s="45">
        <f>AZ5*AX5</f>
        <v>256</v>
      </c>
      <c r="BA6" s="45"/>
      <c r="BB6" s="45"/>
      <c r="BC6" s="45"/>
      <c r="BD6" s="45"/>
      <c r="BE6" s="45"/>
      <c r="BF6" s="45"/>
      <c r="BG6" s="46"/>
      <c r="BI6" s="28"/>
      <c r="BQ6" s="6" t="s">
        <v>36</v>
      </c>
      <c r="BR6" s="6">
        <v>30000.0</v>
      </c>
      <c r="BS6" s="6">
        <f>VLOOKUP(BQ6,'Item List'!$A$2:$D$300,2,FALSE)</f>
        <v>2</v>
      </c>
      <c r="BT6" s="6">
        <f>VLOOKUP(BQ6,'Item List'!$A$2:$D$300,3,FALSE)</f>
        <v>3</v>
      </c>
      <c r="BU6" s="6">
        <f>VLOOKUP(BQ6,'Item List'!$A$2:$D$300,4,FALSE)</f>
        <v>3</v>
      </c>
      <c r="BY6" s="6">
        <f t="shared" ref="BY6:BY7" si="1">VLOOKUP(BW6,$BK$5:$BL$15,2)</f>
        <v>5000</v>
      </c>
      <c r="BZ6" s="6">
        <f t="shared" ref="BZ6:BZ7" si="2">BY6/$CF$21</f>
        <v>0.1666666667</v>
      </c>
      <c r="CA6" s="102">
        <f t="shared" ref="CA6:CA7" si="3">1/($CG$8/BZ6)</f>
        <v>1.041666667</v>
      </c>
      <c r="CB6" s="102">
        <f t="shared" ref="CB6:CB7" si="4">1/($CH$8/BZ6)</f>
        <v>16.66666667</v>
      </c>
      <c r="CC6" s="102">
        <f t="shared" ref="CC6:CC7" si="5">1/($CI$8/BZ6)</f>
        <v>166.6666667</v>
      </c>
      <c r="CE6" s="38" t="s">
        <v>36</v>
      </c>
      <c r="CF6" s="5">
        <f>VLOOKUP(CE6,BQ5:BR16,2,FALSE)</f>
        <v>30000</v>
      </c>
      <c r="CG6" s="5">
        <f>CF21/BO25*20</f>
        <v>125</v>
      </c>
      <c r="CH6" s="103">
        <f>CF21/BP25*20</f>
        <v>2000</v>
      </c>
      <c r="CI6" s="4">
        <v>1000.0</v>
      </c>
    </row>
    <row r="7">
      <c r="B7" s="40"/>
      <c r="C7" s="41"/>
      <c r="D7" s="38"/>
      <c r="E7" s="38"/>
      <c r="F7" s="42"/>
      <c r="G7" s="43"/>
      <c r="H7" s="56" t="s">
        <v>502</v>
      </c>
      <c r="I7" s="57">
        <v>71.0</v>
      </c>
      <c r="J7" s="100" t="s">
        <v>424</v>
      </c>
      <c r="K7" s="100">
        <v>0.0</v>
      </c>
      <c r="L7" s="45"/>
      <c r="M7" s="45"/>
      <c r="N7" s="45"/>
      <c r="O7" s="45"/>
      <c r="P7" s="45"/>
      <c r="Q7" s="45"/>
      <c r="R7" s="45"/>
      <c r="S7" s="101"/>
      <c r="T7" s="101"/>
      <c r="U7" s="45"/>
      <c r="V7" s="45"/>
      <c r="W7" s="45"/>
      <c r="X7" s="45"/>
      <c r="Y7" s="45"/>
      <c r="Z7" s="45"/>
      <c r="AA7" s="45"/>
      <c r="AB7" s="45"/>
      <c r="AC7" s="45"/>
      <c r="AD7" s="45"/>
      <c r="AE7" s="79"/>
      <c r="AF7" s="45"/>
      <c r="AG7" s="45"/>
      <c r="AH7" s="45"/>
      <c r="AI7" s="45"/>
      <c r="AJ7" s="45"/>
      <c r="AK7" s="45"/>
      <c r="AL7" s="45"/>
      <c r="AM7" s="45"/>
      <c r="AN7" s="45"/>
      <c r="AO7" s="45"/>
      <c r="AP7" s="45"/>
      <c r="AQ7" s="45"/>
      <c r="AR7" s="79"/>
      <c r="AS7" s="45"/>
      <c r="AT7" s="45"/>
      <c r="AU7" s="45"/>
      <c r="AV7" s="45"/>
      <c r="AW7" s="45"/>
      <c r="AX7" s="45"/>
      <c r="AY7" s="45"/>
      <c r="AZ7" s="45"/>
      <c r="BA7" s="45"/>
      <c r="BB7" s="45"/>
      <c r="BC7" s="45"/>
      <c r="BD7" s="45"/>
      <c r="BE7" s="45"/>
      <c r="BF7" s="45"/>
      <c r="BG7" s="46"/>
      <c r="BI7" s="28"/>
      <c r="BQ7" s="6" t="s">
        <v>45</v>
      </c>
      <c r="BR7" s="6">
        <v>0.0</v>
      </c>
      <c r="BS7" s="6">
        <f>VLOOKUP(BQ7,'Item List'!$A$2:$D$300,2,FALSE)</f>
        <v>1</v>
      </c>
      <c r="BT7" s="6">
        <f>VLOOKUP(BQ7,'Item List'!$A$2:$D$300,3,FALSE)</f>
        <v>3</v>
      </c>
      <c r="BU7" s="6">
        <f>VLOOKUP(BQ7,'Item List'!$A$2:$D$300,4,FALSE)</f>
        <v>2</v>
      </c>
      <c r="BW7" s="104" t="s">
        <v>69</v>
      </c>
      <c r="BY7" s="6">
        <f t="shared" si="1"/>
        <v>704</v>
      </c>
      <c r="BZ7" s="6">
        <f t="shared" si="2"/>
        <v>0.02346666667</v>
      </c>
      <c r="CA7" s="102">
        <f t="shared" si="3"/>
        <v>0.1466666667</v>
      </c>
      <c r="CB7" s="102">
        <f t="shared" si="4"/>
        <v>2.346666667</v>
      </c>
      <c r="CC7" s="102">
        <f t="shared" si="5"/>
        <v>23.46666667</v>
      </c>
      <c r="CE7" s="5"/>
      <c r="CF7" s="5"/>
      <c r="CG7" s="98" t="s">
        <v>505</v>
      </c>
      <c r="CH7" s="98" t="s">
        <v>506</v>
      </c>
      <c r="CI7" s="98" t="s">
        <v>586</v>
      </c>
    </row>
    <row r="8">
      <c r="B8" s="50"/>
      <c r="C8" s="51"/>
      <c r="D8" s="52"/>
      <c r="E8" s="52"/>
      <c r="F8" s="52"/>
      <c r="G8" s="43"/>
      <c r="H8" s="52"/>
      <c r="I8" s="52"/>
      <c r="J8" s="52"/>
      <c r="K8" s="52"/>
      <c r="L8" s="52"/>
      <c r="M8" s="52"/>
      <c r="N8" s="52"/>
      <c r="O8" s="52"/>
      <c r="P8" s="52"/>
      <c r="Q8" s="52"/>
      <c r="R8" s="52"/>
      <c r="S8" s="52"/>
      <c r="T8" s="52"/>
      <c r="U8" s="52"/>
      <c r="V8" s="52"/>
      <c r="W8" s="52"/>
      <c r="X8" s="52"/>
      <c r="Y8" s="52"/>
      <c r="Z8" s="52"/>
      <c r="AA8" s="52"/>
      <c r="AB8" s="52"/>
      <c r="AC8" s="52"/>
      <c r="AD8" s="52"/>
      <c r="AE8" s="43"/>
      <c r="AF8" s="52"/>
      <c r="AG8" s="52"/>
      <c r="AH8" s="52"/>
      <c r="AI8" s="52"/>
      <c r="AJ8" s="52"/>
      <c r="AK8" s="52"/>
      <c r="AL8" s="52"/>
      <c r="AM8" s="52"/>
      <c r="AN8" s="52"/>
      <c r="AO8" s="52"/>
      <c r="AP8" s="52"/>
      <c r="AQ8" s="52"/>
      <c r="AR8" s="43"/>
      <c r="AS8" s="52"/>
      <c r="AT8" s="52"/>
      <c r="AU8" s="52"/>
      <c r="AV8" s="52"/>
      <c r="AW8" s="52"/>
      <c r="AX8" s="52"/>
      <c r="AY8" s="52"/>
      <c r="AZ8" s="52"/>
      <c r="BA8" s="52"/>
      <c r="BB8" s="52"/>
      <c r="BC8" s="52"/>
      <c r="BD8" s="52"/>
      <c r="BE8" s="52"/>
      <c r="BF8" s="52"/>
      <c r="BG8" s="53"/>
      <c r="BI8" s="28"/>
      <c r="BQ8" s="6" t="s">
        <v>56</v>
      </c>
      <c r="BR8" s="6">
        <v>-5000.0</v>
      </c>
      <c r="BS8" s="6">
        <f>VLOOKUP(BQ8,'Item List'!$A$2:$D$300,2,FALSE)</f>
        <v>1</v>
      </c>
      <c r="BT8" s="6">
        <f>VLOOKUP(BQ8,'Item List'!$A$2:$D$300,3,FALSE)</f>
        <v>4</v>
      </c>
      <c r="BU8" s="6">
        <f>VLOOKUP(BQ8,'Item List'!$A$2:$D$300,4,FALSE)</f>
        <v>1</v>
      </c>
      <c r="CE8" s="5"/>
      <c r="CF8" s="5"/>
      <c r="CG8" s="5">
        <f>BO25/CF6</f>
        <v>0.16</v>
      </c>
      <c r="CH8" s="5">
        <f>BP25/CF6</f>
        <v>0.01</v>
      </c>
      <c r="CI8" s="5">
        <f>1/CI6</f>
        <v>0.001</v>
      </c>
    </row>
    <row r="9">
      <c r="B9" s="31" t="s">
        <v>633</v>
      </c>
      <c r="C9" s="54"/>
      <c r="D9" s="45"/>
      <c r="E9" s="45"/>
      <c r="F9" s="47"/>
      <c r="G9" s="35"/>
      <c r="H9" s="55" t="s">
        <v>309</v>
      </c>
      <c r="I9" s="38" t="str">
        <f>VLOOKUP(H9,'Machine List'!$A$1:$I$300,9,FALSE)</f>
        <v>1T</v>
      </c>
      <c r="J9" s="38">
        <f>IF(VLOOKUP(H9,'Machine List'!$A$1:$I$300,5,FALSE)="Multi",IF(VLOOKUP(H9,'Machine List'!$A$1:$I$300,6,FALSE)="Yes",AG9*3*10^Z9,AG9*(2*3)*10^(Z9-1)),0)</f>
        <v>0</v>
      </c>
      <c r="K9" s="38">
        <f>J9+IF(ISNUMBER(I9),I9,
  SWITCH(
      I9,
      "1T",1*10^Z9,
      "2T",2*10^Z9,
      "3T",3*10^Z9,
      "4T",4*10^Z9,
      "4000+500(7O-5)",4000+500*(7*I11-5),
      1
  )
)</f>
        <v>10</v>
      </c>
      <c r="L9" s="38">
        <f>IF(VLOOKUP(H9,'Machine List'!$A$1:$I$300,5,FALSE)="Multi",IF(VLOOKUP(H9,'Machine List'!$A$1:$I$300,6,FALSE)="Yes",AU9*3*10^AT9,AU9*(2*3)*10^(AT9-1)),0)</f>
        <v>0</v>
      </c>
      <c r="M9" s="38">
        <f>L9+IF(ISNUMBER(I9),I9,
  SWITCH(
      I9,
      "1T",1*10^AT9,
      "2T",2*10^AT9,
      "3T",3*10^AT9,
      "4T",4*10^AT9,
      "4000+500(7O-5)",4000+500*(7*I11-5),
      1
  )
)</f>
        <v>100000</v>
      </c>
      <c r="N9" s="38" t="str">
        <f>VLOOKUP(H9,'Machine List'!$A$1:$I$300,8,FALSE)</f>
        <v>Tier</v>
      </c>
      <c r="O9" s="38">
        <f>IF(ISNUMBER(N9),N9,10^Z9)</f>
        <v>10</v>
      </c>
      <c r="P9" s="38">
        <f>IF(ISNUMBER(N9),N9,10^AT9)</f>
        <v>100000</v>
      </c>
      <c r="Q9" s="38">
        <f>VLOOKUP(H9,'Machine List'!$A$1:$B$138,2,FALSE)</f>
        <v>1</v>
      </c>
      <c r="R9" s="38" t="s">
        <v>277</v>
      </c>
      <c r="S9" s="45">
        <f>IF(ISNUMBER(Q9),Q9,
  SWITCH(
      Q9,
      "1",1,
      "2T",Z9*2,
      "4T",Z9*4,
      "6T",Z9*6,
      "8T",Z9*8,
      "10T",Z9*10,
      "12T",Z9*12,
      "14T",Z9*14,
      "16T",Z9*16,
      "2(T+1)",2*(Z9+1),
      "1T*C",Z9*J11,
      1
  )
)</f>
        <v>1</v>
      </c>
      <c r="T9" s="38" t="s">
        <v>277</v>
      </c>
      <c r="U9" s="38">
        <f>IF(OR(T9="No",T9=""),S9,T9)</f>
        <v>1</v>
      </c>
      <c r="V9" s="38">
        <f>IF(ISNUMBER(Q9),Q9,
  SWITCH(
      Q9,
      "1",1,
      "2T",AT9*2,
      "4T",AT9*4,
      "6T",AT9*6,
      "8T",AT9*8,
      "10T",AT9*10,
      "12T",AT9*12,
      "14T",AT9*14,
      "16T",AT9*16,
      "2(T+1)",2*(AT9+1),
      "1T*C",AT9*J11,
      1
  )
)</f>
        <v>1</v>
      </c>
      <c r="W9" s="38" t="str">
        <f>T9</f>
        <v>No</v>
      </c>
      <c r="X9" s="38">
        <f>IF(OR(W9="No",W9=""),V9,W9)</f>
        <v>1</v>
      </c>
      <c r="Y9" s="38" t="s">
        <v>390</v>
      </c>
      <c r="Z9" s="38">
        <f>VLOOKUP(Y9,'Item Helper Sheet'!$A$2:$B$16,2,FALSE)</f>
        <v>1</v>
      </c>
      <c r="AA9" s="38">
        <v>4.0</v>
      </c>
      <c r="AB9" s="38">
        <f>0.8*20</f>
        <v>16</v>
      </c>
      <c r="AC9" s="38">
        <f>AB9*I11</f>
        <v>9600</v>
      </c>
      <c r="AD9" s="38">
        <f>AA9*AC9</f>
        <v>38400</v>
      </c>
      <c r="AE9" s="75"/>
      <c r="AF9" s="38" t="str">
        <f>Y9</f>
        <v>01 - LV</v>
      </c>
      <c r="AG9" s="38">
        <v>2.0</v>
      </c>
      <c r="AH9" s="38">
        <v>1.0</v>
      </c>
      <c r="AI9" s="38">
        <f>AH9*8*4^Z9</f>
        <v>32</v>
      </c>
      <c r="AJ9" s="38">
        <f>MIN(ROUNDDOWN(AI9/AL9,0),U9)</f>
        <v>1</v>
      </c>
      <c r="AK9" s="38">
        <f>IF(OR(T9="No",T9=""),AG9*S9,AG9*T9)</f>
        <v>2</v>
      </c>
      <c r="AL9" s="38">
        <f>ROUNDUP(AA9*VLOOKUP(H9,'Machine List'!$A$2:$D$219,4,FALSE),0)</f>
        <v>4</v>
      </c>
      <c r="AM9" s="38">
        <f>AL9*AK9</f>
        <v>8</v>
      </c>
      <c r="AN9" s="38">
        <f>ROUNDUP(AB9*I11,0)</f>
        <v>9600</v>
      </c>
      <c r="AO9" s="38">
        <f>ROUNDUP(AN9/VLOOKUP(H9,'Machine List'!$A$2:$D$219,3,FALSE),0)</f>
        <v>9600</v>
      </c>
      <c r="AP9" s="38">
        <f>ROUNDUP(AO9/AK9,0)</f>
        <v>4800</v>
      </c>
      <c r="AQ9" s="38">
        <f>AM9*AP9</f>
        <v>38400</v>
      </c>
      <c r="AR9" s="75"/>
      <c r="AS9" s="38" t="s">
        <v>405</v>
      </c>
      <c r="AT9" s="38">
        <f>VLOOKUP(AS9,'Item Helper Sheet'!$A$2:$B$16,2,FALSE)</f>
        <v>5</v>
      </c>
      <c r="AU9" s="38">
        <f>AG9</f>
        <v>2</v>
      </c>
      <c r="AV9" s="38">
        <v>1.0</v>
      </c>
      <c r="AW9" s="38">
        <f>AV9*8*4^AT9</f>
        <v>8192</v>
      </c>
      <c r="AX9" s="38">
        <f>MIN(ROUNDDOWN(AW9/AL9,0),X9)</f>
        <v>1</v>
      </c>
      <c r="AY9" s="38">
        <f>AX9*AU9</f>
        <v>2</v>
      </c>
      <c r="AZ9" s="38">
        <f>AL9</f>
        <v>4</v>
      </c>
      <c r="BA9" s="38">
        <f>MIN(AT9-Z9,IF(AW9&gt;=AZ10*4,
IF(AW9&gt;=AZ10*4^2,
IF(AW9&gt;=AZ10*4^3,
IF(AW9&gt;=AZ10*4^4,
IF(AW9&gt;=AZ10*4^5,
IF(AW9&gt;=AZ10*4^6,
IF(AW9&gt;=AZ10*4^7,
IF(AW9&gt;=AZ10*4^8,
IF(AW9&gt;=AZ10*4^9,
IF(AW9&gt;=AZ10*4^10,
9),
8),
7),
6),
5),
4),
3),
2),
1),
0))</f>
        <v>4</v>
      </c>
      <c r="BB9" s="38">
        <f>AZ9*AX9*4^BA9</f>
        <v>1024</v>
      </c>
      <c r="BC9" s="38">
        <f>BB9*AU9</f>
        <v>2048</v>
      </c>
      <c r="BD9" s="45">
        <f>ROUNDUP(IF(R9="Yes",AN9/(2^((BA9)*2)),AN9/(2^(BA9))),0)</f>
        <v>600</v>
      </c>
      <c r="BE9" s="45">
        <f>ROUNDUP(BD9/VLOOKUP(H9,'Machine List'!$A$2:$D$219,3,FALSE),0)</f>
        <v>600</v>
      </c>
      <c r="BF9" s="45">
        <f>ROUNDUP(BE9/AY9,0)</f>
        <v>300</v>
      </c>
      <c r="BG9" s="46">
        <f>BF9*BC9</f>
        <v>614400</v>
      </c>
      <c r="BI9" s="28"/>
      <c r="BQ9" s="6" t="s">
        <v>69</v>
      </c>
      <c r="BR9" s="6">
        <v>6.0</v>
      </c>
      <c r="BS9" s="6">
        <f>VLOOKUP(BQ9,'Item List'!$A$2:$D$300,2,FALSE)</f>
        <v>0</v>
      </c>
      <c r="BT9" s="6">
        <f>VLOOKUP(BQ9,'Item List'!$A$2:$D$300,3,FALSE)</f>
        <v>3</v>
      </c>
      <c r="BU9" s="6">
        <f>VLOOKUP(BQ9,'Item List'!$A$2:$D$300,4,FALSE)</f>
        <v>1</v>
      </c>
      <c r="BY9" s="97" t="s">
        <v>589</v>
      </c>
      <c r="BZ9" s="97" t="s">
        <v>514</v>
      </c>
      <c r="CA9" s="97" t="s">
        <v>590</v>
      </c>
      <c r="CB9" s="97" t="s">
        <v>591</v>
      </c>
      <c r="CC9" s="97" t="s">
        <v>592</v>
      </c>
      <c r="CE9" s="5"/>
      <c r="CF9" s="5"/>
      <c r="CG9" s="98" t="s">
        <v>587</v>
      </c>
      <c r="CH9" s="98" t="s">
        <v>588</v>
      </c>
    </row>
    <row r="10">
      <c r="B10" s="40"/>
      <c r="C10" s="41" t="s">
        <v>69</v>
      </c>
      <c r="D10" s="38">
        <f>1*I11</f>
        <v>600</v>
      </c>
      <c r="E10" s="38" t="s">
        <v>70</v>
      </c>
      <c r="F10" s="42">
        <f>50*I11</f>
        <v>30000</v>
      </c>
      <c r="G10" s="43"/>
      <c r="H10" s="99" t="s">
        <v>584</v>
      </c>
      <c r="I10" s="45">
        <f t="array" ref="I10">match(TRUE,ISBLANK(F10:F22),0)-1</f>
        <v>1</v>
      </c>
      <c r="J10" s="100" t="s">
        <v>420</v>
      </c>
      <c r="K10" s="100" t="s">
        <v>585</v>
      </c>
      <c r="L10" s="38"/>
      <c r="M10" s="38"/>
      <c r="N10" s="38"/>
      <c r="O10" s="38"/>
      <c r="P10" s="38"/>
      <c r="Q10" s="38"/>
      <c r="R10" s="101"/>
      <c r="S10" s="101"/>
      <c r="T10" s="101"/>
      <c r="U10" s="45"/>
      <c r="V10" s="45"/>
      <c r="W10" s="45"/>
      <c r="X10" s="45"/>
      <c r="Y10" s="45"/>
      <c r="Z10" s="45"/>
      <c r="AA10" s="45"/>
      <c r="AB10" s="45"/>
      <c r="AC10" s="45"/>
      <c r="AD10" s="45"/>
      <c r="AE10" s="79"/>
      <c r="AF10" s="45"/>
      <c r="AG10" s="45"/>
      <c r="AH10" s="45"/>
      <c r="AI10" s="45"/>
      <c r="AJ10" s="45"/>
      <c r="AK10" s="45"/>
      <c r="AL10" s="45"/>
      <c r="AM10" s="45"/>
      <c r="AN10" s="45"/>
      <c r="AO10" s="45"/>
      <c r="AP10" s="45"/>
      <c r="AQ10" s="45"/>
      <c r="AR10" s="79"/>
      <c r="AS10" s="45"/>
      <c r="AT10" s="45"/>
      <c r="AU10" s="45"/>
      <c r="AV10" s="45"/>
      <c r="AW10" s="45"/>
      <c r="AX10" s="45"/>
      <c r="AY10" s="45"/>
      <c r="AZ10" s="45">
        <f>AZ9*AX9</f>
        <v>4</v>
      </c>
      <c r="BA10" s="45"/>
      <c r="BB10" s="45"/>
      <c r="BC10" s="45"/>
      <c r="BD10" s="45"/>
      <c r="BE10" s="45"/>
      <c r="BF10" s="45"/>
      <c r="BG10" s="46"/>
      <c r="BI10" s="28"/>
      <c r="BQ10" s="6" t="s">
        <v>70</v>
      </c>
      <c r="BR10" s="6">
        <v>0.0</v>
      </c>
      <c r="BS10" s="6">
        <f>VLOOKUP(BQ10,'Item List'!$A$2:$D$300,2,FALSE)</f>
        <v>1</v>
      </c>
      <c r="BT10" s="6">
        <f>VLOOKUP(BQ10,'Item List'!$A$2:$D$300,3,FALSE)</f>
        <v>3</v>
      </c>
      <c r="BU10" s="6">
        <f>VLOOKUP(BQ10,'Item List'!$A$2:$D$300,4,FALSE)</f>
        <v>1</v>
      </c>
      <c r="BY10" s="6">
        <f t="shared" ref="BY10:BY12" si="6">BX10</f>
        <v>30000</v>
      </c>
      <c r="BZ10" s="6">
        <f t="shared" ref="BZ10:BZ12" si="7">BY10/$CF$21</f>
        <v>1</v>
      </c>
      <c r="CA10" s="102">
        <f t="shared" ref="CA10:CA12" si="8">1/($CG$8/BZ10)</f>
        <v>6.25</v>
      </c>
      <c r="CB10" s="102">
        <f t="shared" ref="CB10:CB12" si="9">1/($CH$8/BZ10)</f>
        <v>100</v>
      </c>
      <c r="CC10" s="102">
        <f t="shared" ref="CC10:CC12" si="10">1/($CI$8/BZ10)</f>
        <v>1000</v>
      </c>
      <c r="CE10" s="5"/>
      <c r="CF10" s="5"/>
      <c r="CG10" s="103">
        <f>BL24/CF6</f>
        <v>50.05446667</v>
      </c>
      <c r="CH10" s="103">
        <f>BM24/CF6</f>
        <v>78.13546667</v>
      </c>
      <c r="CI10" s="5"/>
    </row>
    <row r="11">
      <c r="B11" s="40"/>
      <c r="C11" s="41"/>
      <c r="D11" s="38"/>
      <c r="E11" s="38"/>
      <c r="F11" s="42"/>
      <c r="G11" s="43"/>
      <c r="H11" s="56" t="s">
        <v>502</v>
      </c>
      <c r="I11" s="57">
        <v>600.0</v>
      </c>
      <c r="J11" s="100" t="s">
        <v>424</v>
      </c>
      <c r="K11" s="100">
        <v>0.0</v>
      </c>
      <c r="L11" s="45"/>
      <c r="M11" s="45"/>
      <c r="N11" s="45"/>
      <c r="O11" s="45"/>
      <c r="P11" s="45"/>
      <c r="Q11" s="45"/>
      <c r="R11" s="45"/>
      <c r="S11" s="101"/>
      <c r="T11" s="101"/>
      <c r="U11" s="45"/>
      <c r="V11" s="45"/>
      <c r="W11" s="45"/>
      <c r="X11" s="45"/>
      <c r="Y11" s="45"/>
      <c r="Z11" s="45"/>
      <c r="AA11" s="45"/>
      <c r="AB11" s="45"/>
      <c r="AC11" s="45"/>
      <c r="AD11" s="45"/>
      <c r="AE11" s="79"/>
      <c r="AF11" s="45"/>
      <c r="AG11" s="45"/>
      <c r="AH11" s="45"/>
      <c r="AI11" s="45"/>
      <c r="AJ11" s="45"/>
      <c r="AK11" s="45"/>
      <c r="AL11" s="45"/>
      <c r="AM11" s="45"/>
      <c r="AN11" s="45"/>
      <c r="AO11" s="45"/>
      <c r="AP11" s="45"/>
      <c r="AQ11" s="45"/>
      <c r="AR11" s="79"/>
      <c r="AS11" s="45"/>
      <c r="AT11" s="45"/>
      <c r="AU11" s="45"/>
      <c r="AV11" s="45"/>
      <c r="AW11" s="45"/>
      <c r="AX11" s="45"/>
      <c r="AY11" s="45"/>
      <c r="AZ11" s="45"/>
      <c r="BA11" s="45"/>
      <c r="BB11" s="45"/>
      <c r="BC11" s="45"/>
      <c r="BD11" s="45"/>
      <c r="BE11" s="45"/>
      <c r="BF11" s="45"/>
      <c r="BG11" s="46"/>
      <c r="BI11" s="28"/>
      <c r="BQ11" s="6" t="s">
        <v>80</v>
      </c>
      <c r="BR11" s="6">
        <v>5000.0</v>
      </c>
      <c r="BS11" s="6">
        <f>VLOOKUP(BQ11,'Item List'!$A$2:$D$300,2,FALSE)</f>
        <v>2</v>
      </c>
      <c r="BT11" s="6">
        <f>VLOOKUP(BQ11,'Item List'!$A$2:$D$300,3,FALSE)</f>
        <v>4</v>
      </c>
      <c r="BU11" s="6">
        <f>VLOOKUP(BQ11,'Item List'!$A$2:$D$300,4,FALSE)</f>
        <v>2</v>
      </c>
      <c r="BY11" s="6">
        <f t="shared" si="6"/>
        <v>5000</v>
      </c>
      <c r="BZ11" s="6">
        <f t="shared" si="7"/>
        <v>0.1666666667</v>
      </c>
      <c r="CA11" s="102">
        <f t="shared" si="8"/>
        <v>1.041666667</v>
      </c>
      <c r="CB11" s="102">
        <f t="shared" si="9"/>
        <v>16.66666667</v>
      </c>
      <c r="CC11" s="102">
        <f t="shared" si="10"/>
        <v>166.6666667</v>
      </c>
    </row>
    <row r="12">
      <c r="B12" s="50"/>
      <c r="C12" s="51"/>
      <c r="D12" s="52"/>
      <c r="E12" s="52"/>
      <c r="F12" s="52"/>
      <c r="G12" s="43"/>
      <c r="H12" s="52"/>
      <c r="I12" s="52"/>
      <c r="J12" s="52"/>
      <c r="K12" s="52"/>
      <c r="L12" s="52"/>
      <c r="M12" s="52"/>
      <c r="N12" s="52"/>
      <c r="O12" s="52"/>
      <c r="P12" s="52"/>
      <c r="Q12" s="52"/>
      <c r="R12" s="52"/>
      <c r="S12" s="52"/>
      <c r="T12" s="52"/>
      <c r="U12" s="52"/>
      <c r="V12" s="52"/>
      <c r="W12" s="52"/>
      <c r="X12" s="52"/>
      <c r="Y12" s="52"/>
      <c r="Z12" s="52"/>
      <c r="AA12" s="52"/>
      <c r="AB12" s="52"/>
      <c r="AC12" s="52"/>
      <c r="AD12" s="52"/>
      <c r="AE12" s="43"/>
      <c r="AF12" s="52"/>
      <c r="AG12" s="52"/>
      <c r="AH12" s="52"/>
      <c r="AI12" s="52"/>
      <c r="AJ12" s="52"/>
      <c r="AK12" s="52"/>
      <c r="AL12" s="52"/>
      <c r="AM12" s="52"/>
      <c r="AN12" s="52"/>
      <c r="AO12" s="52"/>
      <c r="AP12" s="52"/>
      <c r="AQ12" s="52"/>
      <c r="AR12" s="43"/>
      <c r="AS12" s="52"/>
      <c r="AT12" s="52"/>
      <c r="AU12" s="52"/>
      <c r="AV12" s="52"/>
      <c r="AW12" s="52"/>
      <c r="AX12" s="52"/>
      <c r="AY12" s="52"/>
      <c r="AZ12" s="52"/>
      <c r="BA12" s="52"/>
      <c r="BB12" s="52"/>
      <c r="BC12" s="52"/>
      <c r="BD12" s="52"/>
      <c r="BE12" s="52"/>
      <c r="BF12" s="52"/>
      <c r="BG12" s="53"/>
      <c r="BI12" s="28"/>
      <c r="BQ12" s="6" t="s">
        <v>87</v>
      </c>
      <c r="BR12" s="6">
        <v>10000.0</v>
      </c>
      <c r="BS12" s="6">
        <f>VLOOKUP(BQ12,'Item List'!$A$2:$D$300,2,FALSE)</f>
        <v>1</v>
      </c>
      <c r="BT12" s="6">
        <f>VLOOKUP(BQ12,'Item List'!$A$2:$D$300,3,FALSE)</f>
        <v>4</v>
      </c>
      <c r="BU12" s="6">
        <f>VLOOKUP(BQ12,'Item List'!$A$2:$D$300,4,FALSE)</f>
        <v>1</v>
      </c>
      <c r="BY12" s="6">
        <f t="shared" si="6"/>
        <v>10000</v>
      </c>
      <c r="BZ12" s="6">
        <f t="shared" si="7"/>
        <v>0.3333333333</v>
      </c>
      <c r="CA12" s="102">
        <f t="shared" si="8"/>
        <v>2.083333333</v>
      </c>
      <c r="CB12" s="102">
        <f t="shared" si="9"/>
        <v>33.33333333</v>
      </c>
      <c r="CC12" s="102">
        <f t="shared" si="10"/>
        <v>333.3333333</v>
      </c>
      <c r="CE12" s="108" t="s">
        <v>595</v>
      </c>
      <c r="CF12" s="108" t="s">
        <v>596</v>
      </c>
    </row>
    <row r="13">
      <c r="B13" s="31" t="s">
        <v>634</v>
      </c>
      <c r="C13" s="54"/>
      <c r="D13" s="45"/>
      <c r="E13" s="45"/>
      <c r="F13" s="47"/>
      <c r="G13" s="35"/>
      <c r="H13" s="55" t="s">
        <v>321</v>
      </c>
      <c r="I13" s="38">
        <f>VLOOKUP(H13,'Machine List'!$A$1:$I$300,9,FALSE)</f>
        <v>25000</v>
      </c>
      <c r="J13" s="38">
        <f>IF(VLOOKUP(H13,'Machine List'!$A$1:$I$300,5,FALSE)="Multi",IF(VLOOKUP(H13,'Machine List'!$A$1:$I$300,6,FALSE)="Yes",AG13*3*10^Z13,AG13*(2*3)*10^(Z13-1)),0)</f>
        <v>6</v>
      </c>
      <c r="K13" s="38">
        <f>J13+IF(ISNUMBER(I13),I13,
  SWITCH(
      I13,
      "1T",1*10^Z13,
      "2T",2*10^Z13,
      "3T",3*10^Z13,
      "4T",4*10^Z13,
      "4000+500(7O-5)",4000+500*(7*I15-5),
      1
  )
)</f>
        <v>25006</v>
      </c>
      <c r="L13" s="38">
        <f>IF(VLOOKUP(H13,'Machine List'!$A$1:$I$300,5,FALSE)="Multi",IF(VLOOKUP(H13,'Machine List'!$A$1:$I$300,6,FALSE)="Yes",AU13*3*10^AT13,AU13*(2*3)*10^(AT13-1)),0)</f>
        <v>60000</v>
      </c>
      <c r="M13" s="38">
        <f>L13+IF(ISNUMBER(I13),I13,
  SWITCH(
      I13,
      "1T",1*10^AT13,
      "2T",2*10^AT13,
      "3T",3*10^AT13,
      "4T",4*10^AT13,
      "4000+500(7O-5)",4000+500*(7*I15-5),
      1
  )
)</f>
        <v>85000</v>
      </c>
      <c r="N13" s="38">
        <f>VLOOKUP(H13,'Machine List'!$A$1:$I$300,8,FALSE)</f>
        <v>105511</v>
      </c>
      <c r="O13" s="38">
        <f>IF(ISNUMBER(N13),N13,10^Z13)</f>
        <v>105511</v>
      </c>
      <c r="P13" s="38">
        <f>IF(ISNUMBER(N13),N13,10^AT13)</f>
        <v>105511</v>
      </c>
      <c r="Q13" s="38" t="str">
        <f>VLOOKUP(H13,'Machine List'!$A$1:$B$138,2,FALSE)</f>
        <v>6T</v>
      </c>
      <c r="R13" s="38" t="s">
        <v>277</v>
      </c>
      <c r="S13" s="45">
        <f>IF(ISNUMBER(Q13),Q13,
  SWITCH(
      Q13,
      "1",1,
      "2T",Z13*2,
      "4T",Z13*4,
      "6T",Z13*6,
      "8T",Z13*8,
      "10T",Z13*10,
      "12T",Z13*12,
      "14T",Z13*14,
      "16T",Z13*16,
      "2(T+1)",2*(Z13+1),
      "1T*C",Z13*J15,
      1
  )
)</f>
        <v>6</v>
      </c>
      <c r="T13" s="38" t="s">
        <v>277</v>
      </c>
      <c r="U13" s="38">
        <f>IF(OR(T13="No",T13=""),S13,T13)</f>
        <v>6</v>
      </c>
      <c r="V13" s="38">
        <f>IF(ISNUMBER(Q13),Q13,
  SWITCH(
      Q13,
      "1",1,
      "2T",AT13*2,
      "4T",AT13*4,
      "6T",AT13*6,
      "8T",AT13*8,
      "10T",AT13*10,
      "12T",AT13*12,
      "14T",AT13*14,
      "16T",AT13*16,
      "2(T+1)",2*(AT13+1),
      "1T*C",AT13*J15,
      1
  )
)</f>
        <v>30</v>
      </c>
      <c r="W13" s="38" t="str">
        <f>T13</f>
        <v>No</v>
      </c>
      <c r="X13" s="38">
        <f>IF(OR(W13="No",W13=""),V13,W13)</f>
        <v>30</v>
      </c>
      <c r="Y13" s="38" t="s">
        <v>390</v>
      </c>
      <c r="Z13" s="38">
        <f>VLOOKUP(Y13,'Item Helper Sheet'!$A$2:$B$16,2,FALSE)</f>
        <v>1</v>
      </c>
      <c r="AA13" s="38">
        <v>5.0</v>
      </c>
      <c r="AB13" s="38">
        <f>19.2*20</f>
        <v>384</v>
      </c>
      <c r="AC13" s="38">
        <f>AB13*I15</f>
        <v>39936</v>
      </c>
      <c r="AD13" s="38">
        <f>AA13*AC13</f>
        <v>199680</v>
      </c>
      <c r="AE13" s="75"/>
      <c r="AF13" s="38" t="str">
        <f>Y13</f>
        <v>01 - LV</v>
      </c>
      <c r="AG13" s="38">
        <v>1.0</v>
      </c>
      <c r="AH13" s="38">
        <v>1.0</v>
      </c>
      <c r="AI13" s="38">
        <f>AH13*8*4^Z13</f>
        <v>32</v>
      </c>
      <c r="AJ13" s="38">
        <f>MIN(ROUNDDOWN(AI13/AL13,0),U13)</f>
        <v>6</v>
      </c>
      <c r="AK13" s="38">
        <f>IF(OR(T13="No",T13=""),AG13*S13,AG13*T13)</f>
        <v>6</v>
      </c>
      <c r="AL13" s="38">
        <f>ROUNDUP(AA13*VLOOKUP(H13,'Machine List'!$A$2:$D$219,4,FALSE),0)</f>
        <v>5</v>
      </c>
      <c r="AM13" s="38">
        <f>AL13*AK13</f>
        <v>30</v>
      </c>
      <c r="AN13" s="38">
        <f>ROUNDUP(AB13*I15,0)</f>
        <v>39936</v>
      </c>
      <c r="AO13" s="38">
        <f>ROUNDUP(AN13/VLOOKUP(H13,'Machine List'!$A$2:$D$219,3,FALSE),0)</f>
        <v>17750</v>
      </c>
      <c r="AP13" s="38">
        <f>ROUNDUP(AO13/AK13,0)</f>
        <v>2959</v>
      </c>
      <c r="AQ13" s="38">
        <f>AM13*AP13</f>
        <v>88770</v>
      </c>
      <c r="AR13" s="75"/>
      <c r="AS13" s="38" t="s">
        <v>405</v>
      </c>
      <c r="AT13" s="38">
        <f>VLOOKUP(AS13,'Item Helper Sheet'!$A$2:$B$16,2,FALSE)</f>
        <v>5</v>
      </c>
      <c r="AU13" s="38">
        <f>AG13</f>
        <v>1</v>
      </c>
      <c r="AV13" s="38">
        <v>1.0</v>
      </c>
      <c r="AW13" s="38">
        <f>AV13*8*4^AT13</f>
        <v>8192</v>
      </c>
      <c r="AX13" s="38">
        <f>MIN(ROUNDDOWN(AW13/AL13,0),X13)</f>
        <v>30</v>
      </c>
      <c r="AY13" s="38">
        <f>AX13*AU13</f>
        <v>30</v>
      </c>
      <c r="AZ13" s="38">
        <f>AL13</f>
        <v>5</v>
      </c>
      <c r="BA13" s="38">
        <f>MIN(AT13-Z13,IF(AW13&gt;=AZ14*4,
IF(AW13&gt;=AZ14*4^2,
IF(AW13&gt;=AZ14*4^3,
IF(AW13&gt;=AZ14*4^4,
IF(AW13&gt;=AZ14*4^5,
IF(AW13&gt;=AZ14*4^6,
IF(AW13&gt;=AZ14*4^7,
IF(AW13&gt;=AZ14*4^8,
IF(AW13&gt;=AZ14*4^9,
IF(AW13&gt;=AZ14*4^10,
9),
8),
7),
6),
5),
4),
3),
2),
1),
0))</f>
        <v>2</v>
      </c>
      <c r="BB13" s="38">
        <f>AZ13*AX13*4^BA13</f>
        <v>2400</v>
      </c>
      <c r="BC13" s="38">
        <f>BB13*AU13</f>
        <v>2400</v>
      </c>
      <c r="BD13" s="45">
        <f>ROUNDUP(IF(R13="Yes",AN13/(2^((BA13)*2)),AN13/(2^(BA13))),0)</f>
        <v>9984</v>
      </c>
      <c r="BE13" s="45">
        <f>ROUNDUP(BD13/VLOOKUP(H13,'Machine List'!$A$2:$D$219,3,FALSE),0)</f>
        <v>4438</v>
      </c>
      <c r="BF13" s="45">
        <f>ROUNDUP(BE13/AY13,0)</f>
        <v>148</v>
      </c>
      <c r="BG13" s="46">
        <f>BF13*BC13</f>
        <v>355200</v>
      </c>
      <c r="BI13" s="28"/>
      <c r="BQ13" s="6" t="s">
        <v>118</v>
      </c>
      <c r="BR13" s="6">
        <v>-8.0</v>
      </c>
      <c r="BS13" s="6">
        <f>VLOOKUP(BQ13,'Item List'!$A$2:$D$300,2,FALSE)</f>
        <v>1</v>
      </c>
      <c r="BT13" s="6">
        <f>VLOOKUP(BQ13,'Item List'!$A$2:$D$300,3,FALSE)</f>
        <v>4</v>
      </c>
      <c r="BU13" s="6">
        <f>VLOOKUP(BQ13,'Item List'!$A$2:$D$300,4,FALSE)</f>
        <v>2</v>
      </c>
      <c r="BW13" s="5"/>
      <c r="BX13" s="5"/>
      <c r="CA13" s="5"/>
      <c r="CE13" s="98" t="s">
        <v>597</v>
      </c>
      <c r="CF13" s="98" t="s">
        <v>597</v>
      </c>
    </row>
    <row r="14">
      <c r="B14" s="40"/>
      <c r="C14" s="41" t="s">
        <v>69</v>
      </c>
      <c r="D14" s="38">
        <f>1*I15</f>
        <v>104</v>
      </c>
      <c r="E14" s="38" t="s">
        <v>118</v>
      </c>
      <c r="F14" s="42">
        <f>48*I15</f>
        <v>4992</v>
      </c>
      <c r="G14" s="43"/>
      <c r="H14" s="99" t="s">
        <v>584</v>
      </c>
      <c r="I14" s="45">
        <f t="array" ref="I14">match(TRUE,ISBLANK(F14:F26),0)-1</f>
        <v>1</v>
      </c>
      <c r="J14" s="100" t="s">
        <v>420</v>
      </c>
      <c r="K14" s="100" t="s">
        <v>585</v>
      </c>
      <c r="L14" s="38"/>
      <c r="M14" s="38"/>
      <c r="N14" s="38"/>
      <c r="O14" s="38"/>
      <c r="P14" s="38"/>
      <c r="Q14" s="38"/>
      <c r="R14" s="101"/>
      <c r="S14" s="101"/>
      <c r="T14" s="101"/>
      <c r="U14" s="45"/>
      <c r="V14" s="45"/>
      <c r="W14" s="45"/>
      <c r="X14" s="45"/>
      <c r="Y14" s="45"/>
      <c r="Z14" s="45"/>
      <c r="AA14" s="45"/>
      <c r="AB14" s="45"/>
      <c r="AC14" s="45"/>
      <c r="AD14" s="45"/>
      <c r="AE14" s="79"/>
      <c r="AF14" s="45"/>
      <c r="AG14" s="45"/>
      <c r="AH14" s="45"/>
      <c r="AI14" s="45"/>
      <c r="AJ14" s="45"/>
      <c r="AK14" s="45"/>
      <c r="AL14" s="45"/>
      <c r="AM14" s="45"/>
      <c r="AN14" s="45"/>
      <c r="AO14" s="45"/>
      <c r="AP14" s="45"/>
      <c r="AQ14" s="45"/>
      <c r="AR14" s="79"/>
      <c r="AS14" s="45"/>
      <c r="AT14" s="45"/>
      <c r="AU14" s="45"/>
      <c r="AV14" s="45"/>
      <c r="AW14" s="45"/>
      <c r="AX14" s="45"/>
      <c r="AY14" s="45"/>
      <c r="AZ14" s="45">
        <f>AZ13*AX13</f>
        <v>150</v>
      </c>
      <c r="BA14" s="45"/>
      <c r="BB14" s="45"/>
      <c r="BC14" s="45"/>
      <c r="BD14" s="45"/>
      <c r="BE14" s="45"/>
      <c r="BF14" s="45"/>
      <c r="BG14" s="46"/>
      <c r="BI14" s="28"/>
      <c r="BQ14" s="6" t="s">
        <v>119</v>
      </c>
      <c r="BR14" s="6">
        <v>0.0</v>
      </c>
      <c r="BS14" s="6">
        <f>VLOOKUP(BQ14,'Item List'!$A$2:$D$300,2,FALSE)</f>
        <v>1</v>
      </c>
      <c r="BT14" s="6">
        <f>VLOOKUP(BQ14,'Item List'!$A$2:$D$300,3,FALSE)</f>
        <v>3</v>
      </c>
      <c r="BU14" s="6">
        <f>VLOOKUP(BQ14,'Item List'!$A$2:$D$300,4,FALSE)</f>
        <v>2</v>
      </c>
      <c r="CE14" s="5">
        <f>BU33</f>
        <v>7</v>
      </c>
      <c r="CF14" s="5">
        <f>BT43</f>
        <v>7</v>
      </c>
    </row>
    <row r="15">
      <c r="B15" s="40"/>
      <c r="C15" s="41"/>
      <c r="D15" s="38"/>
      <c r="E15" s="38"/>
      <c r="F15" s="42"/>
      <c r="G15" s="43"/>
      <c r="H15" s="56" t="s">
        <v>502</v>
      </c>
      <c r="I15" s="57">
        <v>104.0</v>
      </c>
      <c r="J15" s="100" t="s">
        <v>424</v>
      </c>
      <c r="K15" s="100">
        <v>0.0</v>
      </c>
      <c r="L15" s="45"/>
      <c r="M15" s="45"/>
      <c r="N15" s="45"/>
      <c r="O15" s="45"/>
      <c r="P15" s="45"/>
      <c r="Q15" s="45"/>
      <c r="R15" s="45"/>
      <c r="S15" s="101"/>
      <c r="T15" s="101"/>
      <c r="U15" s="45"/>
      <c r="V15" s="45"/>
      <c r="W15" s="45"/>
      <c r="X15" s="45"/>
      <c r="Y15" s="45"/>
      <c r="Z15" s="45"/>
      <c r="AA15" s="45"/>
      <c r="AB15" s="45"/>
      <c r="AC15" s="45"/>
      <c r="AD15" s="45"/>
      <c r="AE15" s="79"/>
      <c r="AF15" s="45"/>
      <c r="AG15" s="45"/>
      <c r="AH15" s="45"/>
      <c r="AI15" s="45"/>
      <c r="AJ15" s="45"/>
      <c r="AK15" s="45"/>
      <c r="AL15" s="45"/>
      <c r="AM15" s="45"/>
      <c r="AN15" s="45"/>
      <c r="AO15" s="45"/>
      <c r="AP15" s="45"/>
      <c r="AQ15" s="45"/>
      <c r="AR15" s="79"/>
      <c r="AS15" s="45"/>
      <c r="AT15" s="45"/>
      <c r="AU15" s="45"/>
      <c r="AV15" s="45"/>
      <c r="AW15" s="45"/>
      <c r="AX15" s="45"/>
      <c r="AY15" s="45"/>
      <c r="AZ15" s="45"/>
      <c r="BA15" s="45"/>
      <c r="BB15" s="45"/>
      <c r="BC15" s="45"/>
      <c r="BD15" s="45"/>
      <c r="BE15" s="45"/>
      <c r="BF15" s="45"/>
      <c r="BG15" s="46"/>
      <c r="BI15" s="28"/>
      <c r="BQ15" s="6" t="s">
        <v>213</v>
      </c>
      <c r="BR15" s="6">
        <v>-0.5</v>
      </c>
      <c r="BS15" s="6">
        <f>VLOOKUP(BQ15,'Item List'!$A$2:$D$300,2,FALSE)</f>
        <v>1</v>
      </c>
      <c r="BT15" s="6">
        <f>VLOOKUP(BQ15,'Item List'!$A$2:$D$300,3,FALSE)</f>
        <v>4</v>
      </c>
      <c r="BU15" s="6">
        <f>VLOOKUP(BQ15,'Item List'!$A$2:$D$300,4,FALSE)</f>
        <v>1</v>
      </c>
      <c r="CE15" s="98" t="s">
        <v>598</v>
      </c>
      <c r="CF15" s="98" t="s">
        <v>598</v>
      </c>
    </row>
    <row r="16">
      <c r="B16" s="50"/>
      <c r="C16" s="51"/>
      <c r="D16" s="52"/>
      <c r="E16" s="52"/>
      <c r="F16" s="52"/>
      <c r="G16" s="43"/>
      <c r="H16" s="52"/>
      <c r="I16" s="52"/>
      <c r="J16" s="52"/>
      <c r="K16" s="52"/>
      <c r="L16" s="52"/>
      <c r="M16" s="52"/>
      <c r="N16" s="52"/>
      <c r="O16" s="52"/>
      <c r="P16" s="52"/>
      <c r="Q16" s="52"/>
      <c r="R16" s="52"/>
      <c r="S16" s="52"/>
      <c r="T16" s="52"/>
      <c r="U16" s="52"/>
      <c r="V16" s="52"/>
      <c r="W16" s="52"/>
      <c r="X16" s="52"/>
      <c r="Y16" s="52"/>
      <c r="Z16" s="52"/>
      <c r="AA16" s="52"/>
      <c r="AB16" s="52"/>
      <c r="AC16" s="52"/>
      <c r="AD16" s="52"/>
      <c r="AE16" s="43"/>
      <c r="AF16" s="52"/>
      <c r="AG16" s="52"/>
      <c r="AH16" s="52"/>
      <c r="AI16" s="52"/>
      <c r="AJ16" s="52"/>
      <c r="AK16" s="52"/>
      <c r="AL16" s="52"/>
      <c r="AM16" s="52"/>
      <c r="AN16" s="52"/>
      <c r="AO16" s="52"/>
      <c r="AP16" s="52"/>
      <c r="AQ16" s="52"/>
      <c r="AR16" s="43"/>
      <c r="AS16" s="52"/>
      <c r="AT16" s="52"/>
      <c r="AU16" s="52"/>
      <c r="AV16" s="52"/>
      <c r="AW16" s="52"/>
      <c r="AX16" s="52"/>
      <c r="AY16" s="52"/>
      <c r="AZ16" s="52"/>
      <c r="BA16" s="52"/>
      <c r="BB16" s="52"/>
      <c r="BC16" s="52"/>
      <c r="BD16" s="52"/>
      <c r="BE16" s="52"/>
      <c r="BF16" s="52"/>
      <c r="BG16" s="53"/>
      <c r="BI16" s="28"/>
      <c r="CE16" s="5">
        <f>SUM(CD28:CD33)</f>
        <v>43346</v>
      </c>
      <c r="CF16" s="5">
        <f>SUM(CD38:CD43)</f>
        <v>363800</v>
      </c>
    </row>
    <row r="17">
      <c r="B17" s="31" t="s">
        <v>635</v>
      </c>
      <c r="C17" s="54"/>
      <c r="D17" s="45"/>
      <c r="E17" s="45"/>
      <c r="F17" s="47"/>
      <c r="G17" s="35"/>
      <c r="H17" s="55" t="s">
        <v>349</v>
      </c>
      <c r="I17" s="38">
        <f>VLOOKUP(H17,'Machine List'!$A$1:$I$300,9,FALSE)</f>
        <v>4000</v>
      </c>
      <c r="J17" s="38">
        <f>IF(VLOOKUP(H17,'Machine List'!$A$1:$I$300,5,FALSE)="Multi",IF(VLOOKUP(H17,'Machine List'!$A$1:$I$300,6,FALSE)="Yes",AG17*3*10^Z17,AG17*(2*3)*10^(Z17-1)),0)</f>
        <v>600</v>
      </c>
      <c r="K17" s="38">
        <f>J17+IF(ISNUMBER(I17),I17,
  SWITCH(
      I17,
      "1T",1*10^Z17,
      "2T",2*10^Z17,
      "3T",3*10^Z17,
      "4T",4*10^Z17,
      "4000+500(7O-5)",4000+500*(7*I19-5),
      1
  )
)</f>
        <v>4600</v>
      </c>
      <c r="L17" s="38">
        <f>IF(VLOOKUP(H17,'Machine List'!$A$1:$I$300,5,FALSE)="Multi",IF(VLOOKUP(H17,'Machine List'!$A$1:$I$300,6,FALSE)="Yes",AU17*3*10^AT17,AU17*(2*3)*10^(AT17-1)),0)</f>
        <v>600</v>
      </c>
      <c r="M17" s="38">
        <f>L17+IF(ISNUMBER(I17),I17,
  SWITCH(
      I17,
      "1T",1*10^AT17,
      "2T",2*10^AT17,
      "3T",3*10^AT17,
      "4T",4*10^AT17,
      "4000+500(7O-5)",4000+500*(7*I19-5),
      1
  )
)</f>
        <v>4600</v>
      </c>
      <c r="N17" s="38" t="str">
        <f>VLOOKUP(H17,'Machine List'!$A$1:$I$300,8,FALSE)</f>
        <v>Tier</v>
      </c>
      <c r="O17" s="38">
        <f>IF(ISNUMBER(N17),N17,10^Z17)</f>
        <v>1000</v>
      </c>
      <c r="P17" s="38">
        <f>IF(ISNUMBER(N17),N17,10^AT17)</f>
        <v>1000</v>
      </c>
      <c r="Q17" s="38">
        <f>VLOOKUP(H17,'Machine List'!$A$1:$B$138,2,FALSE)</f>
        <v>1</v>
      </c>
      <c r="R17" s="38" t="s">
        <v>594</v>
      </c>
      <c r="S17" s="45">
        <f>IF(ISNUMBER(Q17),Q17,
  SWITCH(
      Q17,
      "1",1,
      "2T",Z17*2,
      "4T",Z17*4,
      "6T",Z17*6,
      "8T",Z17*8,
      "10T",Z17*10,
      "12T",Z17*12,
      "14T",Z17*14,
      "16T",Z17*16,
      "2(T+1)",2*(Z17+1),
      "1T*C",Z17*J19,
      1
  )
)</f>
        <v>1</v>
      </c>
      <c r="T17" s="38" t="s">
        <v>277</v>
      </c>
      <c r="U17" s="38">
        <f>IF(OR(T17="No",T17=""),S17,T17)</f>
        <v>1</v>
      </c>
      <c r="V17" s="38">
        <f>IF(ISNUMBER(Q17),Q17,
  SWITCH(
      Q17,
      "1",1,
      "2T",AT17*2,
      "4T",AT17*4,
      "6T",AT17*6,
      "8T",AT17*8,
      "10T",AT17*10,
      "12T",AT17*12,
      "14T",AT17*14,
      "16T",AT17*16,
      "2(T+1)",2*(AT17+1),
      "1T*C",AT17*J19,
      1
  )
)</f>
        <v>1</v>
      </c>
      <c r="W17" s="38" t="str">
        <f>T17</f>
        <v>No</v>
      </c>
      <c r="X17" s="38">
        <f>IF(OR(W17="No",W17=""),V17,W17)</f>
        <v>1</v>
      </c>
      <c r="Y17" s="38" t="s">
        <v>397</v>
      </c>
      <c r="Z17" s="38">
        <f>VLOOKUP(Y17,'Item Helper Sheet'!$A$2:$B$16,2,FALSE)</f>
        <v>3</v>
      </c>
      <c r="AA17" s="38">
        <v>480.0</v>
      </c>
      <c r="AB17" s="38">
        <f>10*20</f>
        <v>200</v>
      </c>
      <c r="AC17" s="38">
        <f>AB17*I19</f>
        <v>200</v>
      </c>
      <c r="AD17" s="38">
        <f>AA17*AC17</f>
        <v>96000</v>
      </c>
      <c r="AE17" s="75"/>
      <c r="AF17" s="38" t="str">
        <f>Y17</f>
        <v>03 - HV</v>
      </c>
      <c r="AG17" s="38">
        <v>1.0</v>
      </c>
      <c r="AH17" s="38">
        <v>1.0</v>
      </c>
      <c r="AI17" s="38">
        <f>AH17*8*4^Z17</f>
        <v>512</v>
      </c>
      <c r="AJ17" s="38">
        <f>MIN(ROUNDDOWN(AI17/AL17,0),U17)</f>
        <v>1</v>
      </c>
      <c r="AK17" s="38">
        <f>IF(OR(T17="No",T17=""),AG17*S17,AG17*T17)</f>
        <v>1</v>
      </c>
      <c r="AL17" s="38">
        <f>ROUNDUP(AA17*VLOOKUP(H17,'Machine List'!$A$2:$D$219,4,FALSE),0)</f>
        <v>480</v>
      </c>
      <c r="AM17" s="38">
        <f>AL17*AK17</f>
        <v>480</v>
      </c>
      <c r="AN17" s="38">
        <f>ROUNDUP(AB17*I19,0)</f>
        <v>200</v>
      </c>
      <c r="AO17" s="38">
        <f>ROUNDUP(AN17/VLOOKUP(H17,'Machine List'!$A$2:$D$219,3,FALSE),0)</f>
        <v>200</v>
      </c>
      <c r="AP17" s="38">
        <f>ROUNDUP(AO17/AK17,0)</f>
        <v>200</v>
      </c>
      <c r="AQ17" s="38">
        <f>AM17*AP17</f>
        <v>96000</v>
      </c>
      <c r="AR17" s="75"/>
      <c r="AS17" s="38" t="s">
        <v>397</v>
      </c>
      <c r="AT17" s="38">
        <f>VLOOKUP(AS17,'Item Helper Sheet'!$A$2:$B$16,2,FALSE)</f>
        <v>3</v>
      </c>
      <c r="AU17" s="38">
        <f>AG17</f>
        <v>1</v>
      </c>
      <c r="AV17" s="38">
        <v>1.0</v>
      </c>
      <c r="AW17" s="38">
        <f>AV17*8*4^AT17</f>
        <v>512</v>
      </c>
      <c r="AX17" s="38">
        <f>MIN(ROUNDDOWN(AW17/AL17,0),X17)</f>
        <v>1</v>
      </c>
      <c r="AY17" s="38">
        <f>AX17*AU17</f>
        <v>1</v>
      </c>
      <c r="AZ17" s="38">
        <f>AL17</f>
        <v>480</v>
      </c>
      <c r="BA17" s="38">
        <f>MIN(AT17-Z17,IF(AW17&gt;=AZ18*4,
IF(AW17&gt;=AZ18*4^2,
IF(AW17&gt;=AZ18*4^3,
IF(AW17&gt;=AZ18*4^4,
IF(AW17&gt;=AZ18*4^5,
IF(AW17&gt;=AZ18*4^6,
IF(AW17&gt;=AZ18*4^7,
IF(AW17&gt;=AZ18*4^8,
IF(AW17&gt;=AZ18*4^9,
IF(AW17&gt;=AZ18*4^10,
9),
8),
7),
6),
5),
4),
3),
2),
1),
0))</f>
        <v>0</v>
      </c>
      <c r="BB17" s="38">
        <f>AZ17*AX17*4^BA17</f>
        <v>480</v>
      </c>
      <c r="BC17" s="38">
        <f>BB17*AU17</f>
        <v>480</v>
      </c>
      <c r="BD17" s="45">
        <f>ROUNDUP(IF(R17="Yes",AN17/(2^((BA17)*2)),AN17/(2^(BA17))),0)</f>
        <v>200</v>
      </c>
      <c r="BE17" s="45">
        <f>ROUNDUP(BD17/VLOOKUP(H17,'Machine List'!$A$2:$D$219,3,FALSE),0)</f>
        <v>200</v>
      </c>
      <c r="BF17" s="45">
        <f>ROUNDUP(BE17/AY17,0)</f>
        <v>200</v>
      </c>
      <c r="BG17" s="46">
        <f>BF17*BC17</f>
        <v>96000</v>
      </c>
      <c r="BI17" s="28"/>
      <c r="BK17" s="6" t="s">
        <v>457</v>
      </c>
      <c r="BL17" s="6" t="s">
        <v>467</v>
      </c>
      <c r="BM17" s="6" t="s">
        <v>471</v>
      </c>
      <c r="BN17" s="6" t="s">
        <v>457</v>
      </c>
      <c r="BO17" s="6" t="s">
        <v>466</v>
      </c>
      <c r="BP17" s="6" t="s">
        <v>470</v>
      </c>
      <c r="BQ17" s="6" t="s">
        <v>457</v>
      </c>
      <c r="BR17" s="6" t="s">
        <v>484</v>
      </c>
      <c r="BS17" s="6" t="s">
        <v>605</v>
      </c>
      <c r="BT17" s="6" t="s">
        <v>606</v>
      </c>
      <c r="CE17" s="98" t="s">
        <v>600</v>
      </c>
      <c r="CF17" s="98" t="s">
        <v>600</v>
      </c>
    </row>
    <row r="18">
      <c r="B18" s="40"/>
      <c r="C18" s="41" t="s">
        <v>118</v>
      </c>
      <c r="D18" s="38">
        <f>5000*I19</f>
        <v>5000</v>
      </c>
      <c r="E18" s="38" t="s">
        <v>87</v>
      </c>
      <c r="F18" s="42">
        <f>30000*I19</f>
        <v>30000</v>
      </c>
      <c r="G18" s="43"/>
      <c r="H18" s="99" t="s">
        <v>584</v>
      </c>
      <c r="I18" s="45">
        <f t="array" ref="I18">match(TRUE,ISBLANK(F18:F30),0)-1</f>
        <v>2</v>
      </c>
      <c r="J18" s="100" t="s">
        <v>420</v>
      </c>
      <c r="K18" s="100" t="s">
        <v>585</v>
      </c>
      <c r="L18" s="38"/>
      <c r="M18" s="38"/>
      <c r="N18" s="38"/>
      <c r="O18" s="38"/>
      <c r="P18" s="38"/>
      <c r="Q18" s="38"/>
      <c r="R18" s="101"/>
      <c r="S18" s="101"/>
      <c r="T18" s="101"/>
      <c r="U18" s="45"/>
      <c r="V18" s="45"/>
      <c r="W18" s="45"/>
      <c r="X18" s="45"/>
      <c r="Y18" s="45"/>
      <c r="Z18" s="45"/>
      <c r="AA18" s="45"/>
      <c r="AB18" s="45"/>
      <c r="AC18" s="45"/>
      <c r="AD18" s="45"/>
      <c r="AE18" s="79"/>
      <c r="AF18" s="45"/>
      <c r="AG18" s="45"/>
      <c r="AH18" s="45"/>
      <c r="AI18" s="45"/>
      <c r="AJ18" s="45"/>
      <c r="AK18" s="45"/>
      <c r="AL18" s="45"/>
      <c r="AM18" s="45"/>
      <c r="AN18" s="45"/>
      <c r="AO18" s="45"/>
      <c r="AP18" s="45"/>
      <c r="AQ18" s="45"/>
      <c r="AR18" s="79"/>
      <c r="AS18" s="45"/>
      <c r="AT18" s="45"/>
      <c r="AU18" s="45"/>
      <c r="AV18" s="45"/>
      <c r="AW18" s="45"/>
      <c r="AX18" s="45"/>
      <c r="AY18" s="45"/>
      <c r="AZ18" s="45">
        <f>AZ17*AX17</f>
        <v>480</v>
      </c>
      <c r="BA18" s="45"/>
      <c r="BB18" s="45"/>
      <c r="BC18" s="45"/>
      <c r="BD18" s="45"/>
      <c r="BE18" s="45"/>
      <c r="BF18" s="45"/>
      <c r="BG18" s="46"/>
      <c r="BI18" s="28"/>
      <c r="BK18" s="6" t="s">
        <v>632</v>
      </c>
      <c r="BL18" s="6">
        <v>1163264.0</v>
      </c>
      <c r="BM18" s="6">
        <v>1163264.0</v>
      </c>
      <c r="BN18" s="6" t="s">
        <v>632</v>
      </c>
      <c r="BO18" s="6">
        <v>4544.0</v>
      </c>
      <c r="BP18" s="6">
        <v>284.0</v>
      </c>
      <c r="BQ18" s="6" t="s">
        <v>632</v>
      </c>
      <c r="BR18" s="6">
        <v>3.0</v>
      </c>
      <c r="BS18" s="6">
        <v>5.0</v>
      </c>
      <c r="BT18" s="6">
        <v>2.0</v>
      </c>
      <c r="CE18" s="5">
        <f>CE35</f>
        <v>1405511</v>
      </c>
      <c r="CF18" s="5">
        <f>CE45</f>
        <v>1405511</v>
      </c>
    </row>
    <row r="19">
      <c r="B19" s="40"/>
      <c r="C19" s="41" t="s">
        <v>56</v>
      </c>
      <c r="D19" s="38">
        <f>5000*I19</f>
        <v>5000</v>
      </c>
      <c r="E19" s="38" t="s">
        <v>45</v>
      </c>
      <c r="F19" s="42">
        <f>5000*I19</f>
        <v>5000</v>
      </c>
      <c r="G19" s="43"/>
      <c r="H19" s="56" t="s">
        <v>502</v>
      </c>
      <c r="I19" s="57">
        <v>1.0</v>
      </c>
      <c r="J19" s="100" t="s">
        <v>424</v>
      </c>
      <c r="K19" s="100">
        <v>0.0</v>
      </c>
      <c r="L19" s="45"/>
      <c r="M19" s="45"/>
      <c r="N19" s="45"/>
      <c r="O19" s="45"/>
      <c r="P19" s="45"/>
      <c r="Q19" s="45"/>
      <c r="R19" s="45"/>
      <c r="S19" s="101"/>
      <c r="T19" s="101"/>
      <c r="U19" s="45"/>
      <c r="V19" s="45"/>
      <c r="W19" s="45"/>
      <c r="X19" s="45"/>
      <c r="Y19" s="45"/>
      <c r="Z19" s="45"/>
      <c r="AA19" s="45"/>
      <c r="AB19" s="45"/>
      <c r="AC19" s="45"/>
      <c r="AD19" s="45"/>
      <c r="AE19" s="79"/>
      <c r="AF19" s="45"/>
      <c r="AG19" s="45"/>
      <c r="AH19" s="45"/>
      <c r="AI19" s="45"/>
      <c r="AJ19" s="45"/>
      <c r="AK19" s="45"/>
      <c r="AL19" s="45"/>
      <c r="AM19" s="45"/>
      <c r="AN19" s="45"/>
      <c r="AO19" s="45"/>
      <c r="AP19" s="45"/>
      <c r="AQ19" s="45"/>
      <c r="AR19" s="79"/>
      <c r="AS19" s="45"/>
      <c r="AT19" s="45"/>
      <c r="AU19" s="45"/>
      <c r="AV19" s="45"/>
      <c r="AW19" s="45"/>
      <c r="AX19" s="45"/>
      <c r="AY19" s="45"/>
      <c r="AZ19" s="45"/>
      <c r="BA19" s="45"/>
      <c r="BB19" s="45"/>
      <c r="BC19" s="45"/>
      <c r="BD19" s="45"/>
      <c r="BE19" s="45"/>
      <c r="BF19" s="45"/>
      <c r="BG19" s="46"/>
      <c r="BI19" s="28"/>
      <c r="BK19" s="6" t="s">
        <v>633</v>
      </c>
      <c r="BL19" s="6">
        <v>38400.0</v>
      </c>
      <c r="BM19" s="6">
        <v>614400.0</v>
      </c>
      <c r="BN19" s="6" t="s">
        <v>633</v>
      </c>
      <c r="BO19" s="6">
        <v>4800.0</v>
      </c>
      <c r="BP19" s="6">
        <v>300.0</v>
      </c>
      <c r="BQ19" s="6" t="s">
        <v>633</v>
      </c>
      <c r="BR19" s="6">
        <v>1.0</v>
      </c>
      <c r="BS19" s="6">
        <v>5.0</v>
      </c>
      <c r="BT19" s="6">
        <v>4.0</v>
      </c>
    </row>
    <row r="20">
      <c r="B20" s="50"/>
      <c r="C20" s="51"/>
      <c r="D20" s="52"/>
      <c r="E20" s="52"/>
      <c r="F20" s="52"/>
      <c r="G20" s="43"/>
      <c r="H20" s="52"/>
      <c r="I20" s="52"/>
      <c r="J20" s="52"/>
      <c r="K20" s="52"/>
      <c r="L20" s="52"/>
      <c r="M20" s="52"/>
      <c r="N20" s="52"/>
      <c r="O20" s="52"/>
      <c r="P20" s="52"/>
      <c r="Q20" s="52"/>
      <c r="R20" s="52"/>
      <c r="S20" s="52"/>
      <c r="T20" s="52"/>
      <c r="U20" s="52"/>
      <c r="V20" s="52"/>
      <c r="W20" s="52"/>
      <c r="X20" s="52"/>
      <c r="Y20" s="52"/>
      <c r="Z20" s="52"/>
      <c r="AA20" s="52"/>
      <c r="AB20" s="52"/>
      <c r="AC20" s="52"/>
      <c r="AD20" s="52"/>
      <c r="AE20" s="43"/>
      <c r="AF20" s="52"/>
      <c r="AG20" s="52"/>
      <c r="AH20" s="52"/>
      <c r="AI20" s="52"/>
      <c r="AJ20" s="52"/>
      <c r="AK20" s="52"/>
      <c r="AL20" s="52"/>
      <c r="AM20" s="52"/>
      <c r="AN20" s="52"/>
      <c r="AO20" s="52"/>
      <c r="AP20" s="52"/>
      <c r="AQ20" s="52"/>
      <c r="AR20" s="43"/>
      <c r="AS20" s="52"/>
      <c r="AT20" s="52"/>
      <c r="AU20" s="52"/>
      <c r="AV20" s="52"/>
      <c r="AW20" s="52"/>
      <c r="AX20" s="52"/>
      <c r="AY20" s="52"/>
      <c r="AZ20" s="52"/>
      <c r="BA20" s="52"/>
      <c r="BB20" s="52"/>
      <c r="BC20" s="52"/>
      <c r="BD20" s="52"/>
      <c r="BE20" s="52"/>
      <c r="BF20" s="52"/>
      <c r="BG20" s="53"/>
      <c r="BI20" s="28"/>
      <c r="BK20" s="6" t="s">
        <v>634</v>
      </c>
      <c r="BL20" s="6">
        <v>88770.0</v>
      </c>
      <c r="BM20" s="6">
        <v>355200.0</v>
      </c>
      <c r="BN20" s="6" t="s">
        <v>634</v>
      </c>
      <c r="BO20" s="6">
        <v>2959.0</v>
      </c>
      <c r="BP20" s="6">
        <v>148.0</v>
      </c>
      <c r="BQ20" s="6" t="s">
        <v>634</v>
      </c>
      <c r="BR20" s="6">
        <v>1.0</v>
      </c>
      <c r="BS20" s="6">
        <v>5.0</v>
      </c>
      <c r="BT20" s="6">
        <v>2.0</v>
      </c>
      <c r="CE20" s="98" t="s">
        <v>602</v>
      </c>
      <c r="CF20" s="98" t="s">
        <v>583</v>
      </c>
      <c r="CG20" s="98" t="s">
        <v>603</v>
      </c>
      <c r="CH20" s="98" t="s">
        <v>604</v>
      </c>
    </row>
    <row r="21">
      <c r="B21" s="31" t="s">
        <v>636</v>
      </c>
      <c r="C21" s="54"/>
      <c r="D21" s="45"/>
      <c r="E21" s="45"/>
      <c r="F21" s="47"/>
      <c r="G21" s="35"/>
      <c r="H21" s="55" t="s">
        <v>349</v>
      </c>
      <c r="I21" s="38">
        <f>VLOOKUP(H21,'Machine List'!$A$1:$I$300,9,FALSE)</f>
        <v>4000</v>
      </c>
      <c r="J21" s="38">
        <f>IF(VLOOKUP(H21,'Machine List'!$A$1:$I$300,5,FALSE)="Multi",IF(VLOOKUP(H21,'Machine List'!$A$1:$I$300,6,FALSE)="Yes",AG21*3*10^Z21,AG21*(2*3)*10^(Z21-1)),0)</f>
        <v>60</v>
      </c>
      <c r="K21" s="38">
        <f>J21+IF(ISNUMBER(I21),I21,
  SWITCH(
      I21,
      "1T",1*10^Z21,
      "2T",2*10^Z21,
      "3T",3*10^Z21,
      "4T",4*10^Z21,
      "4000+500(7O-5)",4000+500*(7*I23-5),
      1
  )
)</f>
        <v>4060</v>
      </c>
      <c r="L21" s="38">
        <f>IF(VLOOKUP(H21,'Machine List'!$A$1:$I$300,5,FALSE)="Multi",IF(VLOOKUP(H21,'Machine List'!$A$1:$I$300,6,FALSE)="Yes",AU21*3*10^AT21,AU21*(2*3)*10^(AT21-1)),0)</f>
        <v>600</v>
      </c>
      <c r="M21" s="38">
        <f>L21+IF(ISNUMBER(I21),I21,
  SWITCH(
      I21,
      "1T",1*10^AT21,
      "2T",2*10^AT21,
      "3T",3*10^AT21,
      "4T",4*10^AT21,
      "4000+500(7O-5)",4000+500*(7*I23-5),
      1
  )
)</f>
        <v>4600</v>
      </c>
      <c r="N21" s="38" t="str">
        <f>VLOOKUP(H21,'Machine List'!$A$1:$I$300,8,FALSE)</f>
        <v>Tier</v>
      </c>
      <c r="O21" s="38">
        <f>IF(ISNUMBER(N21),N21,10^Z21)</f>
        <v>100</v>
      </c>
      <c r="P21" s="38">
        <f>IF(ISNUMBER(N21),N21,10^AT21)</f>
        <v>1000</v>
      </c>
      <c r="Q21" s="38">
        <f>VLOOKUP(H21,'Machine List'!$A$1:$B$138,2,FALSE)</f>
        <v>1</v>
      </c>
      <c r="R21" s="38" t="s">
        <v>594</v>
      </c>
      <c r="S21" s="45">
        <f>IF(ISNUMBER(Q21),Q21,
  SWITCH(
      Q21,
      "1",1,
      "2T",Z21*2,
      "4T",Z21*4,
      "6T",Z21*6,
      "8T",Z21*8,
      "10T",Z21*10,
      "12T",Z21*12,
      "14T",Z21*14,
      "16T",Z21*16,
      "2(T+1)",2*(Z21+1),
      "1T*C",Z21*J23,
      1
  )
)</f>
        <v>1</v>
      </c>
      <c r="T21" s="38" t="s">
        <v>277</v>
      </c>
      <c r="U21" s="38">
        <f>IF(OR(T21="No",T21=""),S21,T21)</f>
        <v>1</v>
      </c>
      <c r="V21" s="38">
        <f>IF(ISNUMBER(Q21),Q21,
  SWITCH(
      Q21,
      "1",1,
      "2T",AT21*2,
      "4T",AT21*4,
      "6T",AT21*6,
      "8T",AT21*8,
      "10T",AT21*10,
      "12T",AT21*12,
      "14T",AT21*14,
      "16T",AT21*16,
      "2(T+1)",2*(AT21+1),
      "1T*C",AT21*J23,
      1
  )
)</f>
        <v>1</v>
      </c>
      <c r="W21" s="38" t="str">
        <f>T21</f>
        <v>No</v>
      </c>
      <c r="X21" s="38">
        <f>IF(OR(W21="No",W21=""),V21,W21)</f>
        <v>1</v>
      </c>
      <c r="Y21" s="38" t="s">
        <v>393</v>
      </c>
      <c r="Z21" s="38">
        <f>VLOOKUP(Y21,'Item Helper Sheet'!$A$2:$B$16,2,FALSE)</f>
        <v>2</v>
      </c>
      <c r="AA21" s="38">
        <v>96.0</v>
      </c>
      <c r="AB21" s="38">
        <f>6*20</f>
        <v>120</v>
      </c>
      <c r="AC21" s="38">
        <f>AB21*I23</f>
        <v>600</v>
      </c>
      <c r="AD21" s="38">
        <f>AA21*AC21</f>
        <v>57600</v>
      </c>
      <c r="AE21" s="75"/>
      <c r="AF21" s="38" t="str">
        <f>Y21</f>
        <v>02 - MV</v>
      </c>
      <c r="AG21" s="38">
        <v>1.0</v>
      </c>
      <c r="AH21" s="38">
        <v>1.0</v>
      </c>
      <c r="AI21" s="38">
        <f>AH21*8*4^Z21</f>
        <v>128</v>
      </c>
      <c r="AJ21" s="38">
        <f>MIN(ROUNDDOWN(AI21/AL21,0),U21)</f>
        <v>1</v>
      </c>
      <c r="AK21" s="38">
        <f>IF(OR(T21="No",T21=""),AG21*S21,AG21*T21)</f>
        <v>1</v>
      </c>
      <c r="AL21" s="38">
        <f>ROUNDUP(AA21*VLOOKUP(H21,'Machine List'!$A$2:$D$219,4,FALSE),0)</f>
        <v>96</v>
      </c>
      <c r="AM21" s="38">
        <f>AL21*AK21</f>
        <v>96</v>
      </c>
      <c r="AN21" s="38">
        <f>ROUNDUP(AB21*I23,0)</f>
        <v>600</v>
      </c>
      <c r="AO21" s="38">
        <f>ROUNDUP(AN21/VLOOKUP(H21,'Machine List'!$A$2:$D$219,3,FALSE),0)</f>
        <v>600</v>
      </c>
      <c r="AP21" s="38">
        <f>ROUNDUP(AO21/AK21,0)</f>
        <v>600</v>
      </c>
      <c r="AQ21" s="38">
        <f>AM21*AP21</f>
        <v>57600</v>
      </c>
      <c r="AR21" s="75"/>
      <c r="AS21" s="38" t="s">
        <v>397</v>
      </c>
      <c r="AT21" s="38">
        <f>VLOOKUP(AS21,'Item Helper Sheet'!$A$2:$B$16,2,FALSE)</f>
        <v>3</v>
      </c>
      <c r="AU21" s="38">
        <f>AG21</f>
        <v>1</v>
      </c>
      <c r="AV21" s="38">
        <v>1.0</v>
      </c>
      <c r="AW21" s="38">
        <f>AV21*8*4^AT21</f>
        <v>512</v>
      </c>
      <c r="AX21" s="38">
        <f>MIN(ROUNDDOWN(AW21/AL21,0),X21)</f>
        <v>1</v>
      </c>
      <c r="AY21" s="38">
        <f>AX21*AU21</f>
        <v>1</v>
      </c>
      <c r="AZ21" s="38">
        <f>AL21</f>
        <v>96</v>
      </c>
      <c r="BA21" s="38">
        <f>MIN(AT21-Z21,IF(AW21&gt;=AZ22*4,
IF(AW21&gt;=AZ22*4^2,
IF(AW21&gt;=AZ22*4^3,
IF(AW21&gt;=AZ22*4^4,
IF(AW21&gt;=AZ22*4^5,
IF(AW21&gt;=AZ22*4^6,
IF(AW21&gt;=AZ22*4^7,
IF(AW21&gt;=AZ22*4^8,
IF(AW21&gt;=AZ22*4^9,
IF(AW21&gt;=AZ22*4^10,
9),
8),
7),
6),
5),
4),
3),
2),
1),
0))</f>
        <v>1</v>
      </c>
      <c r="BB21" s="38">
        <f>AZ21*AX21*4^BA21</f>
        <v>384</v>
      </c>
      <c r="BC21" s="38">
        <f>BB21*AU21</f>
        <v>384</v>
      </c>
      <c r="BD21" s="45">
        <f>ROUNDUP(IF(R21="Yes",AN21/(2^((BA21)*2)),AN21/(2^(BA21))),0)</f>
        <v>150</v>
      </c>
      <c r="BE21" s="45">
        <f>ROUNDUP(BD21/VLOOKUP(H21,'Machine List'!$A$2:$D$219,3,FALSE),0)</f>
        <v>150</v>
      </c>
      <c r="BF21" s="45">
        <f>ROUNDUP(BE21/AY21,0)</f>
        <v>150</v>
      </c>
      <c r="BG21" s="46">
        <f>BF21*BC21</f>
        <v>57600</v>
      </c>
      <c r="BI21" s="28"/>
      <c r="BK21" s="6" t="s">
        <v>635</v>
      </c>
      <c r="BL21" s="6">
        <v>96000.0</v>
      </c>
      <c r="BM21" s="6">
        <v>96000.0</v>
      </c>
      <c r="BN21" s="6" t="s">
        <v>635</v>
      </c>
      <c r="BO21" s="6">
        <v>200.0</v>
      </c>
      <c r="BP21" s="6">
        <v>200.0</v>
      </c>
      <c r="BQ21" s="6" t="s">
        <v>635</v>
      </c>
      <c r="BR21" s="6">
        <v>3.0</v>
      </c>
      <c r="BS21" s="6">
        <v>3.0</v>
      </c>
      <c r="BT21" s="6">
        <v>0.0</v>
      </c>
      <c r="CE21" s="5" t="str">
        <f t="shared" ref="CE21:CF21" si="11">CE6</f>
        <v>Bio Diesel</v>
      </c>
      <c r="CF21" s="5">
        <f t="shared" si="11"/>
        <v>30000</v>
      </c>
      <c r="CG21" s="4">
        <v>320.0</v>
      </c>
      <c r="CH21" s="109">
        <v>1.5</v>
      </c>
    </row>
    <row r="22">
      <c r="B22" s="40"/>
      <c r="C22" s="41" t="s">
        <v>87</v>
      </c>
      <c r="D22" s="38">
        <f>4000*I23</f>
        <v>20000</v>
      </c>
      <c r="E22" s="38" t="s">
        <v>119</v>
      </c>
      <c r="F22" s="42">
        <f>1000*I23</f>
        <v>5000</v>
      </c>
      <c r="G22" s="43"/>
      <c r="H22" s="99" t="s">
        <v>584</v>
      </c>
      <c r="I22" s="45">
        <f t="array" ref="I22">match(TRUE,ISBLANK(F22:F34),0)-1</f>
        <v>1</v>
      </c>
      <c r="J22" s="100" t="s">
        <v>420</v>
      </c>
      <c r="K22" s="100" t="s">
        <v>585</v>
      </c>
      <c r="L22" s="38"/>
      <c r="M22" s="38"/>
      <c r="N22" s="38"/>
      <c r="O22" s="38"/>
      <c r="P22" s="38"/>
      <c r="Q22" s="38"/>
      <c r="R22" s="101"/>
      <c r="S22" s="101"/>
      <c r="T22" s="101"/>
      <c r="U22" s="45"/>
      <c r="V22" s="45"/>
      <c r="W22" s="45"/>
      <c r="X22" s="45"/>
      <c r="Y22" s="45"/>
      <c r="Z22" s="45"/>
      <c r="AA22" s="45"/>
      <c r="AB22" s="45"/>
      <c r="AC22" s="45"/>
      <c r="AD22" s="45"/>
      <c r="AE22" s="79"/>
      <c r="AF22" s="45"/>
      <c r="AG22" s="45"/>
      <c r="AH22" s="45"/>
      <c r="AI22" s="45"/>
      <c r="AJ22" s="45"/>
      <c r="AK22" s="45"/>
      <c r="AL22" s="45"/>
      <c r="AM22" s="45"/>
      <c r="AN22" s="45"/>
      <c r="AO22" s="45"/>
      <c r="AP22" s="45"/>
      <c r="AQ22" s="45"/>
      <c r="AR22" s="79"/>
      <c r="AS22" s="45"/>
      <c r="AT22" s="45"/>
      <c r="AU22" s="45"/>
      <c r="AV22" s="45"/>
      <c r="AW22" s="45"/>
      <c r="AX22" s="45"/>
      <c r="AY22" s="45"/>
      <c r="AZ22" s="45">
        <f>AZ21*AX21</f>
        <v>96</v>
      </c>
      <c r="BA22" s="45"/>
      <c r="BB22" s="45"/>
      <c r="BC22" s="45"/>
      <c r="BD22" s="45"/>
      <c r="BE22" s="45"/>
      <c r="BF22" s="45"/>
      <c r="BG22" s="46"/>
      <c r="BI22" s="28"/>
      <c r="BK22" s="6" t="s">
        <v>636</v>
      </c>
      <c r="BL22" s="6">
        <v>57600.0</v>
      </c>
      <c r="BM22" s="6">
        <v>57600.0</v>
      </c>
      <c r="BN22" s="6" t="s">
        <v>636</v>
      </c>
      <c r="BO22" s="6">
        <v>600.0</v>
      </c>
      <c r="BP22" s="6">
        <v>150.0</v>
      </c>
      <c r="BQ22" s="6" t="s">
        <v>636</v>
      </c>
      <c r="BR22" s="6">
        <v>2.0</v>
      </c>
      <c r="BS22" s="6">
        <v>3.0</v>
      </c>
      <c r="BT22" s="6">
        <v>1.0</v>
      </c>
      <c r="CD22" s="102"/>
      <c r="CE22" s="98" t="s">
        <v>608</v>
      </c>
      <c r="CF22" s="98" t="s">
        <v>609</v>
      </c>
      <c r="CG22" s="98" t="s">
        <v>610</v>
      </c>
      <c r="CH22" s="5"/>
    </row>
    <row r="23">
      <c r="B23" s="40"/>
      <c r="C23" s="41" t="s">
        <v>45</v>
      </c>
      <c r="D23" s="38">
        <f>1000*I23</f>
        <v>5000</v>
      </c>
      <c r="E23" s="38"/>
      <c r="F23" s="42"/>
      <c r="G23" s="43"/>
      <c r="H23" s="56" t="s">
        <v>502</v>
      </c>
      <c r="I23" s="57">
        <v>5.0</v>
      </c>
      <c r="J23" s="100" t="s">
        <v>424</v>
      </c>
      <c r="K23" s="100">
        <v>0.0</v>
      </c>
      <c r="L23" s="45"/>
      <c r="M23" s="45"/>
      <c r="N23" s="45"/>
      <c r="O23" s="45"/>
      <c r="P23" s="45"/>
      <c r="Q23" s="45"/>
      <c r="R23" s="45"/>
      <c r="S23" s="101"/>
      <c r="T23" s="101"/>
      <c r="U23" s="45"/>
      <c r="V23" s="45"/>
      <c r="W23" s="45"/>
      <c r="X23" s="45"/>
      <c r="Y23" s="45"/>
      <c r="Z23" s="45"/>
      <c r="AA23" s="45"/>
      <c r="AB23" s="45"/>
      <c r="AC23" s="45"/>
      <c r="AD23" s="45"/>
      <c r="AE23" s="79"/>
      <c r="AF23" s="45"/>
      <c r="AG23" s="45"/>
      <c r="AH23" s="45"/>
      <c r="AI23" s="45"/>
      <c r="AJ23" s="45"/>
      <c r="AK23" s="45"/>
      <c r="AL23" s="45"/>
      <c r="AM23" s="45"/>
      <c r="AN23" s="45"/>
      <c r="AO23" s="45"/>
      <c r="AP23" s="45"/>
      <c r="AQ23" s="45"/>
      <c r="AR23" s="79"/>
      <c r="AS23" s="45"/>
      <c r="AT23" s="45"/>
      <c r="AU23" s="45"/>
      <c r="AV23" s="45"/>
      <c r="AW23" s="45"/>
      <c r="AX23" s="45"/>
      <c r="AY23" s="45"/>
      <c r="AZ23" s="45"/>
      <c r="BA23" s="45"/>
      <c r="BB23" s="45"/>
      <c r="BC23" s="45"/>
      <c r="BD23" s="45"/>
      <c r="BE23" s="45"/>
      <c r="BF23" s="45"/>
      <c r="BG23" s="46"/>
      <c r="BI23" s="28"/>
      <c r="BK23" s="6" t="s">
        <v>637</v>
      </c>
      <c r="BL23" s="6">
        <v>57600.0</v>
      </c>
      <c r="BM23" s="6">
        <v>57600.0</v>
      </c>
      <c r="BN23" s="6" t="s">
        <v>637</v>
      </c>
      <c r="BO23" s="6">
        <v>600.0</v>
      </c>
      <c r="BP23" s="6">
        <v>150.0</v>
      </c>
      <c r="BQ23" s="6" t="s">
        <v>637</v>
      </c>
      <c r="BR23" s="6">
        <v>2.0</v>
      </c>
      <c r="BS23" s="6">
        <v>3.0</v>
      </c>
      <c r="BT23" s="6">
        <v>1.0</v>
      </c>
      <c r="CE23" s="5">
        <f>CF21*CG21*CH21</f>
        <v>14400000</v>
      </c>
      <c r="CF23" s="5">
        <f>BM24</f>
        <v>2344064</v>
      </c>
      <c r="CG23" s="110">
        <f>1-(CF23/CE23)</f>
        <v>0.8372177778</v>
      </c>
      <c r="CH23" s="5"/>
    </row>
    <row r="24">
      <c r="B24" s="50"/>
      <c r="C24" s="51"/>
      <c r="D24" s="52"/>
      <c r="E24" s="52"/>
      <c r="F24" s="52"/>
      <c r="G24" s="43"/>
      <c r="H24" s="52"/>
      <c r="I24" s="52"/>
      <c r="J24" s="52"/>
      <c r="K24" s="52"/>
      <c r="L24" s="52"/>
      <c r="M24" s="52"/>
      <c r="N24" s="52"/>
      <c r="O24" s="52"/>
      <c r="P24" s="52"/>
      <c r="Q24" s="52"/>
      <c r="R24" s="52"/>
      <c r="S24" s="52"/>
      <c r="T24" s="52"/>
      <c r="U24" s="52"/>
      <c r="V24" s="52"/>
      <c r="W24" s="52"/>
      <c r="X24" s="52"/>
      <c r="Y24" s="52"/>
      <c r="Z24" s="52"/>
      <c r="AA24" s="52"/>
      <c r="AB24" s="52"/>
      <c r="AC24" s="52"/>
      <c r="AD24" s="52"/>
      <c r="AE24" s="43"/>
      <c r="AF24" s="52"/>
      <c r="AG24" s="52"/>
      <c r="AH24" s="52"/>
      <c r="AI24" s="52"/>
      <c r="AJ24" s="52"/>
      <c r="AK24" s="52"/>
      <c r="AL24" s="52"/>
      <c r="AM24" s="52"/>
      <c r="AN24" s="52"/>
      <c r="AO24" s="52"/>
      <c r="AP24" s="52"/>
      <c r="AQ24" s="52"/>
      <c r="AR24" s="43"/>
      <c r="AS24" s="52"/>
      <c r="AT24" s="52"/>
      <c r="AU24" s="52"/>
      <c r="AV24" s="52"/>
      <c r="AW24" s="52"/>
      <c r="AX24" s="52"/>
      <c r="AY24" s="52"/>
      <c r="AZ24" s="52"/>
      <c r="BA24" s="52"/>
      <c r="BB24" s="52"/>
      <c r="BC24" s="52"/>
      <c r="BD24" s="52"/>
      <c r="BE24" s="52"/>
      <c r="BF24" s="52"/>
      <c r="BG24" s="53"/>
      <c r="BI24" s="28"/>
      <c r="BK24" s="6" t="s">
        <v>487</v>
      </c>
      <c r="BL24" s="6">
        <v>1501634.0</v>
      </c>
      <c r="BM24" s="6">
        <v>2344064.0</v>
      </c>
      <c r="CE24" s="98" t="s">
        <v>612</v>
      </c>
      <c r="CF24" s="98" t="s">
        <v>613</v>
      </c>
      <c r="CG24" s="98" t="s">
        <v>614</v>
      </c>
      <c r="CH24" s="5"/>
    </row>
    <row r="25">
      <c r="B25" s="31" t="s">
        <v>637</v>
      </c>
      <c r="C25" s="54"/>
      <c r="D25" s="45"/>
      <c r="E25" s="45"/>
      <c r="F25" s="47"/>
      <c r="G25" s="35"/>
      <c r="H25" s="55" t="s">
        <v>349</v>
      </c>
      <c r="I25" s="38">
        <f>VLOOKUP(H25,'Machine List'!$A$1:$I$300,9,FALSE)</f>
        <v>4000</v>
      </c>
      <c r="J25" s="38">
        <f>IF(VLOOKUP(H25,'Machine List'!$A$1:$I$300,5,FALSE)="Multi",IF(VLOOKUP(H25,'Machine List'!$A$1:$I$300,6,FALSE)="Yes",AG25*3*10^Z25,AG25*(2*3)*10^(Z25-1)),0)</f>
        <v>60</v>
      </c>
      <c r="K25" s="38">
        <f>J25+IF(ISNUMBER(I25),I25,
  SWITCH(
      I25,
      "1T",1*10^Z25,
      "2T",2*10^Z25,
      "3T",3*10^Z25,
      "4T",4*10^Z25,
      "4000+500(7O-5)",4000+500*(7*I27-5),
      1
  )
)</f>
        <v>4060</v>
      </c>
      <c r="L25" s="38">
        <f>IF(VLOOKUP(H25,'Machine List'!$A$1:$I$300,5,FALSE)="Multi",IF(VLOOKUP(H25,'Machine List'!$A$1:$I$300,6,FALSE)="Yes",AU25*3*10^AT25,AU25*(2*3)*10^(AT25-1)),0)</f>
        <v>600</v>
      </c>
      <c r="M25" s="38">
        <f>L25+IF(ISNUMBER(I25),I25,
  SWITCH(
      I25,
      "1T",1*10^AT25,
      "2T",2*10^AT25,
      "3T",3*10^AT25,
      "4T",4*10^AT25,
      "4000+500(7O-5)",4000+500*(7*I27-5),
      1
  )
)</f>
        <v>4600</v>
      </c>
      <c r="N25" s="38" t="str">
        <f>VLOOKUP(H25,'Machine List'!$A$1:$I$300,8,FALSE)</f>
        <v>Tier</v>
      </c>
      <c r="O25" s="38">
        <f>IF(ISNUMBER(N25),N25,10^Z25)</f>
        <v>100</v>
      </c>
      <c r="P25" s="38">
        <f>IF(ISNUMBER(N25),N25,10^AT25)</f>
        <v>1000</v>
      </c>
      <c r="Q25" s="38">
        <f>VLOOKUP(H25,'Machine List'!$A$1:$B$138,2,FALSE)</f>
        <v>1</v>
      </c>
      <c r="R25" s="38" t="s">
        <v>594</v>
      </c>
      <c r="S25" s="45">
        <f>IF(ISNUMBER(Q25),Q25,
  SWITCH(
      Q25,
      "1",1,
      "2T",Z25*2,
      "4T",Z25*4,
      "6T",Z25*6,
      "8T",Z25*8,
      "10T",Z25*10,
      "12T",Z25*12,
      "14T",Z25*14,
      "16T",Z25*16,
      "2(T+1)",2*(Z25+1),
      "1T*C",Z25*J27,
      1
  )
)</f>
        <v>1</v>
      </c>
      <c r="T25" s="38" t="s">
        <v>277</v>
      </c>
      <c r="U25" s="38">
        <f>IF(OR(T25="No",T25=""),S25,T25)</f>
        <v>1</v>
      </c>
      <c r="V25" s="38">
        <f>IF(ISNUMBER(Q25),Q25,
  SWITCH(
      Q25,
      "1",1,
      "2T",AT25*2,
      "4T",AT25*4,
      "6T",AT25*6,
      "8T",AT25*8,
      "10T",AT25*10,
      "12T",AT25*12,
      "14T",AT25*14,
      "16T",AT25*16,
      "2(T+1)",2*(AT25+1),
      "1T*C",AT25*J27,
      1
  )
)</f>
        <v>1</v>
      </c>
      <c r="W25" s="38" t="str">
        <f>T25</f>
        <v>No</v>
      </c>
      <c r="X25" s="38">
        <f>IF(OR(W25="No",W25=""),V25,W25)</f>
        <v>1</v>
      </c>
      <c r="Y25" s="38" t="s">
        <v>393</v>
      </c>
      <c r="Z25" s="38">
        <f>VLOOKUP(Y25,'Item Helper Sheet'!$A$2:$B$16,2,FALSE)</f>
        <v>2</v>
      </c>
      <c r="AA25" s="38">
        <v>96.0</v>
      </c>
      <c r="AB25" s="38">
        <f>6*20</f>
        <v>120</v>
      </c>
      <c r="AC25" s="38">
        <f>AB25*I27</f>
        <v>600</v>
      </c>
      <c r="AD25" s="38">
        <f>AA25*AC25</f>
        <v>57600</v>
      </c>
      <c r="AE25" s="75"/>
      <c r="AF25" s="38" t="str">
        <f>Y25</f>
        <v>02 - MV</v>
      </c>
      <c r="AG25" s="38">
        <v>1.0</v>
      </c>
      <c r="AH25" s="38">
        <v>1.0</v>
      </c>
      <c r="AI25" s="38">
        <f>AH25*8*4^Z25</f>
        <v>128</v>
      </c>
      <c r="AJ25" s="38">
        <f>MIN(ROUNDDOWN(AI25/AL25,0),U25)</f>
        <v>1</v>
      </c>
      <c r="AK25" s="38">
        <f>IF(OR(T25="No",T25=""),AG25*S25,AG25*T25)</f>
        <v>1</v>
      </c>
      <c r="AL25" s="38">
        <f>ROUNDUP(AA25*VLOOKUP(H25,'Machine List'!$A$2:$D$219,4,FALSE),0)</f>
        <v>96</v>
      </c>
      <c r="AM25" s="38">
        <f>AL25*AK25</f>
        <v>96</v>
      </c>
      <c r="AN25" s="38">
        <f>ROUNDUP(AB25*I27,0)</f>
        <v>600</v>
      </c>
      <c r="AO25" s="38">
        <f>ROUNDUP(AN25/VLOOKUP(H25,'Machine List'!$A$2:$D$219,3,FALSE),0)</f>
        <v>600</v>
      </c>
      <c r="AP25" s="38">
        <f>ROUNDUP(AO25/AK25,0)</f>
        <v>600</v>
      </c>
      <c r="AQ25" s="38">
        <f>AM25*AP25</f>
        <v>57600</v>
      </c>
      <c r="AR25" s="75"/>
      <c r="AS25" s="38" t="s">
        <v>397</v>
      </c>
      <c r="AT25" s="38">
        <f>VLOOKUP(AS25,'Item Helper Sheet'!$A$2:$B$16,2,FALSE)</f>
        <v>3</v>
      </c>
      <c r="AU25" s="38">
        <f>AG25</f>
        <v>1</v>
      </c>
      <c r="AV25" s="38">
        <v>1.0</v>
      </c>
      <c r="AW25" s="38">
        <f>AV25*8*4^AT25</f>
        <v>512</v>
      </c>
      <c r="AX25" s="38">
        <f>MIN(ROUNDDOWN(AW25/AL25,0),X25)</f>
        <v>1</v>
      </c>
      <c r="AY25" s="38">
        <f>AX25*AU25</f>
        <v>1</v>
      </c>
      <c r="AZ25" s="38">
        <f>AL25</f>
        <v>96</v>
      </c>
      <c r="BA25" s="38">
        <f>MIN(AT25-Z25,IF(AW25&gt;=AZ26*4,
IF(AW25&gt;=AZ26*4^2,
IF(AW25&gt;=AZ26*4^3,
IF(AW25&gt;=AZ26*4^4,
IF(AW25&gt;=AZ26*4^5,
IF(AW25&gt;=AZ26*4^6,
IF(AW25&gt;=AZ26*4^7,
IF(AW25&gt;=AZ26*4^8,
IF(AW25&gt;=AZ26*4^9,
IF(AW25&gt;=AZ26*4^10,
9),
8),
7),
6),
5),
4),
3),
2),
1),
0))</f>
        <v>1</v>
      </c>
      <c r="BB25" s="38">
        <f>AZ25*AX25*4^BA25</f>
        <v>384</v>
      </c>
      <c r="BC25" s="38">
        <f>BB25*AU25</f>
        <v>384</v>
      </c>
      <c r="BD25" s="45">
        <f>ROUNDUP(IF(R25="Yes",AN25/(2^((BA25)*2)),AN25/(2^(BA25))),0)</f>
        <v>150</v>
      </c>
      <c r="BE25" s="45">
        <f>ROUNDUP(BD25/VLOOKUP(H25,'Machine List'!$A$2:$D$219,3,FALSE),0)</f>
        <v>150</v>
      </c>
      <c r="BF25" s="45">
        <f>ROUNDUP(BE25/AY25,0)</f>
        <v>150</v>
      </c>
      <c r="BG25" s="46">
        <f>BF25*BC25</f>
        <v>57600</v>
      </c>
      <c r="BI25" s="28"/>
      <c r="CE25" s="5">
        <f>CE23-CF23</f>
        <v>12055936</v>
      </c>
      <c r="CF25" s="5">
        <f>BP25</f>
        <v>300</v>
      </c>
      <c r="CG25" s="5">
        <f>CE25/CF25</f>
        <v>40186.45333</v>
      </c>
      <c r="CH25" s="5"/>
    </row>
    <row r="26">
      <c r="B26" s="40"/>
      <c r="C26" s="41" t="s">
        <v>70</v>
      </c>
      <c r="D26" s="38">
        <f>6000*I27</f>
        <v>30000</v>
      </c>
      <c r="E26" s="38" t="s">
        <v>36</v>
      </c>
      <c r="F26" s="42">
        <f>6000*I27</f>
        <v>30000</v>
      </c>
      <c r="G26" s="43"/>
      <c r="H26" s="99" t="s">
        <v>584</v>
      </c>
      <c r="I26" s="45">
        <f t="array" ref="I26">match(TRUE,ISBLANK(F26:F38),0)-1</f>
        <v>2</v>
      </c>
      <c r="J26" s="100" t="s">
        <v>420</v>
      </c>
      <c r="K26" s="100" t="s">
        <v>585</v>
      </c>
      <c r="L26" s="38"/>
      <c r="M26" s="38"/>
      <c r="N26" s="38"/>
      <c r="O26" s="38"/>
      <c r="P26" s="38"/>
      <c r="Q26" s="38"/>
      <c r="R26" s="101"/>
      <c r="S26" s="101"/>
      <c r="T26" s="101"/>
      <c r="U26" s="45"/>
      <c r="V26" s="45"/>
      <c r="W26" s="45"/>
      <c r="X26" s="45"/>
      <c r="Y26" s="45"/>
      <c r="Z26" s="45"/>
      <c r="AA26" s="45"/>
      <c r="AB26" s="45"/>
      <c r="AC26" s="45"/>
      <c r="AD26" s="45"/>
      <c r="AE26" s="79"/>
      <c r="AF26" s="45"/>
      <c r="AG26" s="45"/>
      <c r="AH26" s="45"/>
      <c r="AI26" s="45"/>
      <c r="AJ26" s="45"/>
      <c r="AK26" s="45"/>
      <c r="AL26" s="45"/>
      <c r="AM26" s="45"/>
      <c r="AN26" s="45"/>
      <c r="AO26" s="45"/>
      <c r="AP26" s="45"/>
      <c r="AQ26" s="45"/>
      <c r="AR26" s="79"/>
      <c r="AS26" s="45"/>
      <c r="AT26" s="45"/>
      <c r="AU26" s="45"/>
      <c r="AV26" s="45"/>
      <c r="AW26" s="45"/>
      <c r="AX26" s="45"/>
      <c r="AY26" s="45"/>
      <c r="AZ26" s="45">
        <f>AZ25*AX25</f>
        <v>96</v>
      </c>
      <c r="BA26" s="45"/>
      <c r="BB26" s="45"/>
      <c r="BC26" s="45"/>
      <c r="BD26" s="45"/>
      <c r="BE26" s="45"/>
      <c r="BF26" s="45"/>
      <c r="BG26" s="46"/>
      <c r="BI26" s="28"/>
    </row>
    <row r="27">
      <c r="B27" s="40"/>
      <c r="C27" s="41" t="s">
        <v>119</v>
      </c>
      <c r="D27" s="38">
        <f>1000*I27</f>
        <v>5000</v>
      </c>
      <c r="E27" s="38" t="s">
        <v>80</v>
      </c>
      <c r="F27" s="42">
        <f>1000*I27</f>
        <v>5000</v>
      </c>
      <c r="G27" s="43"/>
      <c r="H27" s="56" t="s">
        <v>502</v>
      </c>
      <c r="I27" s="57">
        <v>5.0</v>
      </c>
      <c r="J27" s="100" t="s">
        <v>424</v>
      </c>
      <c r="K27" s="100">
        <v>0.0</v>
      </c>
      <c r="L27" s="45"/>
      <c r="M27" s="45"/>
      <c r="N27" s="45"/>
      <c r="O27" s="45"/>
      <c r="P27" s="45"/>
      <c r="Q27" s="45"/>
      <c r="R27" s="45"/>
      <c r="S27" s="101"/>
      <c r="T27" s="101"/>
      <c r="U27" s="45"/>
      <c r="V27" s="45"/>
      <c r="W27" s="45"/>
      <c r="X27" s="45"/>
      <c r="Y27" s="45"/>
      <c r="Z27" s="45"/>
      <c r="AA27" s="45"/>
      <c r="AB27" s="45"/>
      <c r="AC27" s="45"/>
      <c r="AD27" s="45"/>
      <c r="AE27" s="79"/>
      <c r="AF27" s="45"/>
      <c r="AG27" s="45"/>
      <c r="AH27" s="45"/>
      <c r="AI27" s="45"/>
      <c r="AJ27" s="45"/>
      <c r="AK27" s="45"/>
      <c r="AL27" s="45"/>
      <c r="AM27" s="45"/>
      <c r="AN27" s="45"/>
      <c r="AO27" s="45"/>
      <c r="AP27" s="45"/>
      <c r="AQ27" s="45"/>
      <c r="AR27" s="79"/>
      <c r="AS27" s="45"/>
      <c r="AT27" s="45"/>
      <c r="AU27" s="45"/>
      <c r="AV27" s="45"/>
      <c r="AW27" s="45"/>
      <c r="AX27" s="45"/>
      <c r="AY27" s="45"/>
      <c r="AZ27" s="45"/>
      <c r="BA27" s="45"/>
      <c r="BB27" s="45"/>
      <c r="BC27" s="45"/>
      <c r="BD27" s="45"/>
      <c r="BE27" s="45"/>
      <c r="BF27" s="45"/>
      <c r="BG27" s="46"/>
      <c r="BI27" s="28"/>
      <c r="BK27" s="6" t="s">
        <v>618</v>
      </c>
      <c r="BL27" s="6" t="s">
        <v>462</v>
      </c>
      <c r="BM27" s="6"/>
      <c r="BN27" s="6"/>
      <c r="BO27" s="6"/>
      <c r="BQ27" s="6" t="s">
        <v>638</v>
      </c>
      <c r="BR27" s="6" t="s">
        <v>495</v>
      </c>
      <c r="BS27" s="6"/>
      <c r="BT27" s="6"/>
      <c r="BU27" s="6"/>
      <c r="BW27" s="6" t="s">
        <v>639</v>
      </c>
      <c r="BX27" s="6" t="s">
        <v>495</v>
      </c>
      <c r="BY27" s="6"/>
      <c r="BZ27" s="6"/>
      <c r="CA27" s="6"/>
      <c r="CC27" s="6" t="s">
        <v>457</v>
      </c>
      <c r="CD27" s="6" t="s">
        <v>607</v>
      </c>
      <c r="CE27" s="6" t="s">
        <v>545</v>
      </c>
    </row>
    <row r="28">
      <c r="B28" s="40"/>
      <c r="C28" s="41" t="s">
        <v>213</v>
      </c>
      <c r="D28" s="38">
        <f>0.1*I27</f>
        <v>0.5</v>
      </c>
      <c r="E28" s="38"/>
      <c r="F28" s="42"/>
      <c r="G28" s="43"/>
      <c r="H28" s="44"/>
      <c r="I28" s="45"/>
      <c r="J28" s="45"/>
      <c r="K28" s="45"/>
      <c r="L28" s="45"/>
      <c r="M28" s="45"/>
      <c r="N28" s="45"/>
      <c r="O28" s="45"/>
      <c r="P28" s="45"/>
      <c r="Q28" s="45"/>
      <c r="R28" s="45"/>
      <c r="S28" s="45"/>
      <c r="T28" s="45"/>
      <c r="U28" s="45"/>
      <c r="V28" s="45"/>
      <c r="W28" s="45"/>
      <c r="X28" s="45"/>
      <c r="Y28" s="45"/>
      <c r="Z28" s="45"/>
      <c r="AA28" s="45"/>
      <c r="AB28" s="45"/>
      <c r="AC28" s="45"/>
      <c r="AD28" s="45"/>
      <c r="AE28" s="79"/>
      <c r="AF28" s="45"/>
      <c r="AG28" s="45"/>
      <c r="AH28" s="45"/>
      <c r="AI28" s="45"/>
      <c r="AJ28" s="45"/>
      <c r="AK28" s="45"/>
      <c r="AL28" s="45"/>
      <c r="AM28" s="45"/>
      <c r="AN28" s="45"/>
      <c r="AO28" s="45"/>
      <c r="AP28" s="45"/>
      <c r="AQ28" s="45"/>
      <c r="AR28" s="79"/>
      <c r="AS28" s="45"/>
      <c r="AT28" s="45"/>
      <c r="AU28" s="45"/>
      <c r="AV28" s="45"/>
      <c r="AW28" s="45"/>
      <c r="AX28" s="45"/>
      <c r="AY28" s="45"/>
      <c r="AZ28" s="45"/>
      <c r="BA28" s="45"/>
      <c r="BB28" s="45"/>
      <c r="BC28" s="45"/>
      <c r="BD28" s="45"/>
      <c r="BE28" s="45"/>
      <c r="BF28" s="45"/>
      <c r="BG28" s="46"/>
      <c r="BI28" s="28"/>
      <c r="BK28" s="6" t="s">
        <v>457</v>
      </c>
      <c r="BL28" s="6" t="s">
        <v>309</v>
      </c>
      <c r="BM28" s="6" t="s">
        <v>321</v>
      </c>
      <c r="BN28" s="6" t="s">
        <v>349</v>
      </c>
      <c r="BO28" s="6" t="s">
        <v>375</v>
      </c>
      <c r="BQ28" s="6" t="s">
        <v>462</v>
      </c>
      <c r="BR28" s="6" t="s">
        <v>390</v>
      </c>
      <c r="BS28" s="6" t="s">
        <v>393</v>
      </c>
      <c r="BT28" s="6" t="s">
        <v>397</v>
      </c>
      <c r="BU28" s="6" t="s">
        <v>487</v>
      </c>
      <c r="BW28" s="6" t="s">
        <v>462</v>
      </c>
      <c r="BX28" s="6" t="s">
        <v>390</v>
      </c>
      <c r="BY28" s="6" t="s">
        <v>393</v>
      </c>
      <c r="BZ28" s="6" t="s">
        <v>397</v>
      </c>
      <c r="CA28" s="6" t="s">
        <v>487</v>
      </c>
      <c r="CC28" s="6" t="s">
        <v>632</v>
      </c>
      <c r="CD28" s="6">
        <v>5600.0</v>
      </c>
      <c r="CE28" s="6">
        <v>1405511.0</v>
      </c>
    </row>
    <row r="29">
      <c r="B29" s="50"/>
      <c r="C29" s="51"/>
      <c r="D29" s="52"/>
      <c r="E29" s="52"/>
      <c r="F29" s="52"/>
      <c r="G29" s="43"/>
      <c r="H29" s="52"/>
      <c r="I29" s="52"/>
      <c r="J29" s="52"/>
      <c r="K29" s="52"/>
      <c r="L29" s="52"/>
      <c r="M29" s="52"/>
      <c r="N29" s="52"/>
      <c r="O29" s="52"/>
      <c r="P29" s="52"/>
      <c r="Q29" s="52"/>
      <c r="R29" s="52"/>
      <c r="S29" s="52"/>
      <c r="T29" s="52"/>
      <c r="U29" s="52"/>
      <c r="V29" s="52"/>
      <c r="W29" s="52"/>
      <c r="X29" s="52"/>
      <c r="Y29" s="52"/>
      <c r="Z29" s="52"/>
      <c r="AA29" s="52"/>
      <c r="AB29" s="52"/>
      <c r="AC29" s="52"/>
      <c r="AD29" s="52"/>
      <c r="AE29" s="43"/>
      <c r="AF29" s="52"/>
      <c r="AG29" s="52"/>
      <c r="AH29" s="52"/>
      <c r="AI29" s="52"/>
      <c r="AJ29" s="52"/>
      <c r="AK29" s="52"/>
      <c r="AL29" s="52"/>
      <c r="AM29" s="52"/>
      <c r="AN29" s="52"/>
      <c r="AO29" s="52"/>
      <c r="AP29" s="52"/>
      <c r="AQ29" s="52"/>
      <c r="AR29" s="43"/>
      <c r="AS29" s="52"/>
      <c r="AT29" s="52"/>
      <c r="AU29" s="52"/>
      <c r="AV29" s="52"/>
      <c r="AW29" s="52"/>
      <c r="AX29" s="52"/>
      <c r="AY29" s="52"/>
      <c r="AZ29" s="52"/>
      <c r="BA29" s="52"/>
      <c r="BB29" s="52"/>
      <c r="BC29" s="52"/>
      <c r="BD29" s="52"/>
      <c r="BE29" s="52"/>
      <c r="BF29" s="52"/>
      <c r="BG29" s="53"/>
      <c r="BI29" s="28"/>
      <c r="BK29" s="6" t="s">
        <v>632</v>
      </c>
      <c r="BL29" s="6"/>
      <c r="BM29" s="6"/>
      <c r="BN29" s="6"/>
      <c r="BO29" s="6">
        <v>1.0</v>
      </c>
      <c r="BQ29" s="6" t="s">
        <v>309</v>
      </c>
      <c r="BR29" s="6">
        <v>2.0</v>
      </c>
      <c r="BS29" s="6"/>
      <c r="BT29" s="6"/>
      <c r="BU29" s="6">
        <v>2.0</v>
      </c>
      <c r="BW29" s="6" t="s">
        <v>309</v>
      </c>
      <c r="BX29" s="6">
        <v>2.0</v>
      </c>
      <c r="BY29" s="6"/>
      <c r="BZ29" s="6"/>
      <c r="CA29" s="6">
        <v>2.0</v>
      </c>
      <c r="CC29" s="6" t="s">
        <v>633</v>
      </c>
      <c r="CD29" s="6">
        <v>20.0</v>
      </c>
      <c r="CE29" s="6">
        <v>10.0</v>
      </c>
    </row>
    <row r="30">
      <c r="BI30" s="28"/>
      <c r="BK30" s="6" t="s">
        <v>633</v>
      </c>
      <c r="BL30" s="6">
        <v>2.0</v>
      </c>
      <c r="BM30" s="6"/>
      <c r="BN30" s="6"/>
      <c r="BO30" s="6"/>
      <c r="BQ30" s="6" t="s">
        <v>321</v>
      </c>
      <c r="BR30" s="6">
        <v>1.0</v>
      </c>
      <c r="BS30" s="6"/>
      <c r="BT30" s="6"/>
      <c r="BU30" s="6">
        <v>1.0</v>
      </c>
      <c r="BW30" s="6" t="s">
        <v>321</v>
      </c>
      <c r="BX30" s="6">
        <v>6.0</v>
      </c>
      <c r="BY30" s="6"/>
      <c r="BZ30" s="6"/>
      <c r="CA30" s="6">
        <v>6.0</v>
      </c>
      <c r="CC30" s="6" t="s">
        <v>634</v>
      </c>
      <c r="CD30" s="6">
        <v>25006.0</v>
      </c>
      <c r="CE30" s="6">
        <v>105511.0</v>
      </c>
    </row>
    <row r="31">
      <c r="C31" s="4" t="s">
        <v>36</v>
      </c>
      <c r="E31" s="4" t="s">
        <v>213</v>
      </c>
      <c r="G31" s="1" t="s">
        <v>640</v>
      </c>
      <c r="BI31" s="28"/>
      <c r="BK31" s="6" t="s">
        <v>634</v>
      </c>
      <c r="BL31" s="6"/>
      <c r="BM31" s="6">
        <v>1.0</v>
      </c>
      <c r="BN31" s="6"/>
      <c r="BO31" s="6"/>
      <c r="BQ31" s="6" t="s">
        <v>349</v>
      </c>
      <c r="BR31" s="6"/>
      <c r="BS31" s="6">
        <v>2.0</v>
      </c>
      <c r="BT31" s="6">
        <v>1.0</v>
      </c>
      <c r="BU31" s="6">
        <v>3.0</v>
      </c>
      <c r="BW31" s="6" t="s">
        <v>349</v>
      </c>
      <c r="BX31" s="6"/>
      <c r="BY31" s="6">
        <v>2.0</v>
      </c>
      <c r="BZ31" s="6">
        <v>1.0</v>
      </c>
      <c r="CA31" s="6">
        <v>3.0</v>
      </c>
      <c r="CC31" s="6" t="s">
        <v>635</v>
      </c>
      <c r="CD31" s="6">
        <v>4600.0</v>
      </c>
      <c r="CE31" s="6">
        <v>1000.0</v>
      </c>
    </row>
    <row r="32">
      <c r="C32" s="4" t="s">
        <v>80</v>
      </c>
      <c r="E32" s="4" t="s">
        <v>56</v>
      </c>
      <c r="G32" s="1" t="s">
        <v>641</v>
      </c>
      <c r="BI32" s="28"/>
      <c r="BK32" s="6" t="s">
        <v>635</v>
      </c>
      <c r="BL32" s="6"/>
      <c r="BM32" s="6"/>
      <c r="BN32" s="6">
        <v>1.0</v>
      </c>
      <c r="BO32" s="6"/>
      <c r="BQ32" s="6" t="s">
        <v>375</v>
      </c>
      <c r="BR32" s="6"/>
      <c r="BS32" s="6"/>
      <c r="BT32" s="6">
        <v>1.0</v>
      </c>
      <c r="BU32" s="6">
        <v>1.0</v>
      </c>
      <c r="BW32" s="6" t="s">
        <v>375</v>
      </c>
      <c r="BX32" s="6"/>
      <c r="BY32" s="6"/>
      <c r="BZ32" s="6">
        <v>1.0</v>
      </c>
      <c r="CA32" s="6">
        <v>1.0</v>
      </c>
      <c r="CC32" s="6" t="s">
        <v>636</v>
      </c>
      <c r="CD32" s="6">
        <v>4060.0</v>
      </c>
      <c r="CE32" s="6">
        <v>100.0</v>
      </c>
    </row>
    <row r="33">
      <c r="G33" s="1" t="s">
        <v>642</v>
      </c>
      <c r="BI33" s="28"/>
      <c r="BK33" s="6" t="s">
        <v>636</v>
      </c>
      <c r="BL33" s="6"/>
      <c r="BM33" s="6"/>
      <c r="BN33" s="6">
        <v>1.0</v>
      </c>
      <c r="BO33" s="6"/>
      <c r="BQ33" s="6" t="s">
        <v>487</v>
      </c>
      <c r="BR33" s="6">
        <v>3.0</v>
      </c>
      <c r="BS33" s="6">
        <v>2.0</v>
      </c>
      <c r="BT33" s="6">
        <v>2.0</v>
      </c>
      <c r="BU33" s="6">
        <v>7.0</v>
      </c>
      <c r="BW33" s="6" t="s">
        <v>487</v>
      </c>
      <c r="BX33" s="6">
        <v>8.0</v>
      </c>
      <c r="BY33" s="6">
        <v>2.0</v>
      </c>
      <c r="BZ33" s="6">
        <v>2.0</v>
      </c>
      <c r="CA33" s="6">
        <v>12.0</v>
      </c>
      <c r="CC33" s="6" t="s">
        <v>637</v>
      </c>
      <c r="CD33" s="6">
        <v>4060.0</v>
      </c>
      <c r="CE33" s="6">
        <v>100.0</v>
      </c>
    </row>
    <row r="34">
      <c r="G34" s="1" t="s">
        <v>643</v>
      </c>
      <c r="BI34" s="28"/>
      <c r="BK34" s="6" t="s">
        <v>637</v>
      </c>
      <c r="BL34" s="6"/>
      <c r="BM34" s="6"/>
      <c r="BN34" s="6">
        <v>1.0</v>
      </c>
      <c r="BO34" s="6"/>
      <c r="CD34" s="102"/>
    </row>
    <row r="35">
      <c r="BI35" s="28"/>
      <c r="BK35" s="6" t="s">
        <v>487</v>
      </c>
      <c r="BL35" s="6">
        <v>2.0</v>
      </c>
      <c r="BM35" s="6">
        <v>1.0</v>
      </c>
      <c r="BN35" s="6">
        <v>3.0</v>
      </c>
      <c r="BO35" s="6">
        <v>1.0</v>
      </c>
    </row>
    <row r="36">
      <c r="BI36" s="28"/>
    </row>
    <row r="37">
      <c r="BI37" s="28"/>
      <c r="BK37" s="6" t="s">
        <v>622</v>
      </c>
      <c r="BL37" s="6" t="s">
        <v>462</v>
      </c>
      <c r="BM37" s="6"/>
      <c r="BN37" s="6"/>
      <c r="BO37" s="6"/>
      <c r="BQ37" s="6" t="s">
        <v>644</v>
      </c>
      <c r="BR37" s="6" t="s">
        <v>468</v>
      </c>
      <c r="BS37" s="6"/>
      <c r="BT37" s="6"/>
      <c r="BW37" s="6" t="s">
        <v>645</v>
      </c>
      <c r="BX37" s="6" t="s">
        <v>495</v>
      </c>
      <c r="BY37" s="6"/>
      <c r="BZ37" s="6"/>
      <c r="CA37" s="6"/>
      <c r="CC37" s="6" t="s">
        <v>457</v>
      </c>
      <c r="CD37" s="6" t="s">
        <v>620</v>
      </c>
      <c r="CE37" s="6" t="s">
        <v>546</v>
      </c>
    </row>
    <row r="38">
      <c r="BI38" s="28"/>
      <c r="BK38" s="6" t="s">
        <v>457</v>
      </c>
      <c r="BL38" s="6" t="s">
        <v>309</v>
      </c>
      <c r="BM38" s="6" t="s">
        <v>321</v>
      </c>
      <c r="BN38" s="6" t="s">
        <v>349</v>
      </c>
      <c r="BO38" s="6" t="s">
        <v>375</v>
      </c>
      <c r="BQ38" s="6" t="s">
        <v>462</v>
      </c>
      <c r="BR38" s="6" t="s">
        <v>397</v>
      </c>
      <c r="BS38" s="6" t="s">
        <v>405</v>
      </c>
      <c r="BT38" s="6" t="s">
        <v>487</v>
      </c>
      <c r="BW38" s="6" t="s">
        <v>462</v>
      </c>
      <c r="BX38" s="6" t="s">
        <v>390</v>
      </c>
      <c r="BY38" s="6" t="s">
        <v>393</v>
      </c>
      <c r="BZ38" s="6" t="s">
        <v>397</v>
      </c>
      <c r="CA38" s="6" t="s">
        <v>487</v>
      </c>
      <c r="CC38" s="6" t="s">
        <v>632</v>
      </c>
      <c r="CD38" s="6">
        <v>65000.0</v>
      </c>
      <c r="CE38" s="6">
        <v>1405511.0</v>
      </c>
    </row>
    <row r="39">
      <c r="BI39" s="28"/>
      <c r="BK39" s="6" t="s">
        <v>632</v>
      </c>
      <c r="BL39" s="6"/>
      <c r="BM39" s="6"/>
      <c r="BN39" s="6"/>
      <c r="BO39" s="6">
        <v>1.0</v>
      </c>
      <c r="BQ39" s="6" t="s">
        <v>309</v>
      </c>
      <c r="BR39" s="6"/>
      <c r="BS39" s="6">
        <v>2.0</v>
      </c>
      <c r="BT39" s="6">
        <v>2.0</v>
      </c>
      <c r="BW39" s="6" t="s">
        <v>309</v>
      </c>
      <c r="BX39" s="6">
        <v>2.0</v>
      </c>
      <c r="BY39" s="6"/>
      <c r="BZ39" s="6"/>
      <c r="CA39" s="6">
        <v>2.0</v>
      </c>
      <c r="CC39" s="6" t="s">
        <v>633</v>
      </c>
      <c r="CD39" s="6">
        <v>200000.0</v>
      </c>
      <c r="CE39" s="6">
        <v>100000.0</v>
      </c>
    </row>
    <row r="40">
      <c r="BI40" s="28"/>
      <c r="BK40" s="6" t="s">
        <v>633</v>
      </c>
      <c r="BL40" s="6">
        <v>2.0</v>
      </c>
      <c r="BM40" s="6"/>
      <c r="BN40" s="6"/>
      <c r="BO40" s="6"/>
      <c r="BQ40" s="6" t="s">
        <v>321</v>
      </c>
      <c r="BR40" s="6"/>
      <c r="BS40" s="6">
        <v>1.0</v>
      </c>
      <c r="BT40" s="6">
        <v>1.0</v>
      </c>
      <c r="BW40" s="6" t="s">
        <v>321</v>
      </c>
      <c r="BX40" s="6">
        <v>30.0</v>
      </c>
      <c r="BY40" s="6"/>
      <c r="BZ40" s="6"/>
      <c r="CA40" s="6">
        <v>30.0</v>
      </c>
      <c r="CC40" s="6" t="s">
        <v>634</v>
      </c>
      <c r="CD40" s="6">
        <v>85000.0</v>
      </c>
      <c r="CE40" s="6">
        <v>105511.0</v>
      </c>
    </row>
    <row r="41">
      <c r="BI41" s="28"/>
      <c r="BK41" s="6" t="s">
        <v>634</v>
      </c>
      <c r="BL41" s="6"/>
      <c r="BM41" s="6">
        <v>1.0</v>
      </c>
      <c r="BN41" s="6"/>
      <c r="BO41" s="6"/>
      <c r="BQ41" s="6" t="s">
        <v>349</v>
      </c>
      <c r="BR41" s="6">
        <v>3.0</v>
      </c>
      <c r="BS41" s="6"/>
      <c r="BT41" s="6">
        <v>3.0</v>
      </c>
      <c r="BW41" s="6" t="s">
        <v>349</v>
      </c>
      <c r="BX41" s="6"/>
      <c r="BY41" s="6">
        <v>2.0</v>
      </c>
      <c r="BZ41" s="6">
        <v>1.0</v>
      </c>
      <c r="CA41" s="6">
        <v>3.0</v>
      </c>
      <c r="CC41" s="6" t="s">
        <v>635</v>
      </c>
      <c r="CD41" s="6">
        <v>4600.0</v>
      </c>
      <c r="CE41" s="6">
        <v>1000.0</v>
      </c>
    </row>
    <row r="42">
      <c r="BI42" s="28"/>
      <c r="BK42" s="6" t="s">
        <v>635</v>
      </c>
      <c r="BL42" s="6"/>
      <c r="BM42" s="6"/>
      <c r="BN42" s="6">
        <v>1.0</v>
      </c>
      <c r="BO42" s="6"/>
      <c r="BQ42" s="6" t="s">
        <v>375</v>
      </c>
      <c r="BR42" s="6"/>
      <c r="BS42" s="6">
        <v>1.0</v>
      </c>
      <c r="BT42" s="6">
        <v>1.0</v>
      </c>
      <c r="BW42" s="6" t="s">
        <v>375</v>
      </c>
      <c r="BX42" s="6"/>
      <c r="BY42" s="6"/>
      <c r="BZ42" s="6">
        <v>1.0</v>
      </c>
      <c r="CA42" s="6">
        <v>1.0</v>
      </c>
      <c r="CC42" s="6" t="s">
        <v>636</v>
      </c>
      <c r="CD42" s="6">
        <v>4600.0</v>
      </c>
      <c r="CE42" s="6">
        <v>1000.0</v>
      </c>
    </row>
    <row r="43">
      <c r="BI43" s="28"/>
      <c r="BK43" s="6" t="s">
        <v>636</v>
      </c>
      <c r="BL43" s="6"/>
      <c r="BM43" s="6"/>
      <c r="BN43" s="6">
        <v>1.0</v>
      </c>
      <c r="BO43" s="6"/>
      <c r="BQ43" s="6" t="s">
        <v>487</v>
      </c>
      <c r="BR43" s="6">
        <v>3.0</v>
      </c>
      <c r="BS43" s="6">
        <v>4.0</v>
      </c>
      <c r="BT43" s="6">
        <v>7.0</v>
      </c>
      <c r="BW43" s="6" t="s">
        <v>487</v>
      </c>
      <c r="BX43" s="6">
        <v>32.0</v>
      </c>
      <c r="BY43" s="6">
        <v>2.0</v>
      </c>
      <c r="BZ43" s="6">
        <v>2.0</v>
      </c>
      <c r="CA43" s="6">
        <v>36.0</v>
      </c>
      <c r="CC43" s="6" t="s">
        <v>637</v>
      </c>
      <c r="CD43" s="6">
        <v>4600.0</v>
      </c>
      <c r="CE43" s="6">
        <v>1000.0</v>
      </c>
    </row>
    <row r="44">
      <c r="BI44" s="28"/>
      <c r="BK44" s="6" t="s">
        <v>637</v>
      </c>
      <c r="BL44" s="6"/>
      <c r="BM44" s="6"/>
      <c r="BN44" s="6">
        <v>1.0</v>
      </c>
      <c r="BO44" s="6"/>
      <c r="CD44" s="102"/>
    </row>
    <row r="45">
      <c r="BI45" s="28"/>
      <c r="BK45" s="6" t="s">
        <v>487</v>
      </c>
      <c r="BL45" s="6">
        <v>2.0</v>
      </c>
      <c r="BM45" s="6">
        <v>1.0</v>
      </c>
      <c r="BN45" s="6">
        <v>3.0</v>
      </c>
      <c r="BO45" s="6">
        <v>1.0</v>
      </c>
    </row>
    <row r="46">
      <c r="BI46" s="28"/>
    </row>
    <row r="47">
      <c r="BI47" s="28"/>
    </row>
    <row r="48">
      <c r="A48" s="8"/>
      <c r="B48" s="9" t="s">
        <v>646</v>
      </c>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2" t="s">
        <v>490</v>
      </c>
      <c r="BJ48" s="8"/>
      <c r="BK48" s="9" t="s">
        <v>646</v>
      </c>
      <c r="BL48" s="10"/>
      <c r="BM48" s="10"/>
      <c r="BN48" s="10"/>
      <c r="BO48" s="10"/>
      <c r="BP48" s="10"/>
      <c r="BQ48" s="10"/>
      <c r="BR48" s="10"/>
      <c r="BS48" s="10"/>
      <c r="BT48" s="10"/>
      <c r="BU48" s="10"/>
      <c r="BV48" s="10"/>
      <c r="BW48" s="10"/>
      <c r="BX48" s="10"/>
      <c r="BY48" s="10"/>
      <c r="BZ48" s="10"/>
      <c r="CA48" s="10"/>
      <c r="CB48" s="10"/>
      <c r="CC48" s="10"/>
      <c r="CD48" s="10"/>
      <c r="CE48" s="10"/>
      <c r="CF48" s="13"/>
      <c r="CG48" s="126"/>
      <c r="CH48" s="126"/>
      <c r="CI48" s="126"/>
      <c r="CJ48" s="126"/>
      <c r="CK48" s="126"/>
      <c r="CL48" s="126"/>
    </row>
    <row r="49">
      <c r="A49" s="14"/>
      <c r="B49" s="15" t="s">
        <v>539</v>
      </c>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2" t="s">
        <v>492</v>
      </c>
      <c r="BJ49" s="14"/>
      <c r="BK49" s="15" t="s">
        <v>539</v>
      </c>
      <c r="BL49" s="16"/>
      <c r="BM49" s="16"/>
      <c r="BN49" s="16"/>
      <c r="BO49" s="16"/>
      <c r="BP49" s="16"/>
      <c r="BQ49" s="16"/>
      <c r="BR49" s="16"/>
      <c r="BS49" s="16"/>
      <c r="BT49" s="16"/>
      <c r="BU49" s="16"/>
      <c r="BV49" s="16"/>
      <c r="BW49" s="16"/>
      <c r="BX49" s="16"/>
      <c r="BY49" s="16"/>
      <c r="BZ49" s="16"/>
      <c r="CA49" s="16"/>
      <c r="CB49" s="16"/>
      <c r="CC49" s="16"/>
      <c r="CD49" s="16"/>
      <c r="CE49" s="16"/>
      <c r="CF49" s="18"/>
      <c r="CG49" s="127"/>
      <c r="CH49" s="127"/>
      <c r="CI49" s="127"/>
      <c r="CJ49" s="127"/>
      <c r="CK49" s="127"/>
      <c r="CL49" s="127"/>
    </row>
    <row r="50">
      <c r="BI50" s="28"/>
    </row>
    <row r="51">
      <c r="B51" s="89" t="s">
        <v>457</v>
      </c>
      <c r="C51" s="90" t="s">
        <v>458</v>
      </c>
      <c r="D51" s="91" t="s">
        <v>459</v>
      </c>
      <c r="E51" s="92" t="s">
        <v>460</v>
      </c>
      <c r="F51" s="93" t="s">
        <v>461</v>
      </c>
      <c r="G51" s="90"/>
      <c r="H51" s="94" t="s">
        <v>462</v>
      </c>
      <c r="I51" s="90" t="s">
        <v>540</v>
      </c>
      <c r="J51" s="90" t="s">
        <v>541</v>
      </c>
      <c r="K51" s="90" t="s">
        <v>274</v>
      </c>
      <c r="L51" s="90" t="s">
        <v>542</v>
      </c>
      <c r="M51" s="90" t="s">
        <v>543</v>
      </c>
      <c r="N51" s="90" t="s">
        <v>544</v>
      </c>
      <c r="O51" s="90" t="s">
        <v>545</v>
      </c>
      <c r="P51" s="90" t="s">
        <v>546</v>
      </c>
      <c r="Q51" s="90" t="s">
        <v>547</v>
      </c>
      <c r="R51" s="91" t="s">
        <v>493</v>
      </c>
      <c r="S51" s="92" t="s">
        <v>494</v>
      </c>
      <c r="T51" s="90" t="s">
        <v>548</v>
      </c>
      <c r="U51" s="90" t="s">
        <v>549</v>
      </c>
      <c r="V51" s="90" t="s">
        <v>550</v>
      </c>
      <c r="W51" s="90" t="s">
        <v>551</v>
      </c>
      <c r="X51" s="90" t="s">
        <v>552</v>
      </c>
      <c r="Y51" s="92" t="s">
        <v>495</v>
      </c>
      <c r="Z51" s="90" t="s">
        <v>421</v>
      </c>
      <c r="AA51" s="92" t="s">
        <v>553</v>
      </c>
      <c r="AB51" s="90" t="s">
        <v>554</v>
      </c>
      <c r="AC51" s="92" t="s">
        <v>555</v>
      </c>
      <c r="AD51" s="93" t="s">
        <v>467</v>
      </c>
      <c r="AE51" s="90"/>
      <c r="AF51" s="90" t="s">
        <v>556</v>
      </c>
      <c r="AG51" s="94" t="s">
        <v>475</v>
      </c>
      <c r="AH51" s="90" t="s">
        <v>557</v>
      </c>
      <c r="AI51" s="90" t="s">
        <v>558</v>
      </c>
      <c r="AJ51" s="90" t="s">
        <v>559</v>
      </c>
      <c r="AK51" s="92" t="s">
        <v>560</v>
      </c>
      <c r="AL51" s="90" t="s">
        <v>561</v>
      </c>
      <c r="AM51" s="90" t="s">
        <v>562</v>
      </c>
      <c r="AN51" s="92" t="s">
        <v>563</v>
      </c>
      <c r="AO51" s="90" t="s">
        <v>564</v>
      </c>
      <c r="AP51" s="90" t="s">
        <v>565</v>
      </c>
      <c r="AQ51" s="95" t="s">
        <v>566</v>
      </c>
      <c r="AR51" s="90"/>
      <c r="AS51" s="90" t="s">
        <v>468</v>
      </c>
      <c r="AT51" s="92" t="s">
        <v>496</v>
      </c>
      <c r="AU51" s="94" t="s">
        <v>567</v>
      </c>
      <c r="AV51" s="90" t="s">
        <v>568</v>
      </c>
      <c r="AW51" s="90" t="s">
        <v>569</v>
      </c>
      <c r="AX51" s="90" t="s">
        <v>570</v>
      </c>
      <c r="AY51" s="92" t="s">
        <v>571</v>
      </c>
      <c r="AZ51" s="90" t="s">
        <v>572</v>
      </c>
      <c r="BA51" s="90" t="s">
        <v>573</v>
      </c>
      <c r="BB51" s="90" t="s">
        <v>574</v>
      </c>
      <c r="BC51" s="90" t="s">
        <v>575</v>
      </c>
      <c r="BD51" s="92" t="s">
        <v>576</v>
      </c>
      <c r="BE51" s="92" t="s">
        <v>577</v>
      </c>
      <c r="BF51" s="92" t="s">
        <v>578</v>
      </c>
      <c r="BG51" s="96" t="s">
        <v>471</v>
      </c>
      <c r="BH51" s="7"/>
      <c r="BI51" s="28"/>
      <c r="BZ51" s="4"/>
      <c r="CB51" s="4"/>
      <c r="CC51" s="4"/>
      <c r="CE51" s="4"/>
    </row>
    <row r="52">
      <c r="B52" s="31" t="s">
        <v>632</v>
      </c>
      <c r="C52" s="54"/>
      <c r="D52" s="45"/>
      <c r="E52" s="45"/>
      <c r="F52" s="47"/>
      <c r="G52" s="35"/>
      <c r="H52" s="55" t="s">
        <v>375</v>
      </c>
      <c r="I52" s="38">
        <f>VLOOKUP(H52,'Machine List'!$A$1:$I$300,9,FALSE)</f>
        <v>5000</v>
      </c>
      <c r="J52" s="38">
        <f>IF(VLOOKUP(H52,'Machine List'!$A$1:$I$300,5,FALSE)="Multi",IF(VLOOKUP(H52,'Machine List'!$A$1:$I$300,6,FALSE)="Yes",AG52*3*10^Z52,AG52*(2*3)*10^(Z52-1)),0)</f>
        <v>1200</v>
      </c>
      <c r="K52" s="38">
        <f>J52+IF(ISNUMBER(I52),I52,
  SWITCH(
      I52,
      "1T",1*10^Z52,
      "2T",2*10^Z52,
      "3T",3*10^Z52,
      "4T",4*10^Z52,
      "4000+500(7O-5)",4000+500*(7*I54-5),
      1
  )
)</f>
        <v>6200</v>
      </c>
      <c r="L52" s="38">
        <f>IF(VLOOKUP(H52,'Machine List'!$A$1:$I$300,5,FALSE)="Multi",IF(VLOOKUP(H52,'Machine List'!$A$1:$I$300,6,FALSE)="Yes",AU52*3*10^AT52,AU52*(2*3)*10^(AT52-1)),0)</f>
        <v>120000</v>
      </c>
      <c r="M52" s="38">
        <f>L52+IF(ISNUMBER(I52),I52,
  SWITCH(
      I52,
      "1T",1*10^AT52,
      "2T",2*10^AT52,
      "3T",3*10^AT52,
      "4T",4*10^AT52,
      "4000+500(7O-5)",4000+500*(7*I54-5),
      1
  )
)</f>
        <v>125000</v>
      </c>
      <c r="N52" s="38">
        <f>VLOOKUP(H52,'Machine List'!$A$1:$I$300,8,FALSE)</f>
        <v>1405511</v>
      </c>
      <c r="O52" s="38">
        <f>IF(ISNUMBER(N52),N52,10^Z52)</f>
        <v>1405511</v>
      </c>
      <c r="P52" s="38">
        <f>IF(ISNUMBER(N52),N52,10^AT52)</f>
        <v>1405511</v>
      </c>
      <c r="Q52" s="38">
        <f>VLOOKUP(H52,'Machine List'!$A$1:$B$138,2,FALSE)</f>
        <v>1</v>
      </c>
      <c r="R52" s="38" t="s">
        <v>594</v>
      </c>
      <c r="S52" s="45">
        <f>IF(ISNUMBER(Q52),Q52,
  SWITCH(
      Q52,
      "1",1,
      "2T",Z52*2,
      "4T",Z52*4,
      "6T",Z52*6,
      "8T",Z52*8,
      "10T",Z52*10,
      "12T",Z52*12,
      "14T",Z52*14,
      "16T",Z52*16,
      "2(T+1)",2*(Z52+1),
      "1T*C",Z52*J54,
      1
  )
)</f>
        <v>1</v>
      </c>
      <c r="T52" s="38" t="s">
        <v>277</v>
      </c>
      <c r="U52" s="38">
        <f>IF(OR(T52="No",T52=""),S52,T52)</f>
        <v>1</v>
      </c>
      <c r="V52" s="38">
        <f>IF(ISNUMBER(Q52),Q52,
  SWITCH(
      Q52,
      "1",1,
      "2T",AT52*2,
      "4T",AT52*4,
      "6T",AT52*6,
      "8T",AT52*8,
      "10T",AT52*10,
      "12T",AT52*12,
      "14T",AT52*14,
      "16T",AT52*16,
      "2(T+1)",2*(AT52+1),
      "1T*C",AT52*J54,
      1
  )
)</f>
        <v>1</v>
      </c>
      <c r="W52" s="38" t="str">
        <f>T52</f>
        <v>No</v>
      </c>
      <c r="X52" s="38">
        <f>IF(OR(W52="No",W52=""),V52,W52)</f>
        <v>1</v>
      </c>
      <c r="Y52" s="38" t="s">
        <v>397</v>
      </c>
      <c r="Z52" s="38">
        <f>VLOOKUP(Y52,'Item Helper Sheet'!$A$2:$B$16,2,FALSE)</f>
        <v>3</v>
      </c>
      <c r="AA52" s="38">
        <v>256.0</v>
      </c>
      <c r="AB52" s="38">
        <f>3.2*20</f>
        <v>64</v>
      </c>
      <c r="AC52" s="38">
        <f>AB52*I54</f>
        <v>15744</v>
      </c>
      <c r="AD52" s="38">
        <f>AA52*AC52</f>
        <v>4030464</v>
      </c>
      <c r="AE52" s="75"/>
      <c r="AF52" s="38" t="str">
        <f>Y52</f>
        <v>03 - HV</v>
      </c>
      <c r="AG52" s="38">
        <v>2.0</v>
      </c>
      <c r="AH52" s="38">
        <v>1.0</v>
      </c>
      <c r="AI52" s="38">
        <f>AH52*8*4^Z52</f>
        <v>512</v>
      </c>
      <c r="AJ52" s="38">
        <f>MIN(ROUNDDOWN(AI52/AL52,0),U52)</f>
        <v>1</v>
      </c>
      <c r="AK52" s="38">
        <f>AJ52*AG52</f>
        <v>2</v>
      </c>
      <c r="AL52" s="38">
        <f>ROUNDUP(AA52*VLOOKUP(H52,'Machine List'!$A$2:$D$219,4,FALSE),0)</f>
        <v>256</v>
      </c>
      <c r="AM52" s="38">
        <f>AL52*AK52</f>
        <v>512</v>
      </c>
      <c r="AN52" s="38">
        <f>ROUNDUP(AB52*I54,0)</f>
        <v>15744</v>
      </c>
      <c r="AO52" s="38">
        <f>ROUNDUP(AN52/VLOOKUP(H52,'Machine List'!$A$2:$D$219,3,FALSE),0)</f>
        <v>15744</v>
      </c>
      <c r="AP52" s="38">
        <f>ROUNDUP(AO52/AK52,0)</f>
        <v>7872</v>
      </c>
      <c r="AQ52" s="38">
        <f>AM52*AP52</f>
        <v>4030464</v>
      </c>
      <c r="AR52" s="75"/>
      <c r="AS52" s="38" t="s">
        <v>405</v>
      </c>
      <c r="AT52" s="38">
        <f>VLOOKUP(AS52,'Item Helper Sheet'!$A$2:$B$16,2,FALSE)</f>
        <v>5</v>
      </c>
      <c r="AU52" s="38">
        <f>AG52</f>
        <v>2</v>
      </c>
      <c r="AV52" s="38">
        <v>1.0</v>
      </c>
      <c r="AW52" s="38">
        <f>AV52*8*4^AT52</f>
        <v>8192</v>
      </c>
      <c r="AX52" s="38">
        <f>MIN(ROUNDDOWN(AW52/AL52,0),X52)</f>
        <v>1</v>
      </c>
      <c r="AY52" s="38">
        <f>AX52*AU52</f>
        <v>2</v>
      </c>
      <c r="AZ52" s="38">
        <f>AL52</f>
        <v>256</v>
      </c>
      <c r="BA52" s="38">
        <f>MIN(AT52-Z52,IF(AW52&gt;=AZ53*4,
IF(AW52&gt;=AZ53*4^2,
IF(AW52&gt;=AZ53*4^3,
IF(AW52&gt;=AZ53*4^4,
IF(AW52&gt;=AZ53*4^5,
IF(AW52&gt;=AZ53*4^6,
IF(AW52&gt;=AZ53*4^7,
IF(AW52&gt;=AZ53*4^8,
IF(AW52&gt;=AZ53*4^9,
IF(AW52&gt;=AZ53*4^10,
9),
8),
7),
6),
5),
4),
3),
2),
1),
0))</f>
        <v>2</v>
      </c>
      <c r="BB52" s="38">
        <f>AZ52*AX52*4^BA52</f>
        <v>4096</v>
      </c>
      <c r="BC52" s="38">
        <f>BB52*AU52</f>
        <v>8192</v>
      </c>
      <c r="BD52" s="45">
        <f>ROUNDUP(IF(R52="Yes",AN52/(2^((BA52)*2)),AN52/(2^(BA52))),0)</f>
        <v>984</v>
      </c>
      <c r="BE52" s="45">
        <f>ROUNDUP(BD52/VLOOKUP(H52,'Machine List'!$A$2:$D$219,3,FALSE),0)</f>
        <v>984</v>
      </c>
      <c r="BF52" s="45">
        <f>ROUNDUP(BE52/AY52,0)</f>
        <v>492</v>
      </c>
      <c r="BG52" s="46">
        <f>BF52*BC52</f>
        <v>4030464</v>
      </c>
      <c r="BI52" s="28"/>
      <c r="BQ52" s="6" t="s">
        <v>458</v>
      </c>
      <c r="BR52" s="6" t="s">
        <v>497</v>
      </c>
      <c r="BS52" s="7" t="s">
        <v>281</v>
      </c>
      <c r="BT52" s="7" t="s">
        <v>8</v>
      </c>
      <c r="BU52" s="1" t="s">
        <v>9</v>
      </c>
      <c r="CE52" s="98" t="s">
        <v>503</v>
      </c>
      <c r="CF52" s="98" t="s">
        <v>583</v>
      </c>
      <c r="CG52" s="98" t="s">
        <v>498</v>
      </c>
      <c r="CH52" s="98" t="s">
        <v>504</v>
      </c>
      <c r="CI52" s="98" t="s">
        <v>509</v>
      </c>
    </row>
    <row r="53">
      <c r="B53" s="40"/>
      <c r="C53" s="41"/>
      <c r="D53" s="38"/>
      <c r="E53" s="38" t="s">
        <v>69</v>
      </c>
      <c r="F53" s="42">
        <f>10*I54</f>
        <v>2460</v>
      </c>
      <c r="G53" s="43"/>
      <c r="H53" s="99" t="s">
        <v>584</v>
      </c>
      <c r="I53" s="45">
        <f t="array" ref="I53">match(TRUE,ISBLANK(F53:F65),0)-1</f>
        <v>1</v>
      </c>
      <c r="J53" s="100" t="s">
        <v>420</v>
      </c>
      <c r="K53" s="100" t="s">
        <v>585</v>
      </c>
      <c r="L53" s="38"/>
      <c r="M53" s="38"/>
      <c r="N53" s="38"/>
      <c r="O53" s="38"/>
      <c r="P53" s="38"/>
      <c r="Q53" s="38"/>
      <c r="R53" s="101"/>
      <c r="S53" s="101"/>
      <c r="T53" s="101"/>
      <c r="U53" s="45"/>
      <c r="V53" s="45"/>
      <c r="W53" s="45"/>
      <c r="X53" s="45"/>
      <c r="Y53" s="45"/>
      <c r="Z53" s="45"/>
      <c r="AA53" s="45"/>
      <c r="AB53" s="45"/>
      <c r="AC53" s="45"/>
      <c r="AD53" s="45"/>
      <c r="AE53" s="79"/>
      <c r="AF53" s="45"/>
      <c r="AG53" s="45"/>
      <c r="AH53" s="45"/>
      <c r="AI53" s="45"/>
      <c r="AJ53" s="45"/>
      <c r="AK53" s="45"/>
      <c r="AL53" s="45"/>
      <c r="AM53" s="45"/>
      <c r="AN53" s="45"/>
      <c r="AO53" s="45"/>
      <c r="AP53" s="45"/>
      <c r="AQ53" s="45"/>
      <c r="AR53" s="79"/>
      <c r="AS53" s="45"/>
      <c r="AT53" s="45"/>
      <c r="AU53" s="45"/>
      <c r="AV53" s="45"/>
      <c r="AW53" s="45"/>
      <c r="AX53" s="45"/>
      <c r="AY53" s="45"/>
      <c r="AZ53" s="45">
        <f>AZ52*AX52</f>
        <v>256</v>
      </c>
      <c r="BA53" s="45"/>
      <c r="BB53" s="45"/>
      <c r="BC53" s="45"/>
      <c r="BD53" s="45"/>
      <c r="BE53" s="45"/>
      <c r="BF53" s="45"/>
      <c r="BG53" s="46"/>
      <c r="BI53" s="28"/>
      <c r="BQ53" s="6" t="s">
        <v>13</v>
      </c>
      <c r="BR53" s="6">
        <v>0.0</v>
      </c>
      <c r="BS53" s="6">
        <f>VLOOKUP(BQ53,'Item List'!$A$2:$D$300,2,FALSE)</f>
        <v>1</v>
      </c>
      <c r="BT53" s="6">
        <f>VLOOKUP(BQ53,'Item List'!$A$2:$D$300,3,FALSE)</f>
        <v>4</v>
      </c>
      <c r="BU53" s="6">
        <f>VLOOKUP(BQ53,'Item List'!$A$2:$D$300,4,FALSE)</f>
        <v>2</v>
      </c>
      <c r="CE53" s="38" t="s">
        <v>46</v>
      </c>
      <c r="CF53" s="5">
        <f>VLOOKUP(CE53,BQ53:BR73,2,FALSE)</f>
        <v>90000</v>
      </c>
      <c r="CG53" s="5">
        <f>CF68/BO90*20</f>
        <v>151.7450683</v>
      </c>
      <c r="CH53" s="103">
        <f>CF68/BP90*20</f>
        <v>3030.30303</v>
      </c>
      <c r="CI53" s="4">
        <v>1000.0</v>
      </c>
    </row>
    <row r="54">
      <c r="B54" s="40"/>
      <c r="C54" s="41"/>
      <c r="D54" s="38"/>
      <c r="E54" s="38"/>
      <c r="F54" s="42"/>
      <c r="G54" s="43"/>
      <c r="H54" s="56" t="s">
        <v>502</v>
      </c>
      <c r="I54" s="57">
        <v>246.0</v>
      </c>
      <c r="J54" s="100" t="s">
        <v>424</v>
      </c>
      <c r="K54" s="100">
        <v>0.0</v>
      </c>
      <c r="L54" s="45"/>
      <c r="M54" s="45"/>
      <c r="N54" s="45"/>
      <c r="O54" s="45"/>
      <c r="P54" s="45"/>
      <c r="Q54" s="45"/>
      <c r="R54" s="45"/>
      <c r="S54" s="101"/>
      <c r="T54" s="101"/>
      <c r="U54" s="45"/>
      <c r="V54" s="45"/>
      <c r="W54" s="45"/>
      <c r="X54" s="45"/>
      <c r="Y54" s="45"/>
      <c r="Z54" s="45"/>
      <c r="AA54" s="45"/>
      <c r="AB54" s="45"/>
      <c r="AC54" s="45"/>
      <c r="AD54" s="45"/>
      <c r="AE54" s="79"/>
      <c r="AF54" s="45"/>
      <c r="AG54" s="45"/>
      <c r="AH54" s="45"/>
      <c r="AI54" s="45"/>
      <c r="AJ54" s="45"/>
      <c r="AK54" s="45"/>
      <c r="AL54" s="45"/>
      <c r="AM54" s="45"/>
      <c r="AN54" s="45"/>
      <c r="AO54" s="45"/>
      <c r="AP54" s="45"/>
      <c r="AQ54" s="45"/>
      <c r="AR54" s="79"/>
      <c r="AS54" s="45"/>
      <c r="AT54" s="45"/>
      <c r="AU54" s="45"/>
      <c r="AV54" s="45"/>
      <c r="AW54" s="45"/>
      <c r="AX54" s="45"/>
      <c r="AY54" s="45"/>
      <c r="AZ54" s="45"/>
      <c r="BA54" s="45"/>
      <c r="BB54" s="45"/>
      <c r="BC54" s="45"/>
      <c r="BD54" s="45"/>
      <c r="BE54" s="45"/>
      <c r="BF54" s="45"/>
      <c r="BG54" s="46"/>
      <c r="BI54" s="28"/>
      <c r="BQ54" s="6" t="s">
        <v>20</v>
      </c>
      <c r="BR54" s="6">
        <v>0.0</v>
      </c>
      <c r="BS54" s="6">
        <f>VLOOKUP(BQ54,'Item List'!$A$2:$D$300,2,FALSE)</f>
        <v>3</v>
      </c>
      <c r="BT54" s="6">
        <f>VLOOKUP(BQ54,'Item List'!$A$2:$D$300,3,FALSE)</f>
        <v>5</v>
      </c>
      <c r="BU54" s="6">
        <f>VLOOKUP(BQ54,'Item List'!$A$2:$D$300,4,FALSE)</f>
        <v>2</v>
      </c>
      <c r="BY54" s="4"/>
      <c r="BZ54" s="4"/>
      <c r="CE54" s="5"/>
      <c r="CF54" s="5"/>
      <c r="CG54" s="98" t="s">
        <v>505</v>
      </c>
      <c r="CH54" s="98" t="s">
        <v>506</v>
      </c>
      <c r="CI54" s="98" t="s">
        <v>586</v>
      </c>
    </row>
    <row r="55">
      <c r="B55" s="50"/>
      <c r="C55" s="51"/>
      <c r="D55" s="52"/>
      <c r="E55" s="52"/>
      <c r="F55" s="52"/>
      <c r="G55" s="43"/>
      <c r="H55" s="52"/>
      <c r="I55" s="52"/>
      <c r="J55" s="52"/>
      <c r="K55" s="52"/>
      <c r="L55" s="52"/>
      <c r="M55" s="52"/>
      <c r="N55" s="52"/>
      <c r="O55" s="52"/>
      <c r="P55" s="52"/>
      <c r="Q55" s="52"/>
      <c r="R55" s="52"/>
      <c r="S55" s="52"/>
      <c r="T55" s="52"/>
      <c r="U55" s="52"/>
      <c r="V55" s="52"/>
      <c r="W55" s="52"/>
      <c r="X55" s="52"/>
      <c r="Y55" s="52"/>
      <c r="Z55" s="52"/>
      <c r="AA55" s="52"/>
      <c r="AB55" s="52"/>
      <c r="AC55" s="52"/>
      <c r="AD55" s="52"/>
      <c r="AE55" s="43"/>
      <c r="AF55" s="52"/>
      <c r="AG55" s="52"/>
      <c r="AH55" s="52"/>
      <c r="AI55" s="52"/>
      <c r="AJ55" s="52"/>
      <c r="AK55" s="52"/>
      <c r="AL55" s="52"/>
      <c r="AM55" s="52"/>
      <c r="AN55" s="52"/>
      <c r="AO55" s="52"/>
      <c r="AP55" s="52"/>
      <c r="AQ55" s="52"/>
      <c r="AR55" s="43"/>
      <c r="AS55" s="52"/>
      <c r="AT55" s="52"/>
      <c r="AU55" s="52"/>
      <c r="AV55" s="52"/>
      <c r="AW55" s="52"/>
      <c r="AX55" s="52"/>
      <c r="AY55" s="52"/>
      <c r="AZ55" s="52"/>
      <c r="BA55" s="52"/>
      <c r="BB55" s="52"/>
      <c r="BC55" s="52"/>
      <c r="BD55" s="52"/>
      <c r="BE55" s="52"/>
      <c r="BF55" s="52"/>
      <c r="BG55" s="53"/>
      <c r="BI55" s="28"/>
      <c r="BQ55" s="6" t="s">
        <v>36</v>
      </c>
      <c r="BR55" s="6">
        <v>2000.0</v>
      </c>
      <c r="BS55" s="6">
        <f>VLOOKUP(BQ55,'Item List'!$A$2:$D$300,2,FALSE)</f>
        <v>2</v>
      </c>
      <c r="BT55" s="6">
        <f>VLOOKUP(BQ55,'Item List'!$A$2:$D$300,3,FALSE)</f>
        <v>3</v>
      </c>
      <c r="BU55" s="6">
        <f>VLOOKUP(BQ55,'Item List'!$A$2:$D$300,4,FALSE)</f>
        <v>3</v>
      </c>
      <c r="BY55" s="7"/>
      <c r="CE55" s="5"/>
      <c r="CF55" s="5"/>
      <c r="CG55" s="5">
        <f>BO90/CF53</f>
        <v>0.1318</v>
      </c>
      <c r="CH55" s="5">
        <f>BP90/CF53</f>
        <v>0.0066</v>
      </c>
      <c r="CI55" s="5">
        <f>1/CI53*20</f>
        <v>0.02</v>
      </c>
    </row>
    <row r="56">
      <c r="B56" s="31" t="s">
        <v>633</v>
      </c>
      <c r="C56" s="54"/>
      <c r="D56" s="45"/>
      <c r="E56" s="45"/>
      <c r="F56" s="47"/>
      <c r="G56" s="35"/>
      <c r="H56" s="55" t="s">
        <v>309</v>
      </c>
      <c r="I56" s="38" t="str">
        <f>VLOOKUP(H56,'Machine List'!$A$1:$I$300,9,FALSE)</f>
        <v>1T</v>
      </c>
      <c r="J56" s="38">
        <f>IF(VLOOKUP(H56,'Machine List'!$A$1:$I$300,5,FALSE)="Multi",IF(VLOOKUP(H56,'Machine List'!$A$1:$I$300,6,FALSE)="Yes",AG56*3*10^Z56,AG56*(2*3)*10^(Z56-1)),0)</f>
        <v>0</v>
      </c>
      <c r="K56" s="38">
        <f>J56+IF(ISNUMBER(I56),I56,
  SWITCH(
      I56,
      "1T",1*10^Z56,
      "2T",2*10^Z56,
      "3T",3*10^Z56,
      "4T",4*10^Z56,
      "4000+500(7O-5)",4000+500*(7*I58-5),
      1
  )
)</f>
        <v>10</v>
      </c>
      <c r="L56" s="38">
        <f>IF(VLOOKUP(H56,'Machine List'!$A$1:$I$300,5,FALSE)="Multi",IF(VLOOKUP(H56,'Machine List'!$A$1:$I$300,6,FALSE)="Yes",AU56*3*10^AT56,AU56*(2*3)*10^(AT56-1)),0)</f>
        <v>0</v>
      </c>
      <c r="M56" s="38">
        <f>L56+IF(ISNUMBER(I56),I56,
  SWITCH(
      I56,
      "1T",1*10^AT56,
      "2T",2*10^AT56,
      "3T",3*10^AT56,
      "4T",4*10^AT56,
      "4000+500(7O-5)",4000+500*(7*I58-5),
      1
  )
)</f>
        <v>100000</v>
      </c>
      <c r="N56" s="38" t="str">
        <f>VLOOKUP(H56,'Machine List'!$A$1:$I$300,8,FALSE)</f>
        <v>Tier</v>
      </c>
      <c r="O56" s="38">
        <f>IF(ISNUMBER(N56),N56,10^Z56)</f>
        <v>10</v>
      </c>
      <c r="P56" s="38">
        <f>IF(ISNUMBER(N56),N56,10^AT56)</f>
        <v>100000</v>
      </c>
      <c r="Q56" s="38">
        <f>VLOOKUP(H56,'Machine List'!$A$1:$B$138,2,FALSE)</f>
        <v>1</v>
      </c>
      <c r="R56" s="38" t="s">
        <v>277</v>
      </c>
      <c r="S56" s="45">
        <f>IF(ISNUMBER(Q56),Q56,
  SWITCH(
      Q56,
      "1",1,
      "2T",Z56*2,
      "4T",Z56*4,
      "6T",Z56*6,
      "8T",Z56*8,
      "10T",Z56*10,
      "12T",Z56*12,
      "14T",Z56*14,
      "16T",Z56*16,
      "2(T+1)",2*(Z56+1),
      "1T*C",Z56*J58,
      1
  )
)</f>
        <v>1</v>
      </c>
      <c r="T56" s="38" t="s">
        <v>277</v>
      </c>
      <c r="U56" s="38">
        <f>IF(OR(T56="No",T56=""),S56,T56)</f>
        <v>1</v>
      </c>
      <c r="V56" s="38">
        <f>IF(ISNUMBER(Q56),Q56,
  SWITCH(
      Q56,
      "1",1,
      "2T",AT56*2,
      "4T",AT56*4,
      "6T",AT56*6,
      "8T",AT56*8,
      "10T",AT56*10,
      "12T",AT56*12,
      "14T",AT56*14,
      "16T",AT56*16,
      "2(T+1)",2*(AT56+1),
      "1T*C",AT56*J58,
      1
  )
)</f>
        <v>1</v>
      </c>
      <c r="W56" s="38" t="str">
        <f>T56</f>
        <v>No</v>
      </c>
      <c r="X56" s="38">
        <f>IF(OR(W56="No",W56=""),V56,W56)</f>
        <v>1</v>
      </c>
      <c r="Y56" s="38" t="s">
        <v>390</v>
      </c>
      <c r="Z56" s="38">
        <f>VLOOKUP(Y56,'Item Helper Sheet'!$A$2:$B$16,2,FALSE)</f>
        <v>1</v>
      </c>
      <c r="AA56" s="38">
        <v>4.0</v>
      </c>
      <c r="AB56" s="38">
        <f>0.8*20</f>
        <v>16</v>
      </c>
      <c r="AC56" s="38">
        <f>AB56*I58</f>
        <v>32640</v>
      </c>
      <c r="AD56" s="38">
        <f>AA56*AC56</f>
        <v>130560</v>
      </c>
      <c r="AE56" s="75"/>
      <c r="AF56" s="38" t="str">
        <f>Y56</f>
        <v>01 - LV</v>
      </c>
      <c r="AG56" s="38">
        <v>4.0</v>
      </c>
      <c r="AH56" s="38">
        <v>1.0</v>
      </c>
      <c r="AI56" s="38">
        <f>AH56*8*4^Z56</f>
        <v>32</v>
      </c>
      <c r="AJ56" s="38">
        <f>MIN(ROUNDDOWN(AI56/AL56,0),U56)</f>
        <v>1</v>
      </c>
      <c r="AK56" s="38">
        <f>IF(OR(T56="No",T56=""),AG56*S56,AG56*T56)</f>
        <v>4</v>
      </c>
      <c r="AL56" s="38">
        <f>ROUNDUP(AA56*VLOOKUP(H56,'Machine List'!$A$2:$D$219,4,FALSE),0)</f>
        <v>4</v>
      </c>
      <c r="AM56" s="38">
        <f>AL56*AK56</f>
        <v>16</v>
      </c>
      <c r="AN56" s="38">
        <f>ROUNDUP(AB56*I58,0)</f>
        <v>32640</v>
      </c>
      <c r="AO56" s="38">
        <f>ROUNDUP(AN56/VLOOKUP(H56,'Machine List'!$A$2:$D$219,3,FALSE),0)</f>
        <v>32640</v>
      </c>
      <c r="AP56" s="38">
        <f>ROUNDUP(AO56/AK56,0)</f>
        <v>8160</v>
      </c>
      <c r="AQ56" s="38">
        <f>AM56*AP56</f>
        <v>130560</v>
      </c>
      <c r="AR56" s="75"/>
      <c r="AS56" s="38" t="s">
        <v>405</v>
      </c>
      <c r="AT56" s="38">
        <f>VLOOKUP(AS56,'Item Helper Sheet'!$A$2:$B$16,2,FALSE)</f>
        <v>5</v>
      </c>
      <c r="AU56" s="38">
        <f>AG56</f>
        <v>4</v>
      </c>
      <c r="AV56" s="38">
        <v>1.0</v>
      </c>
      <c r="AW56" s="38">
        <f>AV56*8*4^AT56</f>
        <v>8192</v>
      </c>
      <c r="AX56" s="38">
        <f>MIN(ROUNDDOWN(AW56/AL56,0),X56)</f>
        <v>1</v>
      </c>
      <c r="AY56" s="38">
        <f>AX56*AU56</f>
        <v>4</v>
      </c>
      <c r="AZ56" s="38">
        <f>AL56</f>
        <v>4</v>
      </c>
      <c r="BA56" s="38">
        <f>MIN(AT56-Z56,IF(AW56&gt;=AZ57*4,
IF(AW56&gt;=AZ57*4^2,
IF(AW56&gt;=AZ57*4^3,
IF(AW56&gt;=AZ57*4^4,
IF(AW56&gt;=AZ57*4^5,
IF(AW56&gt;=AZ57*4^6,
IF(AW56&gt;=AZ57*4^7,
IF(AW56&gt;=AZ57*4^8,
IF(AW56&gt;=AZ57*4^9,
IF(AW56&gt;=AZ57*4^10,
9),
8),
7),
6),
5),
4),
3),
2),
1),
0))</f>
        <v>4</v>
      </c>
      <c r="BB56" s="38">
        <f>AZ56*AX56*4^BA56</f>
        <v>1024</v>
      </c>
      <c r="BC56" s="38">
        <f>BB56*AU56</f>
        <v>4096</v>
      </c>
      <c r="BD56" s="45">
        <f>ROUNDUP(IF(R56="Yes",AN56/(2^((BA56)*2)),AN56/(2^(BA56))),0)</f>
        <v>2040</v>
      </c>
      <c r="BE56" s="45">
        <f>ROUNDUP(BD56/VLOOKUP(H56,'Machine List'!$A$2:$D$219,3,FALSE),0)</f>
        <v>2040</v>
      </c>
      <c r="BF56" s="45">
        <f>ROUNDUP(BE56/AY56,0)</f>
        <v>510</v>
      </c>
      <c r="BG56" s="46">
        <f>BF56*BC56</f>
        <v>2088960</v>
      </c>
      <c r="BI56" s="28"/>
      <c r="BQ56" s="6" t="s">
        <v>45</v>
      </c>
      <c r="BR56" s="6">
        <v>-1000.0</v>
      </c>
      <c r="BS56" s="6">
        <f>VLOOKUP(BQ56,'Item List'!$A$2:$D$300,2,FALSE)</f>
        <v>1</v>
      </c>
      <c r="BT56" s="6">
        <f>VLOOKUP(BQ56,'Item List'!$A$2:$D$300,3,FALSE)</f>
        <v>3</v>
      </c>
      <c r="BU56" s="6">
        <f>VLOOKUP(BQ56,'Item List'!$A$2:$D$300,4,FALSE)</f>
        <v>2</v>
      </c>
      <c r="CE56" s="5"/>
      <c r="CF56" s="5"/>
      <c r="CG56" s="98" t="s">
        <v>587</v>
      </c>
      <c r="CH56" s="98" t="s">
        <v>588</v>
      </c>
    </row>
    <row r="57">
      <c r="B57" s="40"/>
      <c r="C57" s="41" t="s">
        <v>69</v>
      </c>
      <c r="D57" s="38">
        <f>1*I58</f>
        <v>2040</v>
      </c>
      <c r="E57" s="38" t="s">
        <v>70</v>
      </c>
      <c r="F57" s="42">
        <f>50*I58</f>
        <v>102000</v>
      </c>
      <c r="G57" s="43"/>
      <c r="H57" s="99" t="s">
        <v>584</v>
      </c>
      <c r="I57" s="45">
        <f t="array" ref="I57">match(TRUE,ISBLANK(F57:F69),0)-1</f>
        <v>1</v>
      </c>
      <c r="J57" s="100" t="s">
        <v>420</v>
      </c>
      <c r="K57" s="100" t="s">
        <v>585</v>
      </c>
      <c r="L57" s="38"/>
      <c r="M57" s="38"/>
      <c r="N57" s="38"/>
      <c r="O57" s="38"/>
      <c r="P57" s="38"/>
      <c r="Q57" s="38"/>
      <c r="R57" s="101"/>
      <c r="S57" s="101"/>
      <c r="T57" s="101"/>
      <c r="U57" s="45"/>
      <c r="V57" s="45"/>
      <c r="W57" s="45"/>
      <c r="X57" s="45"/>
      <c r="Y57" s="45"/>
      <c r="Z57" s="45"/>
      <c r="AA57" s="45"/>
      <c r="AB57" s="45"/>
      <c r="AC57" s="45"/>
      <c r="AD57" s="45"/>
      <c r="AE57" s="79"/>
      <c r="AF57" s="45"/>
      <c r="AG57" s="45"/>
      <c r="AH57" s="45"/>
      <c r="AI57" s="45"/>
      <c r="AJ57" s="45"/>
      <c r="AK57" s="45"/>
      <c r="AL57" s="45"/>
      <c r="AM57" s="45"/>
      <c r="AN57" s="45"/>
      <c r="AO57" s="45"/>
      <c r="AP57" s="45"/>
      <c r="AQ57" s="45"/>
      <c r="AR57" s="79"/>
      <c r="AS57" s="45"/>
      <c r="AT57" s="45"/>
      <c r="AU57" s="45"/>
      <c r="AV57" s="45"/>
      <c r="AW57" s="45"/>
      <c r="AX57" s="45"/>
      <c r="AY57" s="45"/>
      <c r="AZ57" s="45">
        <f>AZ56*AX56</f>
        <v>4</v>
      </c>
      <c r="BA57" s="45"/>
      <c r="BB57" s="45"/>
      <c r="BC57" s="45"/>
      <c r="BD57" s="45"/>
      <c r="BE57" s="45"/>
      <c r="BF57" s="45"/>
      <c r="BG57" s="46"/>
      <c r="BI57" s="28"/>
      <c r="BQ57" s="6" t="s">
        <v>46</v>
      </c>
      <c r="BR57" s="6">
        <v>90000.0</v>
      </c>
      <c r="BS57" s="6">
        <f>VLOOKUP(BQ57,'Item List'!$A$2:$D$300,2,FALSE)</f>
        <v>3</v>
      </c>
      <c r="BT57" s="6">
        <f>VLOOKUP(BQ57,'Item List'!$A$2:$D$300,3,FALSE)</f>
        <v>4</v>
      </c>
      <c r="BU57" s="6">
        <f>VLOOKUP(BQ57,'Item List'!$A$2:$D$300,4,FALSE)</f>
        <v>3</v>
      </c>
      <c r="CE57" s="5"/>
      <c r="CF57" s="5"/>
      <c r="CG57" s="103">
        <f>BL89/CF53</f>
        <v>93.64093333</v>
      </c>
      <c r="CH57" s="103">
        <f>BM89/CF53</f>
        <v>168.0896</v>
      </c>
      <c r="CI57" s="5"/>
    </row>
    <row r="58">
      <c r="B58" s="40"/>
      <c r="C58" s="41"/>
      <c r="D58" s="38"/>
      <c r="E58" s="38"/>
      <c r="F58" s="42"/>
      <c r="G58" s="43"/>
      <c r="H58" s="56" t="s">
        <v>502</v>
      </c>
      <c r="I58" s="57">
        <v>2040.0</v>
      </c>
      <c r="J58" s="100" t="s">
        <v>424</v>
      </c>
      <c r="K58" s="100">
        <v>0.0</v>
      </c>
      <c r="L58" s="45"/>
      <c r="M58" s="45"/>
      <c r="N58" s="45"/>
      <c r="O58" s="45"/>
      <c r="P58" s="45"/>
      <c r="Q58" s="45"/>
      <c r="R58" s="45"/>
      <c r="S58" s="101"/>
      <c r="T58" s="101"/>
      <c r="U58" s="45"/>
      <c r="V58" s="45"/>
      <c r="W58" s="45"/>
      <c r="X58" s="45"/>
      <c r="Y58" s="45"/>
      <c r="Z58" s="45"/>
      <c r="AA58" s="45"/>
      <c r="AB58" s="45"/>
      <c r="AC58" s="45"/>
      <c r="AD58" s="45"/>
      <c r="AE58" s="79"/>
      <c r="AF58" s="45"/>
      <c r="AG58" s="45"/>
      <c r="AH58" s="45"/>
      <c r="AI58" s="45"/>
      <c r="AJ58" s="45"/>
      <c r="AK58" s="45"/>
      <c r="AL58" s="45"/>
      <c r="AM58" s="45"/>
      <c r="AN58" s="45"/>
      <c r="AO58" s="45"/>
      <c r="AP58" s="45"/>
      <c r="AQ58" s="45"/>
      <c r="AR58" s="79"/>
      <c r="AS58" s="45"/>
      <c r="AT58" s="45"/>
      <c r="AU58" s="45"/>
      <c r="AV58" s="45"/>
      <c r="AW58" s="45"/>
      <c r="AX58" s="45"/>
      <c r="AY58" s="45"/>
      <c r="AZ58" s="45"/>
      <c r="BA58" s="45"/>
      <c r="BB58" s="45"/>
      <c r="BC58" s="45"/>
      <c r="BD58" s="45"/>
      <c r="BE58" s="45"/>
      <c r="BF58" s="45"/>
      <c r="BG58" s="46"/>
      <c r="BI58" s="28"/>
      <c r="BQ58" s="6" t="s">
        <v>55</v>
      </c>
      <c r="BR58" s="6">
        <v>-40.0</v>
      </c>
      <c r="BS58" s="6">
        <f>VLOOKUP(BQ58,'Item List'!$A$2:$D$300,2,FALSE)</f>
        <v>1</v>
      </c>
      <c r="BT58" s="6">
        <f>VLOOKUP(BQ58,'Item List'!$A$2:$D$300,3,FALSE)</f>
        <v>4</v>
      </c>
      <c r="BU58" s="6">
        <f>VLOOKUP(BQ58,'Item List'!$A$2:$D$300,4,FALSE)</f>
        <v>2</v>
      </c>
    </row>
    <row r="59">
      <c r="B59" s="50"/>
      <c r="C59" s="51"/>
      <c r="D59" s="52"/>
      <c r="E59" s="52"/>
      <c r="F59" s="52"/>
      <c r="G59" s="43"/>
      <c r="H59" s="52"/>
      <c r="I59" s="52"/>
      <c r="J59" s="52"/>
      <c r="K59" s="52"/>
      <c r="L59" s="52"/>
      <c r="M59" s="52"/>
      <c r="N59" s="52"/>
      <c r="O59" s="52"/>
      <c r="P59" s="52"/>
      <c r="Q59" s="52"/>
      <c r="R59" s="52"/>
      <c r="S59" s="52"/>
      <c r="T59" s="52"/>
      <c r="U59" s="52"/>
      <c r="V59" s="52"/>
      <c r="W59" s="52"/>
      <c r="X59" s="52"/>
      <c r="Y59" s="52"/>
      <c r="Z59" s="52"/>
      <c r="AA59" s="52"/>
      <c r="AB59" s="52"/>
      <c r="AC59" s="52"/>
      <c r="AD59" s="52"/>
      <c r="AE59" s="43"/>
      <c r="AF59" s="52"/>
      <c r="AG59" s="52"/>
      <c r="AH59" s="52"/>
      <c r="AI59" s="52"/>
      <c r="AJ59" s="52"/>
      <c r="AK59" s="52"/>
      <c r="AL59" s="52"/>
      <c r="AM59" s="52"/>
      <c r="AN59" s="52"/>
      <c r="AO59" s="52"/>
      <c r="AP59" s="52"/>
      <c r="AQ59" s="52"/>
      <c r="AR59" s="43"/>
      <c r="AS59" s="52"/>
      <c r="AT59" s="52"/>
      <c r="AU59" s="52"/>
      <c r="AV59" s="52"/>
      <c r="AW59" s="52"/>
      <c r="AX59" s="52"/>
      <c r="AY59" s="52"/>
      <c r="AZ59" s="52"/>
      <c r="BA59" s="52"/>
      <c r="BB59" s="52"/>
      <c r="BC59" s="52"/>
      <c r="BD59" s="52"/>
      <c r="BE59" s="52"/>
      <c r="BF59" s="52"/>
      <c r="BG59" s="53"/>
      <c r="BI59" s="28"/>
      <c r="BQ59" s="6" t="s">
        <v>56</v>
      </c>
      <c r="BR59" s="6">
        <v>-20000.0</v>
      </c>
      <c r="BS59" s="6">
        <f>VLOOKUP(BQ59,'Item List'!$A$2:$D$300,2,FALSE)</f>
        <v>1</v>
      </c>
      <c r="BT59" s="6">
        <f>VLOOKUP(BQ59,'Item List'!$A$2:$D$300,3,FALSE)</f>
        <v>4</v>
      </c>
      <c r="BU59" s="6">
        <f>VLOOKUP(BQ59,'Item List'!$A$2:$D$300,4,FALSE)</f>
        <v>1</v>
      </c>
      <c r="CE59" s="108" t="s">
        <v>595</v>
      </c>
      <c r="CF59" s="108" t="s">
        <v>596</v>
      </c>
    </row>
    <row r="60">
      <c r="B60" s="31" t="s">
        <v>634</v>
      </c>
      <c r="C60" s="54"/>
      <c r="D60" s="45"/>
      <c r="E60" s="45"/>
      <c r="F60" s="47"/>
      <c r="G60" s="35"/>
      <c r="H60" s="55" t="s">
        <v>321</v>
      </c>
      <c r="I60" s="38">
        <f>VLOOKUP(H60,'Machine List'!$A$1:$I$300,9,FALSE)</f>
        <v>25000</v>
      </c>
      <c r="J60" s="38">
        <f>IF(VLOOKUP(H60,'Machine List'!$A$1:$I$300,5,FALSE)="Multi",IF(VLOOKUP(H60,'Machine List'!$A$1:$I$300,6,FALSE)="Yes",AG60*3*10^Z60,AG60*(2*3)*10^(Z60-1)),0)</f>
        <v>6</v>
      </c>
      <c r="K60" s="38">
        <f>J60+IF(ISNUMBER(I60),I60,
  SWITCH(
      I60,
      "1T",1*10^Z60,
      "2T",2*10^Z60,
      "3T",3*10^Z60,
      "4T",4*10^Z60,
      "4000+500(7O-5)",4000+500*(7*I62-5),
      1
  )
)</f>
        <v>25006</v>
      </c>
      <c r="L60" s="38">
        <f>IF(VLOOKUP(H60,'Machine List'!$A$1:$I$300,5,FALSE)="Multi",IF(VLOOKUP(H60,'Machine List'!$A$1:$I$300,6,FALSE)="Yes",AU60*3*10^AT60,AU60*(2*3)*10^(AT60-1)),0)</f>
        <v>60000</v>
      </c>
      <c r="M60" s="38">
        <f>L60+IF(ISNUMBER(I60),I60,
  SWITCH(
      I60,
      "1T",1*10^AT60,
      "2T",2*10^AT60,
      "3T",3*10^AT60,
      "4T",4*10^AT60,
      "4000+500(7O-5)",4000+500*(7*I62-5),
      1
  )
)</f>
        <v>85000</v>
      </c>
      <c r="N60" s="38">
        <f>VLOOKUP(H60,'Machine List'!$A$1:$I$300,8,FALSE)</f>
        <v>105511</v>
      </c>
      <c r="O60" s="38">
        <f>IF(ISNUMBER(N60),N60,10^Z60)</f>
        <v>105511</v>
      </c>
      <c r="P60" s="38">
        <f>IF(ISNUMBER(N60),N60,10^AT60)</f>
        <v>105511</v>
      </c>
      <c r="Q60" s="38" t="str">
        <f>VLOOKUP(H60,'Machine List'!$A$1:$B$138,2,FALSE)</f>
        <v>6T</v>
      </c>
      <c r="R60" s="38" t="s">
        <v>277</v>
      </c>
      <c r="S60" s="45">
        <f>IF(ISNUMBER(Q60),Q60,
  SWITCH(
      Q60,
      "1",1,
      "2T",Z60*2,
      "4T",Z60*4,
      "6T",Z60*6,
      "8T",Z60*8,
      "10T",Z60*10,
      "12T",Z60*12,
      "14T",Z60*14,
      "16T",Z60*16,
      "2(T+1)",2*(Z60+1),
      "1T*C",Z60*J62,
      1
  )
)</f>
        <v>6</v>
      </c>
      <c r="T60" s="38" t="s">
        <v>277</v>
      </c>
      <c r="U60" s="38">
        <f>IF(OR(T60="No",T60=""),S60,T60)</f>
        <v>6</v>
      </c>
      <c r="V60" s="38">
        <f>IF(ISNUMBER(Q60),Q60,
  SWITCH(
      Q60,
      "1",1,
      "2T",AT60*2,
      "4T",AT60*4,
      "6T",AT60*6,
      "8T",AT60*8,
      "10T",AT60*10,
      "12T",AT60*12,
      "14T",AT60*14,
      "16T",AT60*16,
      "2(T+1)",2*(AT60+1),
      "1T*C",AT60*J62,
      1
  )
)</f>
        <v>30</v>
      </c>
      <c r="W60" s="38" t="str">
        <f>T60</f>
        <v>No</v>
      </c>
      <c r="X60" s="38">
        <f>IF(OR(W60="No",W60=""),V60,W60)</f>
        <v>30</v>
      </c>
      <c r="Y60" s="38" t="s">
        <v>390</v>
      </c>
      <c r="Z60" s="38">
        <f>VLOOKUP(Y60,'Item Helper Sheet'!$A$2:$B$16,2,FALSE)</f>
        <v>1</v>
      </c>
      <c r="AA60" s="38">
        <v>5.0</v>
      </c>
      <c r="AB60" s="38">
        <f>19.2*20</f>
        <v>384</v>
      </c>
      <c r="AC60" s="38">
        <f>AB60*I62</f>
        <v>160128</v>
      </c>
      <c r="AD60" s="38">
        <f>AA60*AC60</f>
        <v>800640</v>
      </c>
      <c r="AE60" s="75"/>
      <c r="AF60" s="38" t="str">
        <f>Y60</f>
        <v>01 - LV</v>
      </c>
      <c r="AG60" s="38">
        <v>1.0</v>
      </c>
      <c r="AH60" s="38">
        <v>1.0</v>
      </c>
      <c r="AI60" s="38">
        <f>AH60*8*4^Z60</f>
        <v>32</v>
      </c>
      <c r="AJ60" s="38">
        <f>MIN(ROUNDDOWN(AI60/AL60,0),U60)</f>
        <v>6</v>
      </c>
      <c r="AK60" s="38">
        <f>IF(OR(T60="No",T60=""),AG60*S60,AG60*T60)</f>
        <v>6</v>
      </c>
      <c r="AL60" s="38">
        <f>ROUNDUP(AA60*VLOOKUP(H60,'Machine List'!$A$2:$D$219,4,FALSE),0)</f>
        <v>5</v>
      </c>
      <c r="AM60" s="38">
        <f>AL60*AK60</f>
        <v>30</v>
      </c>
      <c r="AN60" s="38">
        <f>ROUNDUP(AB60*I62,0)</f>
        <v>160128</v>
      </c>
      <c r="AO60" s="38">
        <f>ROUNDUP(AN60/VLOOKUP(H60,'Machine List'!$A$2:$D$219,3,FALSE),0)</f>
        <v>71168</v>
      </c>
      <c r="AP60" s="38">
        <f>ROUNDUP(AO60/AK60,0)</f>
        <v>11862</v>
      </c>
      <c r="AQ60" s="38">
        <f>AM60*AP60</f>
        <v>355860</v>
      </c>
      <c r="AR60" s="75"/>
      <c r="AS60" s="38" t="s">
        <v>405</v>
      </c>
      <c r="AT60" s="38">
        <f>VLOOKUP(AS60,'Item Helper Sheet'!$A$2:$B$16,2,FALSE)</f>
        <v>5</v>
      </c>
      <c r="AU60" s="38">
        <f>AG60</f>
        <v>1</v>
      </c>
      <c r="AV60" s="38">
        <v>1.0</v>
      </c>
      <c r="AW60" s="38">
        <f>AV60*8*4^AT60</f>
        <v>8192</v>
      </c>
      <c r="AX60" s="38">
        <f>MIN(ROUNDDOWN(AW60/AL60,0),X60)</f>
        <v>30</v>
      </c>
      <c r="AY60" s="38">
        <f>AX60*AU60</f>
        <v>30</v>
      </c>
      <c r="AZ60" s="38">
        <f>AL60</f>
        <v>5</v>
      </c>
      <c r="BA60" s="38">
        <f>MIN(AT60-Z60,IF(AW60&gt;=AZ61*4,
IF(AW60&gt;=AZ61*4^2,
IF(AW60&gt;=AZ61*4^3,
IF(AW60&gt;=AZ61*4^4,
IF(AW60&gt;=AZ61*4^5,
IF(AW60&gt;=AZ61*4^6,
IF(AW60&gt;=AZ61*4^7,
IF(AW60&gt;=AZ61*4^8,
IF(AW60&gt;=AZ61*4^9,
IF(AW60&gt;=AZ61*4^10,
9),
8),
7),
6),
5),
4),
3),
2),
1),
0))</f>
        <v>2</v>
      </c>
      <c r="BB60" s="38">
        <f>AZ60*AX60*4^BA60</f>
        <v>2400</v>
      </c>
      <c r="BC60" s="38">
        <f>BB60*AU60</f>
        <v>2400</v>
      </c>
      <c r="BD60" s="45">
        <f>ROUNDUP(IF(R60="Yes",AN60/(2^((BA60)*2)),AN60/(2^(BA60))),0)</f>
        <v>40032</v>
      </c>
      <c r="BE60" s="45">
        <f>ROUNDUP(BD60/VLOOKUP(H60,'Machine List'!$A$2:$D$219,3,FALSE),0)</f>
        <v>17792</v>
      </c>
      <c r="BF60" s="45">
        <f>ROUNDUP(BE60/AY60,0)</f>
        <v>594</v>
      </c>
      <c r="BG60" s="46">
        <f>BF60*BC60</f>
        <v>1425600</v>
      </c>
      <c r="BI60" s="28"/>
      <c r="BQ60" s="6" t="s">
        <v>63</v>
      </c>
      <c r="BR60" s="6">
        <v>0.0</v>
      </c>
      <c r="BS60" s="6">
        <f>VLOOKUP(BQ60,'Item List'!$A$2:$D$300,2,FALSE)</f>
        <v>2</v>
      </c>
      <c r="BT60" s="6">
        <f>VLOOKUP(BQ60,'Item List'!$A$2:$D$300,3,FALSE)</f>
        <v>4</v>
      </c>
      <c r="BU60" s="6">
        <f>VLOOKUP(BQ60,'Item List'!$A$2:$D$300,4,FALSE)</f>
        <v>2</v>
      </c>
      <c r="CE60" s="98" t="s">
        <v>597</v>
      </c>
      <c r="CF60" s="98" t="s">
        <v>597</v>
      </c>
    </row>
    <row r="61">
      <c r="B61" s="40"/>
      <c r="C61" s="41" t="s">
        <v>69</v>
      </c>
      <c r="D61" s="38">
        <f>1*I62</f>
        <v>417</v>
      </c>
      <c r="E61" s="38" t="s">
        <v>118</v>
      </c>
      <c r="F61" s="42">
        <f>48*I62</f>
        <v>20016</v>
      </c>
      <c r="G61" s="43"/>
      <c r="H61" s="99" t="s">
        <v>584</v>
      </c>
      <c r="I61" s="45">
        <f t="array" ref="I61">match(TRUE,ISBLANK(F61:F73),0)-1</f>
        <v>1</v>
      </c>
      <c r="J61" s="100" t="s">
        <v>420</v>
      </c>
      <c r="K61" s="100" t="s">
        <v>585</v>
      </c>
      <c r="L61" s="38"/>
      <c r="M61" s="38"/>
      <c r="N61" s="38"/>
      <c r="O61" s="38"/>
      <c r="P61" s="38"/>
      <c r="Q61" s="38"/>
      <c r="R61" s="101"/>
      <c r="S61" s="101"/>
      <c r="T61" s="101"/>
      <c r="U61" s="45"/>
      <c r="V61" s="45"/>
      <c r="W61" s="45"/>
      <c r="X61" s="45"/>
      <c r="Y61" s="45"/>
      <c r="Z61" s="45"/>
      <c r="AA61" s="45"/>
      <c r="AB61" s="45"/>
      <c r="AC61" s="45"/>
      <c r="AD61" s="45"/>
      <c r="AE61" s="79"/>
      <c r="AF61" s="45"/>
      <c r="AG61" s="45"/>
      <c r="AH61" s="45"/>
      <c r="AI61" s="45"/>
      <c r="AJ61" s="45"/>
      <c r="AK61" s="45"/>
      <c r="AL61" s="45"/>
      <c r="AM61" s="45"/>
      <c r="AN61" s="45"/>
      <c r="AO61" s="45"/>
      <c r="AP61" s="45"/>
      <c r="AQ61" s="45"/>
      <c r="AR61" s="79"/>
      <c r="AS61" s="45"/>
      <c r="AT61" s="45"/>
      <c r="AU61" s="45"/>
      <c r="AV61" s="45"/>
      <c r="AW61" s="45"/>
      <c r="AX61" s="45"/>
      <c r="AY61" s="45"/>
      <c r="AZ61" s="45">
        <f>AZ60*AX60</f>
        <v>150</v>
      </c>
      <c r="BA61" s="45"/>
      <c r="BB61" s="45"/>
      <c r="BC61" s="45"/>
      <c r="BD61" s="45"/>
      <c r="BE61" s="45"/>
      <c r="BF61" s="45"/>
      <c r="BG61" s="46"/>
      <c r="BI61" s="28"/>
      <c r="BQ61" s="6" t="s">
        <v>69</v>
      </c>
      <c r="BR61" s="6">
        <v>3.0</v>
      </c>
      <c r="BS61" s="6">
        <f>VLOOKUP(BQ61,'Item List'!$A$2:$D$300,2,FALSE)</f>
        <v>0</v>
      </c>
      <c r="BT61" s="6">
        <f>VLOOKUP(BQ61,'Item List'!$A$2:$D$300,3,FALSE)</f>
        <v>3</v>
      </c>
      <c r="BU61" s="6">
        <f>VLOOKUP(BQ61,'Item List'!$A$2:$D$300,4,FALSE)</f>
        <v>1</v>
      </c>
      <c r="CC61" s="102"/>
      <c r="CD61" s="102"/>
      <c r="CE61" s="5">
        <f>BU99</f>
        <v>17</v>
      </c>
      <c r="CF61" s="5">
        <f>BU116</f>
        <v>17</v>
      </c>
    </row>
    <row r="62">
      <c r="B62" s="40"/>
      <c r="C62" s="41"/>
      <c r="D62" s="38"/>
      <c r="E62" s="38"/>
      <c r="F62" s="42"/>
      <c r="G62" s="43"/>
      <c r="H62" s="56" t="s">
        <v>502</v>
      </c>
      <c r="I62" s="57">
        <v>417.0</v>
      </c>
      <c r="J62" s="100" t="s">
        <v>424</v>
      </c>
      <c r="K62" s="100">
        <v>0.0</v>
      </c>
      <c r="L62" s="45"/>
      <c r="M62" s="45"/>
      <c r="N62" s="45"/>
      <c r="O62" s="45"/>
      <c r="P62" s="45"/>
      <c r="Q62" s="45"/>
      <c r="R62" s="45"/>
      <c r="S62" s="101"/>
      <c r="T62" s="101"/>
      <c r="U62" s="45"/>
      <c r="V62" s="45"/>
      <c r="W62" s="45"/>
      <c r="X62" s="45"/>
      <c r="Y62" s="45"/>
      <c r="Z62" s="45"/>
      <c r="AA62" s="45"/>
      <c r="AB62" s="45"/>
      <c r="AC62" s="45"/>
      <c r="AD62" s="45"/>
      <c r="AE62" s="79"/>
      <c r="AF62" s="45"/>
      <c r="AG62" s="45"/>
      <c r="AH62" s="45"/>
      <c r="AI62" s="45"/>
      <c r="AJ62" s="45"/>
      <c r="AK62" s="45"/>
      <c r="AL62" s="45"/>
      <c r="AM62" s="45"/>
      <c r="AN62" s="45"/>
      <c r="AO62" s="45"/>
      <c r="AP62" s="45"/>
      <c r="AQ62" s="45"/>
      <c r="AR62" s="79"/>
      <c r="AS62" s="45"/>
      <c r="AT62" s="45"/>
      <c r="AU62" s="45"/>
      <c r="AV62" s="45"/>
      <c r="AW62" s="45"/>
      <c r="AX62" s="45"/>
      <c r="AY62" s="45"/>
      <c r="AZ62" s="45"/>
      <c r="BA62" s="45"/>
      <c r="BB62" s="45"/>
      <c r="BC62" s="45"/>
      <c r="BD62" s="45"/>
      <c r="BE62" s="45"/>
      <c r="BF62" s="45"/>
      <c r="BG62" s="46"/>
      <c r="BI62" s="28"/>
      <c r="BQ62" s="6" t="s">
        <v>70</v>
      </c>
      <c r="BR62" s="6">
        <v>0.0</v>
      </c>
      <c r="BS62" s="6">
        <f>VLOOKUP(BQ62,'Item List'!$A$2:$D$300,2,FALSE)</f>
        <v>1</v>
      </c>
      <c r="BT62" s="6">
        <f>VLOOKUP(BQ62,'Item List'!$A$2:$D$300,3,FALSE)</f>
        <v>3</v>
      </c>
      <c r="BU62" s="6">
        <f>VLOOKUP(BQ62,'Item List'!$A$2:$D$300,4,FALSE)</f>
        <v>1</v>
      </c>
      <c r="CC62" s="102"/>
      <c r="CD62" s="102"/>
      <c r="CE62" s="98" t="s">
        <v>598</v>
      </c>
      <c r="CF62" s="98" t="s">
        <v>598</v>
      </c>
    </row>
    <row r="63">
      <c r="B63" s="50"/>
      <c r="C63" s="51"/>
      <c r="D63" s="52"/>
      <c r="E63" s="52"/>
      <c r="F63" s="52"/>
      <c r="G63" s="43"/>
      <c r="H63" s="52"/>
      <c r="I63" s="52"/>
      <c r="J63" s="52"/>
      <c r="K63" s="52"/>
      <c r="L63" s="52"/>
      <c r="M63" s="52"/>
      <c r="N63" s="52"/>
      <c r="O63" s="52"/>
      <c r="P63" s="52"/>
      <c r="Q63" s="52"/>
      <c r="R63" s="52"/>
      <c r="S63" s="52"/>
      <c r="T63" s="52"/>
      <c r="U63" s="52"/>
      <c r="V63" s="52"/>
      <c r="W63" s="52"/>
      <c r="X63" s="52"/>
      <c r="Y63" s="52"/>
      <c r="Z63" s="52"/>
      <c r="AA63" s="52"/>
      <c r="AB63" s="52"/>
      <c r="AC63" s="52"/>
      <c r="AD63" s="52"/>
      <c r="AE63" s="43"/>
      <c r="AF63" s="52"/>
      <c r="AG63" s="52"/>
      <c r="AH63" s="52"/>
      <c r="AI63" s="52"/>
      <c r="AJ63" s="52"/>
      <c r="AK63" s="52"/>
      <c r="AL63" s="52"/>
      <c r="AM63" s="52"/>
      <c r="AN63" s="52"/>
      <c r="AO63" s="52"/>
      <c r="AP63" s="52"/>
      <c r="AQ63" s="52"/>
      <c r="AR63" s="43"/>
      <c r="AS63" s="52"/>
      <c r="AT63" s="52"/>
      <c r="AU63" s="52"/>
      <c r="AV63" s="52"/>
      <c r="AW63" s="52"/>
      <c r="AX63" s="52"/>
      <c r="AY63" s="52"/>
      <c r="AZ63" s="52"/>
      <c r="BA63" s="52"/>
      <c r="BB63" s="52"/>
      <c r="BC63" s="52"/>
      <c r="BD63" s="52"/>
      <c r="BE63" s="52"/>
      <c r="BF63" s="52"/>
      <c r="BG63" s="53"/>
      <c r="BI63" s="28"/>
      <c r="BQ63" s="6" t="s">
        <v>80</v>
      </c>
      <c r="BR63" s="6">
        <v>17000.0</v>
      </c>
      <c r="BS63" s="6">
        <f>VLOOKUP(BQ63,'Item List'!$A$2:$D$300,2,FALSE)</f>
        <v>2</v>
      </c>
      <c r="BT63" s="6">
        <f>VLOOKUP(BQ63,'Item List'!$A$2:$D$300,3,FALSE)</f>
        <v>4</v>
      </c>
      <c r="BU63" s="6">
        <f>VLOOKUP(BQ63,'Item List'!$A$2:$D$300,4,FALSE)</f>
        <v>2</v>
      </c>
      <c r="CC63" s="102"/>
      <c r="CD63" s="102"/>
      <c r="CE63" s="5">
        <f>SUM(CD93:CD105)</f>
        <v>75508</v>
      </c>
      <c r="CF63" s="5">
        <f>SUM(CD110:CD122)</f>
        <v>946600</v>
      </c>
    </row>
    <row r="64">
      <c r="B64" s="31" t="s">
        <v>635</v>
      </c>
      <c r="C64" s="54"/>
      <c r="D64" s="45"/>
      <c r="E64" s="45"/>
      <c r="F64" s="47"/>
      <c r="G64" s="35"/>
      <c r="H64" s="55" t="s">
        <v>349</v>
      </c>
      <c r="I64" s="38">
        <f>VLOOKUP(H64,'Machine List'!$A$1:$I$300,9,FALSE)</f>
        <v>4000</v>
      </c>
      <c r="J64" s="38">
        <f>IF(VLOOKUP(H64,'Machine List'!$A$1:$I$300,5,FALSE)="Multi",IF(VLOOKUP(H64,'Machine List'!$A$1:$I$300,6,FALSE)="Yes",AG64*3*10^Z64,AG64*(2*3)*10^(Z64-1)),0)</f>
        <v>600</v>
      </c>
      <c r="K64" s="38">
        <f>J64+IF(ISNUMBER(I64),I64,
  SWITCH(
      I64,
      "1T",1*10^Z64,
      "2T",2*10^Z64,
      "3T",3*10^Z64,
      "4T",4*10^Z64,
      "4000+500(7O-5)",4000+500*(7*I66-5),
      1
  )
)</f>
        <v>4600</v>
      </c>
      <c r="L64" s="38">
        <f>IF(VLOOKUP(H64,'Machine List'!$A$1:$I$300,5,FALSE)="Multi",IF(VLOOKUP(H64,'Machine List'!$A$1:$I$300,6,FALSE)="Yes",AU64*3*10^AT64,AU64*(2*3)*10^(AT64-1)),0)</f>
        <v>6000</v>
      </c>
      <c r="M64" s="38">
        <f>L64+IF(ISNUMBER(I64),I64,
  SWITCH(
      I64,
      "1T",1*10^AT64,
      "2T",2*10^AT64,
      "3T",3*10^AT64,
      "4T",4*10^AT64,
      "4000+500(7O-5)",4000+500*(7*I66-5),
      1
  )
)</f>
        <v>10000</v>
      </c>
      <c r="N64" s="38" t="str">
        <f>VLOOKUP(H64,'Machine List'!$A$1:$I$300,8,FALSE)</f>
        <v>Tier</v>
      </c>
      <c r="O64" s="38">
        <f>IF(ISNUMBER(N64),N64,10^Z64)</f>
        <v>1000</v>
      </c>
      <c r="P64" s="38">
        <f>IF(ISNUMBER(N64),N64,10^AT64)</f>
        <v>10000</v>
      </c>
      <c r="Q64" s="38">
        <f>VLOOKUP(H64,'Machine List'!$A$1:$B$138,2,FALSE)</f>
        <v>1</v>
      </c>
      <c r="R64" s="38" t="s">
        <v>594</v>
      </c>
      <c r="S64" s="45">
        <f>IF(ISNUMBER(Q64),Q64,
  SWITCH(
      Q64,
      "1",1,
      "2T",Z64*2,
      "4T",Z64*4,
      "6T",Z64*6,
      "8T",Z64*8,
      "10T",Z64*10,
      "12T",Z64*12,
      "14T",Z64*14,
      "16T",Z64*16,
      "2(T+1)",2*(Z64+1),
      "1T*C",Z64*J66,
      1
  )
)</f>
        <v>1</v>
      </c>
      <c r="T64" s="38" t="s">
        <v>277</v>
      </c>
      <c r="U64" s="38">
        <f>IF(OR(T64="No",T64=""),S64,T64)</f>
        <v>1</v>
      </c>
      <c r="V64" s="38">
        <f>IF(ISNUMBER(Q64),Q64,
  SWITCH(
      Q64,
      "1",1,
      "2T",AT64*2,
      "4T",AT64*4,
      "6T",AT64*6,
      "8T",AT64*8,
      "10T",AT64*10,
      "12T",AT64*12,
      "14T",AT64*14,
      "16T",AT64*16,
      "2(T+1)",2*(AT64+1),
      "1T*C",AT64*J66,
      1
  )
)</f>
        <v>1</v>
      </c>
      <c r="W64" s="38" t="str">
        <f>T64</f>
        <v>No</v>
      </c>
      <c r="X64" s="38">
        <f>IF(OR(W64="No",W64=""),V64,W64)</f>
        <v>1</v>
      </c>
      <c r="Y64" s="38" t="s">
        <v>397</v>
      </c>
      <c r="Z64" s="38">
        <f>VLOOKUP(Y64,'Item Helper Sheet'!$A$2:$B$16,2,FALSE)</f>
        <v>3</v>
      </c>
      <c r="AA64" s="38">
        <v>480.0</v>
      </c>
      <c r="AB64" s="38">
        <f>10*20</f>
        <v>200</v>
      </c>
      <c r="AC64" s="38">
        <f>AB64*I66</f>
        <v>800</v>
      </c>
      <c r="AD64" s="38">
        <f>AA64*AC64</f>
        <v>384000</v>
      </c>
      <c r="AE64" s="75"/>
      <c r="AF64" s="38" t="str">
        <f>Y64</f>
        <v>03 - HV</v>
      </c>
      <c r="AG64" s="38">
        <v>1.0</v>
      </c>
      <c r="AH64" s="38">
        <v>1.0</v>
      </c>
      <c r="AI64" s="38">
        <f>AH64*8*4^Z64</f>
        <v>512</v>
      </c>
      <c r="AJ64" s="38">
        <f>MIN(ROUNDDOWN(AI64/AL64,0),U64)</f>
        <v>1</v>
      </c>
      <c r="AK64" s="38">
        <f>IF(OR(T64="No",T64=""),AG64*S64,AG64*T64)</f>
        <v>1</v>
      </c>
      <c r="AL64" s="38">
        <f>ROUNDUP(AA64*VLOOKUP(H64,'Machine List'!$A$2:$D$219,4,FALSE),0)</f>
        <v>480</v>
      </c>
      <c r="AM64" s="38">
        <f>AL64*AK64</f>
        <v>480</v>
      </c>
      <c r="AN64" s="38">
        <f>ROUNDUP(AB64*I66,0)</f>
        <v>800</v>
      </c>
      <c r="AO64" s="38">
        <f>ROUNDUP(AN64/VLOOKUP(H64,'Machine List'!$A$2:$D$219,3,FALSE),0)</f>
        <v>800</v>
      </c>
      <c r="AP64" s="38">
        <f>ROUNDUP(AO64/AK64,0)</f>
        <v>800</v>
      </c>
      <c r="AQ64" s="38">
        <f>AM64*AP64</f>
        <v>384000</v>
      </c>
      <c r="AR64" s="75"/>
      <c r="AS64" s="38" t="s">
        <v>401</v>
      </c>
      <c r="AT64" s="38">
        <f>VLOOKUP(AS64,'Item Helper Sheet'!$A$2:$B$16,2,FALSE)</f>
        <v>4</v>
      </c>
      <c r="AU64" s="38">
        <f>AG64</f>
        <v>1</v>
      </c>
      <c r="AV64" s="38">
        <v>1.0</v>
      </c>
      <c r="AW64" s="38">
        <f>AV64*8*4^AT64</f>
        <v>2048</v>
      </c>
      <c r="AX64" s="38">
        <f>MIN(ROUNDDOWN(AW64/AL64,0),X64)</f>
        <v>1</v>
      </c>
      <c r="AY64" s="38">
        <f>AX64*AU64</f>
        <v>1</v>
      </c>
      <c r="AZ64" s="38">
        <f>AL64</f>
        <v>480</v>
      </c>
      <c r="BA64" s="38">
        <f>MIN(AT64-Z64,IF(AW64&gt;=AZ65*4,
IF(AW64&gt;=AZ65*4^2,
IF(AW64&gt;=AZ65*4^3,
IF(AW64&gt;=AZ65*4^4,
IF(AW64&gt;=AZ65*4^5,
IF(AW64&gt;=AZ65*4^6,
IF(AW64&gt;=AZ65*4^7,
IF(AW64&gt;=AZ65*4^8,
IF(AW64&gt;=AZ65*4^9,
IF(AW64&gt;=AZ65*4^10,
9),
8),
7),
6),
5),
4),
3),
2),
1),
0))</f>
        <v>1</v>
      </c>
      <c r="BB64" s="38">
        <f>AZ64*AX64*4^BA64</f>
        <v>1920</v>
      </c>
      <c r="BC64" s="38">
        <f>BB64*AU64</f>
        <v>1920</v>
      </c>
      <c r="BD64" s="45">
        <f>ROUNDUP(IF(R64="Yes",AN64/(2^((BA64)*2)),AN64/(2^(BA64))),0)</f>
        <v>200</v>
      </c>
      <c r="BE64" s="45">
        <f>ROUNDUP(BD64/VLOOKUP(H64,'Machine List'!$A$2:$D$219,3,FALSE),0)</f>
        <v>200</v>
      </c>
      <c r="BF64" s="45">
        <f>ROUNDUP(BE64/AY64,0)</f>
        <v>200</v>
      </c>
      <c r="BG64" s="46">
        <f>BF64*BC64</f>
        <v>384000</v>
      </c>
      <c r="BI64" s="28"/>
      <c r="BQ64" s="6" t="s">
        <v>87</v>
      </c>
      <c r="BR64" s="6">
        <v>-4000.0</v>
      </c>
      <c r="BS64" s="6">
        <f>VLOOKUP(BQ64,'Item List'!$A$2:$D$300,2,FALSE)</f>
        <v>1</v>
      </c>
      <c r="BT64" s="6">
        <f>VLOOKUP(BQ64,'Item List'!$A$2:$D$300,3,FALSE)</f>
        <v>4</v>
      </c>
      <c r="BU64" s="6">
        <f>VLOOKUP(BQ64,'Item List'!$A$2:$D$300,4,FALSE)</f>
        <v>1</v>
      </c>
      <c r="CC64" s="102"/>
      <c r="CD64" s="102"/>
      <c r="CE64" s="98" t="s">
        <v>600</v>
      </c>
      <c r="CF64" s="98" t="s">
        <v>600</v>
      </c>
    </row>
    <row r="65">
      <c r="B65" s="40"/>
      <c r="C65" s="41" t="s">
        <v>118</v>
      </c>
      <c r="D65" s="38">
        <f>5000*I66</f>
        <v>20000</v>
      </c>
      <c r="E65" s="38" t="s">
        <v>87</v>
      </c>
      <c r="F65" s="42">
        <f>30000*I66</f>
        <v>120000</v>
      </c>
      <c r="G65" s="43"/>
      <c r="H65" s="99" t="s">
        <v>584</v>
      </c>
      <c r="I65" s="45">
        <f t="array" ref="I65">match(TRUE,ISBLANK(F65:F77),0)-1</f>
        <v>2</v>
      </c>
      <c r="J65" s="100" t="s">
        <v>420</v>
      </c>
      <c r="K65" s="100" t="s">
        <v>585</v>
      </c>
      <c r="L65" s="38"/>
      <c r="M65" s="38"/>
      <c r="N65" s="38"/>
      <c r="O65" s="38"/>
      <c r="P65" s="38"/>
      <c r="Q65" s="38"/>
      <c r="R65" s="101"/>
      <c r="S65" s="101"/>
      <c r="T65" s="101"/>
      <c r="U65" s="45"/>
      <c r="V65" s="45"/>
      <c r="W65" s="45"/>
      <c r="X65" s="45"/>
      <c r="Y65" s="45"/>
      <c r="Z65" s="45"/>
      <c r="AA65" s="45"/>
      <c r="AB65" s="45"/>
      <c r="AC65" s="45"/>
      <c r="AD65" s="45"/>
      <c r="AE65" s="79"/>
      <c r="AF65" s="45"/>
      <c r="AG65" s="45"/>
      <c r="AH65" s="45"/>
      <c r="AI65" s="45"/>
      <c r="AJ65" s="45"/>
      <c r="AK65" s="45"/>
      <c r="AL65" s="45"/>
      <c r="AM65" s="45"/>
      <c r="AN65" s="45"/>
      <c r="AO65" s="45"/>
      <c r="AP65" s="45"/>
      <c r="AQ65" s="45"/>
      <c r="AR65" s="79"/>
      <c r="AS65" s="45"/>
      <c r="AT65" s="45"/>
      <c r="AU65" s="45"/>
      <c r="AV65" s="45"/>
      <c r="AW65" s="45"/>
      <c r="AX65" s="45"/>
      <c r="AY65" s="45"/>
      <c r="AZ65" s="45">
        <f>AZ64*AX64</f>
        <v>480</v>
      </c>
      <c r="BA65" s="45"/>
      <c r="BB65" s="45"/>
      <c r="BC65" s="45"/>
      <c r="BD65" s="45"/>
      <c r="BE65" s="45"/>
      <c r="BF65" s="45"/>
      <c r="BG65" s="46"/>
      <c r="BI65" s="28"/>
      <c r="BQ65" s="6" t="s">
        <v>118</v>
      </c>
      <c r="BR65" s="6">
        <v>16.0</v>
      </c>
      <c r="BS65" s="6">
        <f>VLOOKUP(BQ65,'Item List'!$A$2:$D$300,2,FALSE)</f>
        <v>1</v>
      </c>
      <c r="BT65" s="6">
        <f>VLOOKUP(BQ65,'Item List'!$A$2:$D$300,3,FALSE)</f>
        <v>4</v>
      </c>
      <c r="BU65" s="6">
        <f>VLOOKUP(BQ65,'Item List'!$A$2:$D$300,4,FALSE)</f>
        <v>2</v>
      </c>
      <c r="BY65" s="97" t="s">
        <v>513</v>
      </c>
      <c r="BZ65" s="97" t="s">
        <v>514</v>
      </c>
      <c r="CA65" s="97" t="s">
        <v>580</v>
      </c>
      <c r="CB65" s="97" t="s">
        <v>581</v>
      </c>
      <c r="CC65" s="97" t="s">
        <v>582</v>
      </c>
      <c r="CD65" s="102"/>
      <c r="CE65" s="5">
        <f>CE107</f>
        <v>105511</v>
      </c>
      <c r="CF65" s="5">
        <f>CE124</f>
        <v>1405511</v>
      </c>
    </row>
    <row r="66">
      <c r="B66" s="40"/>
      <c r="C66" s="41" t="s">
        <v>56</v>
      </c>
      <c r="D66" s="38">
        <f>5000*I66</f>
        <v>20000</v>
      </c>
      <c r="E66" s="38" t="s">
        <v>45</v>
      </c>
      <c r="F66" s="42">
        <f>5000*I66</f>
        <v>20000</v>
      </c>
      <c r="G66" s="43"/>
      <c r="H66" s="56" t="s">
        <v>502</v>
      </c>
      <c r="I66" s="57">
        <v>4.0</v>
      </c>
      <c r="J66" s="100" t="s">
        <v>424</v>
      </c>
      <c r="K66" s="100">
        <v>0.0</v>
      </c>
      <c r="L66" s="45"/>
      <c r="M66" s="45"/>
      <c r="N66" s="45"/>
      <c r="O66" s="45"/>
      <c r="P66" s="45"/>
      <c r="Q66" s="45"/>
      <c r="R66" s="45"/>
      <c r="S66" s="101"/>
      <c r="T66" s="101"/>
      <c r="U66" s="45"/>
      <c r="V66" s="45"/>
      <c r="W66" s="45"/>
      <c r="X66" s="45"/>
      <c r="Y66" s="45"/>
      <c r="Z66" s="45"/>
      <c r="AA66" s="45"/>
      <c r="AB66" s="45"/>
      <c r="AC66" s="45"/>
      <c r="AD66" s="45"/>
      <c r="AE66" s="79"/>
      <c r="AF66" s="45"/>
      <c r="AG66" s="45"/>
      <c r="AH66" s="45"/>
      <c r="AI66" s="45"/>
      <c r="AJ66" s="45"/>
      <c r="AK66" s="45"/>
      <c r="AL66" s="45"/>
      <c r="AM66" s="45"/>
      <c r="AN66" s="45"/>
      <c r="AO66" s="45"/>
      <c r="AP66" s="45"/>
      <c r="AQ66" s="45"/>
      <c r="AR66" s="79"/>
      <c r="AS66" s="45"/>
      <c r="AT66" s="45"/>
      <c r="AU66" s="45"/>
      <c r="AV66" s="45"/>
      <c r="AW66" s="45"/>
      <c r="AX66" s="45"/>
      <c r="AY66" s="45"/>
      <c r="AZ66" s="45"/>
      <c r="BA66" s="45"/>
      <c r="BB66" s="45"/>
      <c r="BC66" s="45"/>
      <c r="BD66" s="45"/>
      <c r="BE66" s="45"/>
      <c r="BF66" s="45"/>
      <c r="BG66" s="46"/>
      <c r="BI66" s="28"/>
      <c r="BQ66" s="6" t="s">
        <v>119</v>
      </c>
      <c r="BR66" s="6">
        <v>0.0</v>
      </c>
      <c r="BS66" s="6">
        <f>VLOOKUP(BQ66,'Item List'!$A$2:$D$300,2,FALSE)</f>
        <v>1</v>
      </c>
      <c r="BT66" s="6">
        <f>VLOOKUP(BQ66,'Item List'!$A$2:$D$300,3,FALSE)</f>
        <v>3</v>
      </c>
      <c r="BU66" s="6">
        <f>VLOOKUP(BQ66,'Item List'!$A$2:$D$300,4,FALSE)</f>
        <v>2</v>
      </c>
      <c r="BY66" s="6">
        <f t="shared" ref="BY66:BY69" si="12">VLOOKUP(BW66,$BK$53:$BL$73,2)</f>
        <v>20000</v>
      </c>
      <c r="BZ66" s="6">
        <f t="shared" ref="BZ66:BZ69" si="13">BY66/$CF$53</f>
        <v>0.2222222222</v>
      </c>
      <c r="CA66" s="102">
        <f t="shared" ref="CA66:CA69" si="14">$CG$53*BZ66</f>
        <v>33.72112629</v>
      </c>
      <c r="CB66" s="102">
        <f t="shared" ref="CB66:CB69" si="15">$CH$53*BZ66</f>
        <v>673.4006734</v>
      </c>
      <c r="CC66" s="102">
        <f t="shared" ref="CC66:CC69" si="16">$CI$53*BZ66</f>
        <v>222.2222222</v>
      </c>
      <c r="CD66" s="102"/>
    </row>
    <row r="67">
      <c r="B67" s="50"/>
      <c r="C67" s="51"/>
      <c r="D67" s="52"/>
      <c r="E67" s="52"/>
      <c r="F67" s="52"/>
      <c r="G67" s="43"/>
      <c r="H67" s="52"/>
      <c r="I67" s="52"/>
      <c r="J67" s="52"/>
      <c r="K67" s="52"/>
      <c r="L67" s="52"/>
      <c r="M67" s="52"/>
      <c r="N67" s="52"/>
      <c r="O67" s="52"/>
      <c r="P67" s="52"/>
      <c r="Q67" s="52"/>
      <c r="R67" s="52"/>
      <c r="S67" s="52"/>
      <c r="T67" s="52"/>
      <c r="U67" s="52"/>
      <c r="V67" s="52"/>
      <c r="W67" s="52"/>
      <c r="X67" s="52"/>
      <c r="Y67" s="52"/>
      <c r="Z67" s="52"/>
      <c r="AA67" s="52"/>
      <c r="AB67" s="52"/>
      <c r="AC67" s="52"/>
      <c r="AD67" s="52"/>
      <c r="AE67" s="43"/>
      <c r="AF67" s="52"/>
      <c r="AG67" s="52"/>
      <c r="AH67" s="52"/>
      <c r="AI67" s="52"/>
      <c r="AJ67" s="52"/>
      <c r="AK67" s="52"/>
      <c r="AL67" s="52"/>
      <c r="AM67" s="52"/>
      <c r="AN67" s="52"/>
      <c r="AO67" s="52"/>
      <c r="AP67" s="52"/>
      <c r="AQ67" s="52"/>
      <c r="AR67" s="43"/>
      <c r="AS67" s="52"/>
      <c r="AT67" s="52"/>
      <c r="AU67" s="52"/>
      <c r="AV67" s="52"/>
      <c r="AW67" s="52"/>
      <c r="AX67" s="52"/>
      <c r="AY67" s="52"/>
      <c r="AZ67" s="52"/>
      <c r="BA67" s="52"/>
      <c r="BB67" s="52"/>
      <c r="BC67" s="52"/>
      <c r="BD67" s="52"/>
      <c r="BE67" s="52"/>
      <c r="BF67" s="52"/>
      <c r="BG67" s="53"/>
      <c r="BI67" s="28"/>
      <c r="BQ67" s="6" t="s">
        <v>130</v>
      </c>
      <c r="BR67" s="6">
        <v>0.0</v>
      </c>
      <c r="BS67" s="6">
        <f>VLOOKUP(BQ67,'Item List'!$A$2:$D$300,2,FALSE)</f>
        <v>3</v>
      </c>
      <c r="BT67" s="6">
        <f>VLOOKUP(BQ67,'Item List'!$A$2:$D$300,3,FALSE)</f>
        <v>5</v>
      </c>
      <c r="BU67" s="6">
        <f>VLOOKUP(BQ67,'Item List'!$A$2:$D$300,4,FALSE)</f>
        <v>2</v>
      </c>
      <c r="BY67" s="6">
        <f t="shared" si="12"/>
        <v>16000</v>
      </c>
      <c r="BZ67" s="6">
        <f t="shared" si="13"/>
        <v>0.1777777778</v>
      </c>
      <c r="CA67" s="102">
        <f t="shared" si="14"/>
        <v>26.97690103</v>
      </c>
      <c r="CB67" s="102">
        <f t="shared" si="15"/>
        <v>538.7205387</v>
      </c>
      <c r="CC67" s="102">
        <f t="shared" si="16"/>
        <v>177.7777778</v>
      </c>
      <c r="CD67" s="102"/>
      <c r="CE67" s="98" t="s">
        <v>602</v>
      </c>
      <c r="CF67" s="98" t="s">
        <v>583</v>
      </c>
      <c r="CG67" s="98" t="s">
        <v>603</v>
      </c>
      <c r="CH67" s="98" t="s">
        <v>604</v>
      </c>
    </row>
    <row r="68">
      <c r="B68" s="31" t="s">
        <v>636</v>
      </c>
      <c r="C68" s="54"/>
      <c r="D68" s="45"/>
      <c r="E68" s="45"/>
      <c r="F68" s="47"/>
      <c r="G68" s="35"/>
      <c r="H68" s="55" t="s">
        <v>349</v>
      </c>
      <c r="I68" s="38">
        <f>VLOOKUP(H68,'Machine List'!$A$1:$I$300,9,FALSE)</f>
        <v>4000</v>
      </c>
      <c r="J68" s="38">
        <f>IF(VLOOKUP(H68,'Machine List'!$A$1:$I$300,5,FALSE)="Multi",IF(VLOOKUP(H68,'Machine List'!$A$1:$I$300,6,FALSE)="Yes",AG68*3*10^Z68,AG68*(2*3)*10^(Z68-1)),0)</f>
        <v>60</v>
      </c>
      <c r="K68" s="38">
        <f>J68+IF(ISNUMBER(I68),I68,
  SWITCH(
      I68,
      "1T",1*10^Z68,
      "2T",2*10^Z68,
      "3T",3*10^Z68,
      "4T",4*10^Z68,
      "4000+500(7O-5)",4000+500*(7*I70-5),
      1
  )
)</f>
        <v>4060</v>
      </c>
      <c r="L68" s="38">
        <f>IF(VLOOKUP(H68,'Machine List'!$A$1:$I$300,5,FALSE)="Multi",IF(VLOOKUP(H68,'Machine List'!$A$1:$I$300,6,FALSE)="Yes",AU68*3*10^AT68,AU68*(2*3)*10^(AT68-1)),0)</f>
        <v>600</v>
      </c>
      <c r="M68" s="38">
        <f>L68+IF(ISNUMBER(I68),I68,
  SWITCH(
      I68,
      "1T",1*10^AT68,
      "2T",2*10^AT68,
      "3T",3*10^AT68,
      "4T",4*10^AT68,
      "4000+500(7O-5)",4000+500*(7*I70-5),
      1
  )
)</f>
        <v>4600</v>
      </c>
      <c r="N68" s="38" t="str">
        <f>VLOOKUP(H68,'Machine List'!$A$1:$I$300,8,FALSE)</f>
        <v>Tier</v>
      </c>
      <c r="O68" s="38">
        <f>IF(ISNUMBER(N68),N68,10^Z68)</f>
        <v>100</v>
      </c>
      <c r="P68" s="38">
        <f>IF(ISNUMBER(N68),N68,10^AT68)</f>
        <v>1000</v>
      </c>
      <c r="Q68" s="38">
        <f>VLOOKUP(H68,'Machine List'!$A$1:$B$138,2,FALSE)</f>
        <v>1</v>
      </c>
      <c r="R68" s="38" t="s">
        <v>594</v>
      </c>
      <c r="S68" s="45">
        <f>IF(ISNUMBER(Q68),Q68,
  SWITCH(
      Q68,
      "1",1,
      "2T",Z68*2,
      "4T",Z68*4,
      "6T",Z68*6,
      "8T",Z68*8,
      "10T",Z68*10,
      "12T",Z68*12,
      "14T",Z68*14,
      "16T",Z68*16,
      "2(T+1)",2*(Z68+1),
      "1T*C",Z68*J70,
      1
  )
)</f>
        <v>1</v>
      </c>
      <c r="T68" s="38" t="s">
        <v>277</v>
      </c>
      <c r="U68" s="38">
        <f>IF(OR(T68="No",T68=""),S68,T68)</f>
        <v>1</v>
      </c>
      <c r="V68" s="38">
        <f>IF(ISNUMBER(Q68),Q68,
  SWITCH(
      Q68,
      "1",1,
      "2T",AT68*2,
      "4T",AT68*4,
      "6T",AT68*6,
      "8T",AT68*8,
      "10T",AT68*10,
      "12T",AT68*12,
      "14T",AT68*14,
      "16T",AT68*16,
      "2(T+1)",2*(AT68+1),
      "1T*C",AT68*J70,
      1
  )
)</f>
        <v>1</v>
      </c>
      <c r="W68" s="38" t="str">
        <f>T68</f>
        <v>No</v>
      </c>
      <c r="X68" s="38">
        <f>IF(OR(W68="No",W68=""),V68,W68)</f>
        <v>1</v>
      </c>
      <c r="Y68" s="38" t="s">
        <v>393</v>
      </c>
      <c r="Z68" s="38">
        <f>VLOOKUP(Y68,'Item Helper Sheet'!$A$2:$B$16,2,FALSE)</f>
        <v>2</v>
      </c>
      <c r="AA68" s="38">
        <v>96.0</v>
      </c>
      <c r="AB68" s="38">
        <f>6*20</f>
        <v>120</v>
      </c>
      <c r="AC68" s="38">
        <f>AB68*I70</f>
        <v>2280</v>
      </c>
      <c r="AD68" s="38">
        <f>AA68*AC68</f>
        <v>218880</v>
      </c>
      <c r="AE68" s="75"/>
      <c r="AF68" s="38" t="str">
        <f>Y68</f>
        <v>02 - MV</v>
      </c>
      <c r="AG68" s="38">
        <v>1.0</v>
      </c>
      <c r="AH68" s="38">
        <v>1.0</v>
      </c>
      <c r="AI68" s="38">
        <f>AH68*8*4^Z68</f>
        <v>128</v>
      </c>
      <c r="AJ68" s="38">
        <f>MIN(ROUNDDOWN(AI68/AL68,0),U68)</f>
        <v>1</v>
      </c>
      <c r="AK68" s="38">
        <f>IF(OR(T68="No",T68=""),AG68*S68,AG68*T68)</f>
        <v>1</v>
      </c>
      <c r="AL68" s="38">
        <f>ROUNDUP(AA68*VLOOKUP(H68,'Machine List'!$A$2:$D$219,4,FALSE),0)</f>
        <v>96</v>
      </c>
      <c r="AM68" s="38">
        <f>AL68*AK68</f>
        <v>96</v>
      </c>
      <c r="AN68" s="38">
        <f>ROUNDUP(AB68*I70,0)</f>
        <v>2280</v>
      </c>
      <c r="AO68" s="38">
        <f>ROUNDUP(AN68/VLOOKUP(H68,'Machine List'!$A$2:$D$219,3,FALSE),0)</f>
        <v>2280</v>
      </c>
      <c r="AP68" s="38">
        <f>ROUNDUP(AO68/AK68,0)</f>
        <v>2280</v>
      </c>
      <c r="AQ68" s="38">
        <f>AM68*AP68</f>
        <v>218880</v>
      </c>
      <c r="AR68" s="75"/>
      <c r="AS68" s="38" t="s">
        <v>397</v>
      </c>
      <c r="AT68" s="38">
        <f>VLOOKUP(AS68,'Item Helper Sheet'!$A$2:$B$16,2,FALSE)</f>
        <v>3</v>
      </c>
      <c r="AU68" s="38">
        <f>AG68</f>
        <v>1</v>
      </c>
      <c r="AV68" s="38">
        <v>1.0</v>
      </c>
      <c r="AW68" s="38">
        <f>AV68*8*4^AT68</f>
        <v>512</v>
      </c>
      <c r="AX68" s="38">
        <f>MIN(ROUNDDOWN(AW68/AL68,0),X68)</f>
        <v>1</v>
      </c>
      <c r="AY68" s="38">
        <f>AX68*AU68</f>
        <v>1</v>
      </c>
      <c r="AZ68" s="38">
        <f>AL68</f>
        <v>96</v>
      </c>
      <c r="BA68" s="38">
        <f>MIN(AT68-Z68,IF(AW68&gt;=AZ69*4,
IF(AW68&gt;=AZ69*4^2,
IF(AW68&gt;=AZ69*4^3,
IF(AW68&gt;=AZ69*4^4,
IF(AW68&gt;=AZ69*4^5,
IF(AW68&gt;=AZ69*4^6,
IF(AW68&gt;=AZ69*4^7,
IF(AW68&gt;=AZ69*4^8,
IF(AW68&gt;=AZ69*4^9,
IF(AW68&gt;=AZ69*4^10,
9),
8),
7),
6),
5),
4),
3),
2),
1),
0))</f>
        <v>1</v>
      </c>
      <c r="BB68" s="38">
        <f>AZ68*AX68*4^BA68</f>
        <v>384</v>
      </c>
      <c r="BC68" s="38">
        <f>BB68*AU68</f>
        <v>384</v>
      </c>
      <c r="BD68" s="45">
        <f>ROUNDUP(IF(R68="Yes",AN68/(2^((BA68)*2)),AN68/(2^(BA68))),0)</f>
        <v>570</v>
      </c>
      <c r="BE68" s="45">
        <f>ROUNDUP(BD68/VLOOKUP(H68,'Machine List'!$A$2:$D$219,3,FALSE),0)</f>
        <v>570</v>
      </c>
      <c r="BF68" s="45">
        <f>ROUNDUP(BE68/AY68,0)</f>
        <v>570</v>
      </c>
      <c r="BG68" s="46">
        <f>BF68*BC68</f>
        <v>218880</v>
      </c>
      <c r="BI68" s="28"/>
      <c r="BQ68" s="6" t="s">
        <v>132</v>
      </c>
      <c r="BR68" s="6">
        <v>-16000.0</v>
      </c>
      <c r="BS68" s="6">
        <f>VLOOKUP(BQ68,'Item List'!$A$2:$D$300,2,FALSE)</f>
        <v>1</v>
      </c>
      <c r="BT68" s="6">
        <f>VLOOKUP(BQ68,'Item List'!$A$2:$D$300,3,FALSE)</f>
        <v>4</v>
      </c>
      <c r="BU68" s="6">
        <f>VLOOKUP(BQ68,'Item List'!$A$2:$D$300,4,FALSE)</f>
        <v>1</v>
      </c>
      <c r="BY68" s="6">
        <f t="shared" si="12"/>
        <v>64000</v>
      </c>
      <c r="BZ68" s="6">
        <f t="shared" si="13"/>
        <v>0.7111111111</v>
      </c>
      <c r="CA68" s="102">
        <f t="shared" si="14"/>
        <v>107.9076041</v>
      </c>
      <c r="CB68" s="102">
        <f t="shared" si="15"/>
        <v>2154.882155</v>
      </c>
      <c r="CC68" s="102">
        <f t="shared" si="16"/>
        <v>711.1111111</v>
      </c>
      <c r="CE68" s="5" t="str">
        <f t="shared" ref="CE68:CF68" si="17">CE53</f>
        <v>Cetane-Boosted Diesel</v>
      </c>
      <c r="CF68" s="5">
        <f t="shared" si="17"/>
        <v>90000</v>
      </c>
      <c r="CG68" s="4">
        <v>1000.0</v>
      </c>
      <c r="CH68" s="109">
        <v>1.5</v>
      </c>
    </row>
    <row r="69">
      <c r="B69" s="40"/>
      <c r="C69" s="41" t="s">
        <v>87</v>
      </c>
      <c r="D69" s="38">
        <f>4000*I70</f>
        <v>76000</v>
      </c>
      <c r="E69" s="38" t="s">
        <v>119</v>
      </c>
      <c r="F69" s="42">
        <f>1000*I70</f>
        <v>19000</v>
      </c>
      <c r="G69" s="43"/>
      <c r="H69" s="99" t="s">
        <v>584</v>
      </c>
      <c r="I69" s="45">
        <f t="array" ref="I69">match(TRUE,ISBLANK(F69:F81),0)-1</f>
        <v>1</v>
      </c>
      <c r="J69" s="100" t="s">
        <v>420</v>
      </c>
      <c r="K69" s="100" t="s">
        <v>585</v>
      </c>
      <c r="L69" s="38"/>
      <c r="M69" s="38"/>
      <c r="N69" s="38"/>
      <c r="O69" s="38"/>
      <c r="P69" s="38"/>
      <c r="Q69" s="38"/>
      <c r="R69" s="101"/>
      <c r="S69" s="101"/>
      <c r="T69" s="101"/>
      <c r="U69" s="45"/>
      <c r="V69" s="45"/>
      <c r="W69" s="45"/>
      <c r="X69" s="45"/>
      <c r="Y69" s="45"/>
      <c r="Z69" s="45"/>
      <c r="AA69" s="45"/>
      <c r="AB69" s="45"/>
      <c r="AC69" s="45"/>
      <c r="AD69" s="45"/>
      <c r="AE69" s="79"/>
      <c r="AF69" s="45"/>
      <c r="AG69" s="45"/>
      <c r="AH69" s="45"/>
      <c r="AI69" s="45"/>
      <c r="AJ69" s="45"/>
      <c r="AK69" s="45"/>
      <c r="AL69" s="45"/>
      <c r="AM69" s="45"/>
      <c r="AN69" s="45"/>
      <c r="AO69" s="45"/>
      <c r="AP69" s="45"/>
      <c r="AQ69" s="45"/>
      <c r="AR69" s="79"/>
      <c r="AS69" s="45"/>
      <c r="AT69" s="45"/>
      <c r="AU69" s="45"/>
      <c r="AV69" s="45"/>
      <c r="AW69" s="45"/>
      <c r="AX69" s="45"/>
      <c r="AY69" s="45"/>
      <c r="AZ69" s="45">
        <f>AZ68*AX68</f>
        <v>96</v>
      </c>
      <c r="BA69" s="45"/>
      <c r="BB69" s="45"/>
      <c r="BC69" s="45"/>
      <c r="BD69" s="45"/>
      <c r="BE69" s="45"/>
      <c r="BF69" s="45"/>
      <c r="BG69" s="46"/>
      <c r="BI69" s="28"/>
      <c r="BQ69" s="6" t="s">
        <v>142</v>
      </c>
      <c r="BR69" s="6">
        <v>-64000.0</v>
      </c>
      <c r="BS69" s="6">
        <f>VLOOKUP(BQ69,'Item List'!$A$2:$D$300,2,FALSE)</f>
        <v>1</v>
      </c>
      <c r="BT69" s="6">
        <f>VLOOKUP(BQ69,'Item List'!$A$2:$D$300,3,FALSE)</f>
        <v>5</v>
      </c>
      <c r="BU69" s="6">
        <f>VLOOKUP(BQ69,'Item List'!$A$2:$D$300,4,FALSE)</f>
        <v>1</v>
      </c>
      <c r="BW69" s="104" t="s">
        <v>69</v>
      </c>
      <c r="BY69" s="6">
        <f t="shared" si="12"/>
        <v>2457</v>
      </c>
      <c r="BZ69" s="6">
        <f t="shared" si="13"/>
        <v>0.0273</v>
      </c>
      <c r="CA69" s="102">
        <f t="shared" si="14"/>
        <v>4.142640364</v>
      </c>
      <c r="CB69" s="102">
        <f t="shared" si="15"/>
        <v>82.72727273</v>
      </c>
      <c r="CC69" s="102">
        <f t="shared" si="16"/>
        <v>27.3</v>
      </c>
      <c r="CE69" s="98" t="s">
        <v>608</v>
      </c>
      <c r="CF69" s="98" t="s">
        <v>609</v>
      </c>
      <c r="CG69" s="98" t="s">
        <v>610</v>
      </c>
      <c r="CH69" s="5"/>
    </row>
    <row r="70">
      <c r="B70" s="40"/>
      <c r="C70" s="41" t="s">
        <v>45</v>
      </c>
      <c r="D70" s="38">
        <f>1000*I70</f>
        <v>19000</v>
      </c>
      <c r="E70" s="38"/>
      <c r="F70" s="42"/>
      <c r="G70" s="43"/>
      <c r="H70" s="56" t="s">
        <v>502</v>
      </c>
      <c r="I70" s="57">
        <v>19.0</v>
      </c>
      <c r="J70" s="100" t="s">
        <v>424</v>
      </c>
      <c r="K70" s="100">
        <v>0.0</v>
      </c>
      <c r="L70" s="45"/>
      <c r="M70" s="45"/>
      <c r="N70" s="45"/>
      <c r="O70" s="45"/>
      <c r="P70" s="45"/>
      <c r="Q70" s="45"/>
      <c r="R70" s="45"/>
      <c r="S70" s="101"/>
      <c r="T70" s="101"/>
      <c r="U70" s="45"/>
      <c r="V70" s="45"/>
      <c r="W70" s="45"/>
      <c r="X70" s="45"/>
      <c r="Y70" s="45"/>
      <c r="Z70" s="45"/>
      <c r="AA70" s="45"/>
      <c r="AB70" s="45"/>
      <c r="AC70" s="45"/>
      <c r="AD70" s="45"/>
      <c r="AE70" s="79"/>
      <c r="AF70" s="45"/>
      <c r="AG70" s="45"/>
      <c r="AH70" s="45"/>
      <c r="AI70" s="45"/>
      <c r="AJ70" s="45"/>
      <c r="AK70" s="45"/>
      <c r="AL70" s="45"/>
      <c r="AM70" s="45"/>
      <c r="AN70" s="45"/>
      <c r="AO70" s="45"/>
      <c r="AP70" s="45"/>
      <c r="AQ70" s="45"/>
      <c r="AR70" s="79"/>
      <c r="AS70" s="45"/>
      <c r="AT70" s="45"/>
      <c r="AU70" s="45"/>
      <c r="AV70" s="45"/>
      <c r="AW70" s="45"/>
      <c r="AX70" s="45"/>
      <c r="AY70" s="45"/>
      <c r="AZ70" s="45"/>
      <c r="BA70" s="45"/>
      <c r="BB70" s="45"/>
      <c r="BC70" s="45"/>
      <c r="BD70" s="45"/>
      <c r="BE70" s="45"/>
      <c r="BF70" s="45"/>
      <c r="BG70" s="46"/>
      <c r="BI70" s="28"/>
      <c r="BQ70" s="6" t="s">
        <v>647</v>
      </c>
      <c r="BR70" s="6">
        <v>-1.7000000000000002</v>
      </c>
      <c r="BS70" s="6" t="str">
        <f>VLOOKUP(BQ70,'Item List'!$A$2:$D$300,2,FALSE)</f>
        <v>#N/A</v>
      </c>
      <c r="BT70" s="6" t="str">
        <f>VLOOKUP(BQ70,'Item List'!$A$2:$D$300,3,FALSE)</f>
        <v>#N/A</v>
      </c>
      <c r="BU70" s="6" t="str">
        <f>VLOOKUP(BQ70,'Item List'!$A$2:$D$300,4,FALSE)</f>
        <v>#N/A</v>
      </c>
      <c r="CC70" s="102"/>
      <c r="CD70" s="102"/>
      <c r="CE70" s="5">
        <f>CF68*CG68*CH68</f>
        <v>135000000</v>
      </c>
      <c r="CF70" s="5">
        <f>BM89</f>
        <v>15128064</v>
      </c>
      <c r="CG70" s="110">
        <f>1-(CF70/CE70)</f>
        <v>0.8879402667</v>
      </c>
      <c r="CH70" s="5"/>
    </row>
    <row r="71">
      <c r="B71" s="50"/>
      <c r="C71" s="51"/>
      <c r="D71" s="52"/>
      <c r="E71" s="52"/>
      <c r="F71" s="52"/>
      <c r="G71" s="43"/>
      <c r="H71" s="52"/>
      <c r="I71" s="52"/>
      <c r="J71" s="52"/>
      <c r="K71" s="52"/>
      <c r="L71" s="52"/>
      <c r="M71" s="52"/>
      <c r="N71" s="52"/>
      <c r="O71" s="52"/>
      <c r="P71" s="52"/>
      <c r="Q71" s="52"/>
      <c r="R71" s="52"/>
      <c r="S71" s="52"/>
      <c r="T71" s="52"/>
      <c r="U71" s="52"/>
      <c r="V71" s="52"/>
      <c r="W71" s="52"/>
      <c r="X71" s="52"/>
      <c r="Y71" s="52"/>
      <c r="Z71" s="52"/>
      <c r="AA71" s="52"/>
      <c r="AB71" s="52"/>
      <c r="AC71" s="52"/>
      <c r="AD71" s="52"/>
      <c r="AE71" s="43"/>
      <c r="AF71" s="52"/>
      <c r="AG71" s="52"/>
      <c r="AH71" s="52"/>
      <c r="AI71" s="52"/>
      <c r="AJ71" s="52"/>
      <c r="AK71" s="52"/>
      <c r="AL71" s="52"/>
      <c r="AM71" s="52"/>
      <c r="AN71" s="52"/>
      <c r="AO71" s="52"/>
      <c r="AP71" s="52"/>
      <c r="AQ71" s="52"/>
      <c r="AR71" s="43"/>
      <c r="AS71" s="52"/>
      <c r="AT71" s="52"/>
      <c r="AU71" s="52"/>
      <c r="AV71" s="52"/>
      <c r="AW71" s="52"/>
      <c r="AX71" s="52"/>
      <c r="AY71" s="52"/>
      <c r="AZ71" s="52"/>
      <c r="BA71" s="52"/>
      <c r="BB71" s="52"/>
      <c r="BC71" s="52"/>
      <c r="BD71" s="52"/>
      <c r="BE71" s="52"/>
      <c r="BF71" s="52"/>
      <c r="BG71" s="53"/>
      <c r="BI71" s="28"/>
      <c r="BQ71" s="6" t="s">
        <v>227</v>
      </c>
      <c r="BR71" s="6">
        <v>-640.0</v>
      </c>
      <c r="BS71" s="6">
        <f>VLOOKUP(BQ71,'Item List'!$A$2:$D$300,2,FALSE)</f>
        <v>1</v>
      </c>
      <c r="BT71" s="6">
        <f>VLOOKUP(BQ71,'Item List'!$A$2:$D$300,3,FALSE)</f>
        <v>4</v>
      </c>
      <c r="BU71" s="6">
        <f>VLOOKUP(BQ71,'Item List'!$A$2:$D$300,4,FALSE)</f>
        <v>1</v>
      </c>
      <c r="BY71" s="97" t="s">
        <v>589</v>
      </c>
      <c r="BZ71" s="97" t="s">
        <v>514</v>
      </c>
      <c r="CA71" s="97" t="s">
        <v>590</v>
      </c>
      <c r="CB71" s="97" t="s">
        <v>591</v>
      </c>
      <c r="CC71" s="97" t="s">
        <v>592</v>
      </c>
      <c r="CD71" s="102"/>
      <c r="CE71" s="98" t="s">
        <v>612</v>
      </c>
      <c r="CF71" s="98" t="s">
        <v>613</v>
      </c>
      <c r="CG71" s="98" t="s">
        <v>614</v>
      </c>
      <c r="CH71" s="5"/>
    </row>
    <row r="72">
      <c r="B72" s="31" t="s">
        <v>637</v>
      </c>
      <c r="C72" s="54"/>
      <c r="D72" s="45"/>
      <c r="E72" s="45"/>
      <c r="F72" s="47"/>
      <c r="G72" s="35"/>
      <c r="H72" s="55" t="s">
        <v>349</v>
      </c>
      <c r="I72" s="38">
        <f>VLOOKUP(H72,'Machine List'!$A$1:$I$300,9,FALSE)</f>
        <v>4000</v>
      </c>
      <c r="J72" s="38">
        <f>IF(VLOOKUP(H72,'Machine List'!$A$1:$I$300,5,FALSE)="Multi",IF(VLOOKUP(H72,'Machine List'!$A$1:$I$300,6,FALSE)="Yes",AG72*3*10^Z72,AG72*(2*3)*10^(Z72-1)),0)</f>
        <v>60</v>
      </c>
      <c r="K72" s="38">
        <f>J72+IF(ISNUMBER(I72),I72,
  SWITCH(
      I72,
      "1T",1*10^Z72,
      "2T",2*10^Z72,
      "3T",3*10^Z72,
      "4T",4*10^Z72,
      "4000+500(7O-5)",4000+500*(7*I74-5),
      1
  )
)</f>
        <v>4060</v>
      </c>
      <c r="L72" s="38">
        <f>IF(VLOOKUP(H72,'Machine List'!$A$1:$I$300,5,FALSE)="Multi",IF(VLOOKUP(H72,'Machine List'!$A$1:$I$300,6,FALSE)="Yes",AU72*3*10^AT72,AU72*(2*3)*10^(AT72-1)),0)</f>
        <v>600</v>
      </c>
      <c r="M72" s="38">
        <f>L72+IF(ISNUMBER(I72),I72,
  SWITCH(
      I72,
      "1T",1*10^AT72,
      "2T",2*10^AT72,
      "3T",3*10^AT72,
      "4T",4*10^AT72,
      "4000+500(7O-5)",4000+500*(7*I74-5),
      1
  )
)</f>
        <v>4600</v>
      </c>
      <c r="N72" s="38" t="str">
        <f>VLOOKUP(H72,'Machine List'!$A$1:$I$300,8,FALSE)</f>
        <v>Tier</v>
      </c>
      <c r="O72" s="38">
        <f>IF(ISNUMBER(N72),N72,10^Z72)</f>
        <v>100</v>
      </c>
      <c r="P72" s="38">
        <f>IF(ISNUMBER(N72),N72,10^AT72)</f>
        <v>1000</v>
      </c>
      <c r="Q72" s="38">
        <f>VLOOKUP(H72,'Machine List'!$A$1:$B$138,2,FALSE)</f>
        <v>1</v>
      </c>
      <c r="R72" s="38" t="s">
        <v>594</v>
      </c>
      <c r="S72" s="45">
        <f>IF(ISNUMBER(Q72),Q72,
  SWITCH(
      Q72,
      "1",1,
      "2T",Z72*2,
      "4T",Z72*4,
      "6T",Z72*6,
      "8T",Z72*8,
      "10T",Z72*10,
      "12T",Z72*12,
      "14T",Z72*14,
      "16T",Z72*16,
      "2(T+1)",2*(Z72+1),
      "1T*C",Z72*J74,
      1
  )
)</f>
        <v>1</v>
      </c>
      <c r="T72" s="38" t="s">
        <v>277</v>
      </c>
      <c r="U72" s="38">
        <f>IF(OR(T72="No",T72=""),S72,T72)</f>
        <v>1</v>
      </c>
      <c r="V72" s="38">
        <f>IF(ISNUMBER(Q72),Q72,
  SWITCH(
      Q72,
      "1",1,
      "2T",AT72*2,
      "4T",AT72*4,
      "6T",AT72*6,
      "8T",AT72*8,
      "10T",AT72*10,
      "12T",AT72*12,
      "14T",AT72*14,
      "16T",AT72*16,
      "2(T+1)",2*(AT72+1),
      "1T*C",AT72*J74,
      1
  )
)</f>
        <v>1</v>
      </c>
      <c r="W72" s="38" t="str">
        <f>T72</f>
        <v>No</v>
      </c>
      <c r="X72" s="38">
        <f>IF(OR(W72="No",W72=""),V72,W72)</f>
        <v>1</v>
      </c>
      <c r="Y72" s="38" t="s">
        <v>393</v>
      </c>
      <c r="Z72" s="38">
        <f>VLOOKUP(Y72,'Item Helper Sheet'!$A$2:$B$16,2,FALSE)</f>
        <v>2</v>
      </c>
      <c r="AA72" s="38">
        <v>96.0</v>
      </c>
      <c r="AB72" s="38">
        <f>6*20</f>
        <v>120</v>
      </c>
      <c r="AC72" s="38">
        <f>AB72*I74</f>
        <v>2040</v>
      </c>
      <c r="AD72" s="38">
        <f>AA72*AC72</f>
        <v>195840</v>
      </c>
      <c r="AE72" s="75"/>
      <c r="AF72" s="38" t="str">
        <f>Y72</f>
        <v>02 - MV</v>
      </c>
      <c r="AG72" s="38">
        <v>1.0</v>
      </c>
      <c r="AH72" s="38">
        <v>1.0</v>
      </c>
      <c r="AI72" s="38">
        <f>AH72*8*4^Z72</f>
        <v>128</v>
      </c>
      <c r="AJ72" s="38">
        <f>MIN(ROUNDDOWN(AI72/AL72,0),U72)</f>
        <v>1</v>
      </c>
      <c r="AK72" s="38">
        <f>IF(OR(T72="No",T72=""),AG72*S72,AG72*T72)</f>
        <v>1</v>
      </c>
      <c r="AL72" s="38">
        <f>ROUNDUP(AA72*VLOOKUP(H72,'Machine List'!$A$2:$D$219,4,FALSE),0)</f>
        <v>96</v>
      </c>
      <c r="AM72" s="38">
        <f>AL72*AK72</f>
        <v>96</v>
      </c>
      <c r="AN72" s="38">
        <f>ROUNDUP(AB72*I74,0)</f>
        <v>2040</v>
      </c>
      <c r="AO72" s="38">
        <f>ROUNDUP(AN72/VLOOKUP(H72,'Machine List'!$A$2:$D$219,3,FALSE),0)</f>
        <v>2040</v>
      </c>
      <c r="AP72" s="38">
        <f>ROUNDUP(AO72/AK72,0)</f>
        <v>2040</v>
      </c>
      <c r="AQ72" s="38">
        <f>AM72*AP72</f>
        <v>195840</v>
      </c>
      <c r="AR72" s="75"/>
      <c r="AS72" s="38" t="s">
        <v>397</v>
      </c>
      <c r="AT72" s="38">
        <f>VLOOKUP(AS72,'Item Helper Sheet'!$A$2:$B$16,2,FALSE)</f>
        <v>3</v>
      </c>
      <c r="AU72" s="38">
        <f>AG72</f>
        <v>1</v>
      </c>
      <c r="AV72" s="38">
        <v>1.0</v>
      </c>
      <c r="AW72" s="38">
        <f>AV72*8*4^AT72</f>
        <v>512</v>
      </c>
      <c r="AX72" s="38">
        <f>MIN(ROUNDDOWN(AW72/AL72,0),X72)</f>
        <v>1</v>
      </c>
      <c r="AY72" s="38">
        <f>AX72*AU72</f>
        <v>1</v>
      </c>
      <c r="AZ72" s="38">
        <f>AL72</f>
        <v>96</v>
      </c>
      <c r="BA72" s="38">
        <f>MIN(AT72-Z72,IF(AW72&gt;=AZ73*4,
IF(AW72&gt;=AZ73*4^2,
IF(AW72&gt;=AZ73*4^3,
IF(AW72&gt;=AZ73*4^4,
IF(AW72&gt;=AZ73*4^5,
IF(AW72&gt;=AZ73*4^6,
IF(AW72&gt;=AZ73*4^7,
IF(AW72&gt;=AZ73*4^8,
IF(AW72&gt;=AZ73*4^9,
IF(AW72&gt;=AZ73*4^10,
9),
8),
7),
6),
5),
4),
3),
2),
1),
0))</f>
        <v>1</v>
      </c>
      <c r="BB72" s="38">
        <f>AZ72*AX72*4^BA72</f>
        <v>384</v>
      </c>
      <c r="BC72" s="38">
        <f>BB72*AU72</f>
        <v>384</v>
      </c>
      <c r="BD72" s="45">
        <f>ROUNDUP(IF(R72="Yes",AN72/(2^((BA72)*2)),AN72/(2^(BA72))),0)</f>
        <v>510</v>
      </c>
      <c r="BE72" s="45">
        <f>ROUNDUP(BD72/VLOOKUP(H72,'Machine List'!$A$2:$D$219,3,FALSE),0)</f>
        <v>510</v>
      </c>
      <c r="BF72" s="45">
        <f>ROUNDUP(BE72/AY72,0)</f>
        <v>510</v>
      </c>
      <c r="BG72" s="46">
        <f>BF72*BC72</f>
        <v>195840</v>
      </c>
      <c r="BI72" s="28"/>
      <c r="BQ72" s="6" t="s">
        <v>233</v>
      </c>
      <c r="BR72" s="6">
        <v>0.0</v>
      </c>
      <c r="BS72" s="6">
        <f>VLOOKUP(BQ72,'Item List'!$A$2:$D$300,2,FALSE)</f>
        <v>3</v>
      </c>
      <c r="BT72" s="6">
        <f>VLOOKUP(BQ72,'Item List'!$A$2:$D$300,3,FALSE)</f>
        <v>4</v>
      </c>
      <c r="BU72" s="6">
        <f>VLOOKUP(BQ72,'Item List'!$A$2:$D$300,4,FALSE)</f>
        <v>3</v>
      </c>
      <c r="BY72" s="6">
        <f t="shared" ref="BY72:BY74" si="18">BX72</f>
        <v>90000</v>
      </c>
      <c r="BZ72" s="6">
        <f t="shared" ref="BZ72:BZ74" si="19">BY72/$CF$53</f>
        <v>1</v>
      </c>
      <c r="CA72" s="102">
        <f t="shared" ref="CA72:CA74" si="20">$CG$53*BZ72</f>
        <v>151.7450683</v>
      </c>
      <c r="CB72" s="102">
        <f t="shared" ref="CB72:CB74" si="21">$CH$53*BZ72</f>
        <v>3030.30303</v>
      </c>
      <c r="CC72" s="102">
        <f t="shared" ref="CC72:CC74" si="22">$CI$53*BZ72</f>
        <v>1000</v>
      </c>
      <c r="CD72" s="102"/>
      <c r="CE72" s="5">
        <f>CE70-CF70</f>
        <v>119871936</v>
      </c>
      <c r="CF72" s="5">
        <f>BP90</f>
        <v>594</v>
      </c>
      <c r="CG72" s="5">
        <f>CE72/CF72</f>
        <v>201804.6061</v>
      </c>
      <c r="CH72" s="5"/>
    </row>
    <row r="73">
      <c r="B73" s="40"/>
      <c r="C73" s="41" t="s">
        <v>70</v>
      </c>
      <c r="D73" s="38">
        <f>6000*I74</f>
        <v>102000</v>
      </c>
      <c r="E73" s="38" t="s">
        <v>36</v>
      </c>
      <c r="F73" s="42">
        <f>6000*I74</f>
        <v>102000</v>
      </c>
      <c r="G73" s="43"/>
      <c r="H73" s="99" t="s">
        <v>584</v>
      </c>
      <c r="I73" s="45">
        <f t="array" ref="I73">match(TRUE,ISBLANK(F73:F85),0)-1</f>
        <v>2</v>
      </c>
      <c r="J73" s="100" t="s">
        <v>420</v>
      </c>
      <c r="K73" s="100" t="s">
        <v>585</v>
      </c>
      <c r="L73" s="38"/>
      <c r="M73" s="38"/>
      <c r="N73" s="38"/>
      <c r="O73" s="38"/>
      <c r="P73" s="38"/>
      <c r="Q73" s="38"/>
      <c r="R73" s="101"/>
      <c r="S73" s="101"/>
      <c r="T73" s="101"/>
      <c r="U73" s="45"/>
      <c r="V73" s="45"/>
      <c r="W73" s="45"/>
      <c r="X73" s="45"/>
      <c r="Y73" s="45"/>
      <c r="Z73" s="45"/>
      <c r="AA73" s="45"/>
      <c r="AB73" s="45"/>
      <c r="AC73" s="45"/>
      <c r="AD73" s="45"/>
      <c r="AE73" s="79"/>
      <c r="AF73" s="45"/>
      <c r="AG73" s="45"/>
      <c r="AH73" s="45"/>
      <c r="AI73" s="45"/>
      <c r="AJ73" s="45"/>
      <c r="AK73" s="45"/>
      <c r="AL73" s="45"/>
      <c r="AM73" s="45"/>
      <c r="AN73" s="45"/>
      <c r="AO73" s="45"/>
      <c r="AP73" s="45"/>
      <c r="AQ73" s="45"/>
      <c r="AR73" s="79"/>
      <c r="AS73" s="45"/>
      <c r="AT73" s="45"/>
      <c r="AU73" s="45"/>
      <c r="AV73" s="45"/>
      <c r="AW73" s="45"/>
      <c r="AX73" s="45"/>
      <c r="AY73" s="45"/>
      <c r="AZ73" s="45">
        <f>AZ72*AX72</f>
        <v>96</v>
      </c>
      <c r="BA73" s="45"/>
      <c r="BB73" s="45"/>
      <c r="BC73" s="45"/>
      <c r="BD73" s="45"/>
      <c r="BE73" s="45"/>
      <c r="BF73" s="45"/>
      <c r="BG73" s="46"/>
      <c r="BI73" s="28"/>
      <c r="BQ73" s="6" t="s">
        <v>248</v>
      </c>
      <c r="BR73" s="6">
        <v>34000.0</v>
      </c>
      <c r="BS73" s="6">
        <f>VLOOKUP(BQ73,'Item List'!$A$2:$D$300,2,FALSE)</f>
        <v>0</v>
      </c>
      <c r="BT73" s="6">
        <f>VLOOKUP(BQ73,'Item List'!$A$2:$D$300,3,FALSE)</f>
        <v>5</v>
      </c>
      <c r="BU73" s="6">
        <f>VLOOKUP(BQ73,'Item List'!$A$2:$D$300,4,FALSE)</f>
        <v>0</v>
      </c>
      <c r="BY73" s="6">
        <f t="shared" si="18"/>
        <v>17000</v>
      </c>
      <c r="BZ73" s="6">
        <f t="shared" si="19"/>
        <v>0.1888888889</v>
      </c>
      <c r="CA73" s="102">
        <f t="shared" si="20"/>
        <v>28.66295734</v>
      </c>
      <c r="CB73" s="102">
        <f t="shared" si="21"/>
        <v>572.3905724</v>
      </c>
      <c r="CC73" s="102">
        <f t="shared" si="22"/>
        <v>188.8888889</v>
      </c>
    </row>
    <row r="74">
      <c r="B74" s="40"/>
      <c r="C74" s="41" t="s">
        <v>119</v>
      </c>
      <c r="D74" s="38">
        <f>1000*I74</f>
        <v>17000</v>
      </c>
      <c r="E74" s="38" t="s">
        <v>80</v>
      </c>
      <c r="F74" s="42">
        <f>1000*I74</f>
        <v>17000</v>
      </c>
      <c r="G74" s="43"/>
      <c r="H74" s="56" t="s">
        <v>502</v>
      </c>
      <c r="I74" s="57">
        <v>17.0</v>
      </c>
      <c r="J74" s="100" t="s">
        <v>424</v>
      </c>
      <c r="K74" s="100">
        <v>0.0</v>
      </c>
      <c r="L74" s="45"/>
      <c r="M74" s="45"/>
      <c r="N74" s="45"/>
      <c r="O74" s="45"/>
      <c r="P74" s="45"/>
      <c r="Q74" s="45"/>
      <c r="R74" s="45"/>
      <c r="S74" s="101"/>
      <c r="T74" s="101"/>
      <c r="U74" s="45"/>
      <c r="V74" s="45"/>
      <c r="W74" s="45"/>
      <c r="X74" s="45"/>
      <c r="Y74" s="45"/>
      <c r="Z74" s="45"/>
      <c r="AA74" s="45"/>
      <c r="AB74" s="45"/>
      <c r="AC74" s="45"/>
      <c r="AD74" s="45"/>
      <c r="AE74" s="79"/>
      <c r="AF74" s="45"/>
      <c r="AG74" s="45"/>
      <c r="AH74" s="45"/>
      <c r="AI74" s="45"/>
      <c r="AJ74" s="45"/>
      <c r="AK74" s="45"/>
      <c r="AL74" s="45"/>
      <c r="AM74" s="45"/>
      <c r="AN74" s="45"/>
      <c r="AO74" s="45"/>
      <c r="AP74" s="45"/>
      <c r="AQ74" s="45"/>
      <c r="AR74" s="79"/>
      <c r="AS74" s="45"/>
      <c r="AT74" s="45"/>
      <c r="AU74" s="45"/>
      <c r="AV74" s="45"/>
      <c r="AW74" s="45"/>
      <c r="AX74" s="45"/>
      <c r="AY74" s="45"/>
      <c r="AZ74" s="45"/>
      <c r="BA74" s="45"/>
      <c r="BB74" s="45"/>
      <c r="BC74" s="45"/>
      <c r="BD74" s="45"/>
      <c r="BE74" s="45"/>
      <c r="BF74" s="45"/>
      <c r="BG74" s="46"/>
      <c r="BI74" s="28"/>
      <c r="BY74" s="6">
        <f t="shared" si="18"/>
        <v>34000</v>
      </c>
      <c r="BZ74" s="6">
        <f t="shared" si="19"/>
        <v>0.3777777778</v>
      </c>
      <c r="CA74" s="102">
        <f t="shared" si="20"/>
        <v>57.32591469</v>
      </c>
      <c r="CB74" s="102">
        <f t="shared" si="21"/>
        <v>1144.781145</v>
      </c>
      <c r="CC74" s="102">
        <f t="shared" si="22"/>
        <v>377.7777778</v>
      </c>
    </row>
    <row r="75">
      <c r="B75" s="40"/>
      <c r="C75" s="41" t="s">
        <v>647</v>
      </c>
      <c r="D75" s="38">
        <f>0.1*I74</f>
        <v>1.7</v>
      </c>
      <c r="E75" s="38"/>
      <c r="F75" s="42"/>
      <c r="G75" s="43"/>
      <c r="H75" s="44"/>
      <c r="I75" s="45"/>
      <c r="J75" s="45"/>
      <c r="K75" s="45"/>
      <c r="L75" s="45"/>
      <c r="M75" s="45"/>
      <c r="N75" s="45"/>
      <c r="O75" s="45"/>
      <c r="P75" s="45"/>
      <c r="Q75" s="45"/>
      <c r="R75" s="45"/>
      <c r="S75" s="45"/>
      <c r="T75" s="45"/>
      <c r="U75" s="45"/>
      <c r="V75" s="45"/>
      <c r="W75" s="45"/>
      <c r="X75" s="45"/>
      <c r="Y75" s="45"/>
      <c r="Z75" s="45"/>
      <c r="AA75" s="45"/>
      <c r="AB75" s="45"/>
      <c r="AC75" s="45"/>
      <c r="AD75" s="45"/>
      <c r="AE75" s="79"/>
      <c r="AF75" s="45"/>
      <c r="AG75" s="45"/>
      <c r="AH75" s="45"/>
      <c r="AI75" s="45"/>
      <c r="AJ75" s="45"/>
      <c r="AK75" s="45"/>
      <c r="AL75" s="45"/>
      <c r="AM75" s="45"/>
      <c r="AN75" s="45"/>
      <c r="AO75" s="45"/>
      <c r="AP75" s="45"/>
      <c r="AQ75" s="45"/>
      <c r="AR75" s="79"/>
      <c r="AS75" s="45"/>
      <c r="AT75" s="45"/>
      <c r="AU75" s="45"/>
      <c r="AV75" s="45"/>
      <c r="AW75" s="45"/>
      <c r="AX75" s="45"/>
      <c r="AY75" s="45"/>
      <c r="AZ75" s="45"/>
      <c r="BA75" s="45"/>
      <c r="BB75" s="45"/>
      <c r="BC75" s="45"/>
      <c r="BD75" s="45"/>
      <c r="BE75" s="45"/>
      <c r="BF75" s="45"/>
      <c r="BG75" s="46"/>
      <c r="BI75" s="28"/>
      <c r="BK75" s="6" t="s">
        <v>457</v>
      </c>
      <c r="BL75" s="6" t="s">
        <v>467</v>
      </c>
      <c r="BM75" s="6" t="s">
        <v>471</v>
      </c>
      <c r="BN75" s="6" t="s">
        <v>457</v>
      </c>
      <c r="BO75" s="6" t="s">
        <v>466</v>
      </c>
      <c r="BP75" s="6" t="s">
        <v>470</v>
      </c>
      <c r="BQ75" s="6" t="s">
        <v>457</v>
      </c>
      <c r="BR75" s="6" t="s">
        <v>484</v>
      </c>
      <c r="BS75" s="6" t="s">
        <v>605</v>
      </c>
      <c r="BT75" s="6" t="s">
        <v>606</v>
      </c>
    </row>
    <row r="76">
      <c r="B76" s="50"/>
      <c r="C76" s="51"/>
      <c r="D76" s="52"/>
      <c r="E76" s="52"/>
      <c r="F76" s="52"/>
      <c r="G76" s="43"/>
      <c r="H76" s="52"/>
      <c r="I76" s="52"/>
      <c r="J76" s="52"/>
      <c r="K76" s="52"/>
      <c r="L76" s="52"/>
      <c r="M76" s="52"/>
      <c r="N76" s="52"/>
      <c r="O76" s="52"/>
      <c r="P76" s="52"/>
      <c r="Q76" s="52"/>
      <c r="R76" s="52"/>
      <c r="S76" s="52"/>
      <c r="T76" s="52"/>
      <c r="U76" s="52"/>
      <c r="V76" s="52"/>
      <c r="W76" s="52"/>
      <c r="X76" s="52"/>
      <c r="Y76" s="52"/>
      <c r="Z76" s="52"/>
      <c r="AA76" s="52"/>
      <c r="AB76" s="52"/>
      <c r="AC76" s="52"/>
      <c r="AD76" s="52"/>
      <c r="AE76" s="43"/>
      <c r="AF76" s="52"/>
      <c r="AG76" s="52"/>
      <c r="AH76" s="52"/>
      <c r="AI76" s="52"/>
      <c r="AJ76" s="52"/>
      <c r="AK76" s="52"/>
      <c r="AL76" s="52"/>
      <c r="AM76" s="52"/>
      <c r="AN76" s="52"/>
      <c r="AO76" s="52"/>
      <c r="AP76" s="52"/>
      <c r="AQ76" s="52"/>
      <c r="AR76" s="43"/>
      <c r="AS76" s="52"/>
      <c r="AT76" s="52"/>
      <c r="AU76" s="52"/>
      <c r="AV76" s="52"/>
      <c r="AW76" s="52"/>
      <c r="AX76" s="52"/>
      <c r="AY76" s="52"/>
      <c r="AZ76" s="52"/>
      <c r="BA76" s="52"/>
      <c r="BB76" s="52"/>
      <c r="BC76" s="52"/>
      <c r="BD76" s="52"/>
      <c r="BE76" s="52"/>
      <c r="BF76" s="52"/>
      <c r="BG76" s="53"/>
      <c r="BI76" s="28"/>
      <c r="BK76" s="6" t="s">
        <v>632</v>
      </c>
      <c r="BL76" s="6">
        <v>4030464.0</v>
      </c>
      <c r="BM76" s="6">
        <v>4030464.0</v>
      </c>
      <c r="BN76" s="6" t="s">
        <v>632</v>
      </c>
      <c r="BO76" s="6">
        <v>7872.0</v>
      </c>
      <c r="BP76" s="6">
        <v>492.0</v>
      </c>
      <c r="BQ76" s="6" t="s">
        <v>632</v>
      </c>
      <c r="BR76" s="6">
        <v>3.0</v>
      </c>
      <c r="BS76" s="6">
        <v>5.0</v>
      </c>
      <c r="BT76" s="6">
        <v>2.0</v>
      </c>
    </row>
    <row r="77">
      <c r="B77" s="31" t="s">
        <v>648</v>
      </c>
      <c r="C77" s="54"/>
      <c r="D77" s="45"/>
      <c r="E77" s="45"/>
      <c r="F77" s="47"/>
      <c r="G77" s="35"/>
      <c r="H77" s="55" t="s">
        <v>349</v>
      </c>
      <c r="I77" s="38">
        <f>VLOOKUP(H77,'Machine List'!$A$1:$I$300,9,FALSE)</f>
        <v>4000</v>
      </c>
      <c r="J77" s="38">
        <f>IF(VLOOKUP(H77,'Machine List'!$A$1:$I$300,5,FALSE)="Multi",IF(VLOOKUP(H77,'Machine List'!$A$1:$I$300,6,FALSE)="Yes",AG77*3*10^Z77,AG77*(2*3)*10^(Z77-1)),0)</f>
        <v>6</v>
      </c>
      <c r="K77" s="38">
        <f>J77+IF(ISNUMBER(I77),I77,
  SWITCH(
      I77,
      "1T",1*10^Z77,
      "2T",2*10^Z77,
      "3T",3*10^Z77,
      "4T",4*10^Z77,
      "4000+500(7O-5)",4000+500*(7*I79-5),
      1
  )
)</f>
        <v>4006</v>
      </c>
      <c r="L77" s="38">
        <f>IF(VLOOKUP(H77,'Machine List'!$A$1:$I$300,5,FALSE)="Multi",IF(VLOOKUP(H77,'Machine List'!$A$1:$I$300,6,FALSE)="Yes",AU77*3*10^AT77,AU77*(2*3)*10^(AT77-1)),0)</f>
        <v>600</v>
      </c>
      <c r="M77" s="38">
        <f>L77+IF(ISNUMBER(I77),I77,
  SWITCH(
      I77,
      "1T",1*10^AT77,
      "2T",2*10^AT77,
      "3T",3*10^AT77,
      "4T",4*10^AT77,
      "4000+500(7O-5)",4000+500*(7*I79-5),
      1
  )
)</f>
        <v>4600</v>
      </c>
      <c r="N77" s="38" t="str">
        <f>VLOOKUP(H77,'Machine List'!$A$1:$I$300,8,FALSE)</f>
        <v>Tier</v>
      </c>
      <c r="O77" s="38">
        <f>IF(ISNUMBER(N77),N77,10^Z77)</f>
        <v>10</v>
      </c>
      <c r="P77" s="38">
        <f>IF(ISNUMBER(N77),N77,10^AT77)</f>
        <v>1000</v>
      </c>
      <c r="Q77" s="38">
        <f>VLOOKUP(H77,'Machine List'!$A$1:$B$138,2,FALSE)</f>
        <v>1</v>
      </c>
      <c r="R77" s="38" t="s">
        <v>594</v>
      </c>
      <c r="S77" s="45">
        <f>IF(ISNUMBER(Q77),Q77,
  SWITCH(
      Q77,
      "1",1,
      "2T",Z77*2,
      "4T",Z77*4,
      "6T",Z77*6,
      "8T",Z77*8,
      "10T",Z77*10,
      "12T",Z77*12,
      "14T",Z77*14,
      "16T",Z77*16,
      "2(T+1)",2*(Z77+1),
      "1T*C",Z77*J79,
      1
  )
)</f>
        <v>1</v>
      </c>
      <c r="T77" s="38" t="s">
        <v>277</v>
      </c>
      <c r="U77" s="38">
        <f>IF(OR(T77="No",T77=""),S77,T77)</f>
        <v>1</v>
      </c>
      <c r="V77" s="38">
        <f>IF(ISNUMBER(Q77),Q77,
  SWITCH(
      Q77,
      "1",1,
      "2T",AT77*2,
      "4T",AT77*4,
      "6T",AT77*6,
      "8T",AT77*8,
      "10T",AT77*10,
      "12T",AT77*12,
      "14T",AT77*14,
      "16T",AT77*16,
      "2(T+1)",2*(AT77+1),
      "1T*C",AT77*J79,
      1
  )
)</f>
        <v>1</v>
      </c>
      <c r="W77" s="38" t="str">
        <f>T77</f>
        <v>No</v>
      </c>
      <c r="X77" s="38">
        <f>IF(OR(W77="No",W77=""),V77,W77)</f>
        <v>1</v>
      </c>
      <c r="Y77" s="38" t="s">
        <v>390</v>
      </c>
      <c r="Z77" s="38">
        <f>VLOOKUP(Y77,'Item Helper Sheet'!$A$2:$B$16,2,FALSE)</f>
        <v>1</v>
      </c>
      <c r="AA77" s="38">
        <v>30.0</v>
      </c>
      <c r="AB77" s="38">
        <f>15*20</f>
        <v>300</v>
      </c>
      <c r="AC77" s="38">
        <f>AB77*I79</f>
        <v>600</v>
      </c>
      <c r="AD77" s="38">
        <f>AA77*AC77</f>
        <v>18000</v>
      </c>
      <c r="AE77" s="75"/>
      <c r="AF77" s="38" t="str">
        <f>Y77</f>
        <v>01 - LV</v>
      </c>
      <c r="AG77" s="38">
        <v>1.0</v>
      </c>
      <c r="AH77" s="38">
        <v>1.0</v>
      </c>
      <c r="AI77" s="38">
        <f>AH77*8*4^Z77</f>
        <v>32</v>
      </c>
      <c r="AJ77" s="38">
        <f>MIN(ROUNDDOWN(AI77/AL77,0),U77)</f>
        <v>1</v>
      </c>
      <c r="AK77" s="38">
        <f>IF(OR(T77="No",T77=""),AG77*S77,AG77*T77)</f>
        <v>1</v>
      </c>
      <c r="AL77" s="38">
        <f>ROUNDUP(AA77*VLOOKUP(H77,'Machine List'!$A$2:$D$219,4,FALSE),0)</f>
        <v>30</v>
      </c>
      <c r="AM77" s="38">
        <f>AL77*AK77</f>
        <v>30</v>
      </c>
      <c r="AN77" s="38">
        <f>ROUNDUP(AB77*I79,0)</f>
        <v>600</v>
      </c>
      <c r="AO77" s="38">
        <f>ROUNDUP(AN77/VLOOKUP(H77,'Machine List'!$A$2:$D$219,3,FALSE),0)</f>
        <v>600</v>
      </c>
      <c r="AP77" s="38">
        <f>ROUNDUP(AO77/AK77,0)</f>
        <v>600</v>
      </c>
      <c r="AQ77" s="38">
        <f>AM77*AP77</f>
        <v>18000</v>
      </c>
      <c r="AR77" s="75"/>
      <c r="AS77" s="38" t="s">
        <v>397</v>
      </c>
      <c r="AT77" s="38">
        <f>VLOOKUP(AS77,'Item Helper Sheet'!$A$2:$B$16,2,FALSE)</f>
        <v>3</v>
      </c>
      <c r="AU77" s="38">
        <f>AG77</f>
        <v>1</v>
      </c>
      <c r="AV77" s="38">
        <v>1.0</v>
      </c>
      <c r="AW77" s="38">
        <f>AV77*8*4^AT77</f>
        <v>512</v>
      </c>
      <c r="AX77" s="38">
        <f>MIN(ROUNDDOWN(AW77/AL77,0),X77)</f>
        <v>1</v>
      </c>
      <c r="AY77" s="38">
        <f>AX77*AU77</f>
        <v>1</v>
      </c>
      <c r="AZ77" s="38">
        <f>AL77</f>
        <v>30</v>
      </c>
      <c r="BA77" s="38">
        <f>MIN(AT77-Z77,IF(AW77&gt;=AZ78*4,
IF(AW77&gt;=AZ78*4^2,
IF(AW77&gt;=AZ78*4^3,
IF(AW77&gt;=AZ78*4^4,
IF(AW77&gt;=AZ78*4^5,
IF(AW77&gt;=AZ78*4^6,
IF(AW77&gt;=AZ78*4^7,
IF(AW77&gt;=AZ78*4^8,
IF(AW77&gt;=AZ78*4^9,
IF(AW77&gt;=AZ78*4^10,
9),
8),
7),
6),
5),
4),
3),
2),
1),
0))</f>
        <v>2</v>
      </c>
      <c r="BB77" s="38">
        <f>AZ77*AX77*4^BA77</f>
        <v>480</v>
      </c>
      <c r="BC77" s="38">
        <f>BB77*AU77</f>
        <v>480</v>
      </c>
      <c r="BD77" s="45">
        <f>ROUNDUP(IF(R77="Yes",AN77/(2^((BA77)*2)),AN77/(2^(BA77))),0)</f>
        <v>38</v>
      </c>
      <c r="BE77" s="45">
        <f>ROUNDUP(BD77/VLOOKUP(H77,'Machine List'!$A$2:$D$219,3,FALSE),0)</f>
        <v>38</v>
      </c>
      <c r="BF77" s="45">
        <f>ROUNDUP(BE77/AY77,0)</f>
        <v>38</v>
      </c>
      <c r="BG77" s="46">
        <f>BF77*BC77</f>
        <v>18240</v>
      </c>
      <c r="BI77" s="28"/>
      <c r="BK77" s="6" t="s">
        <v>633</v>
      </c>
      <c r="BL77" s="6">
        <v>130560.0</v>
      </c>
      <c r="BM77" s="6">
        <v>2088960.0</v>
      </c>
      <c r="BN77" s="6" t="s">
        <v>633</v>
      </c>
      <c r="BO77" s="6">
        <v>8160.0</v>
      </c>
      <c r="BP77" s="6">
        <v>510.0</v>
      </c>
      <c r="BQ77" s="6" t="s">
        <v>633</v>
      </c>
      <c r="BR77" s="6">
        <v>1.0</v>
      </c>
      <c r="BS77" s="6">
        <v>5.0</v>
      </c>
      <c r="BT77" s="6">
        <v>4.0</v>
      </c>
    </row>
    <row r="78">
      <c r="B78" s="40"/>
      <c r="C78" s="41" t="s">
        <v>119</v>
      </c>
      <c r="D78" s="38">
        <f>1000*I79</f>
        <v>2000</v>
      </c>
      <c r="E78" s="38" t="s">
        <v>13</v>
      </c>
      <c r="F78" s="42">
        <f>1000*I79</f>
        <v>2000</v>
      </c>
      <c r="G78" s="43"/>
      <c r="H78" s="99" t="s">
        <v>584</v>
      </c>
      <c r="I78" s="45">
        <f t="array" ref="I78">match(TRUE,ISBLANK(F78:F90),0)-1</f>
        <v>1</v>
      </c>
      <c r="J78" s="100" t="s">
        <v>420</v>
      </c>
      <c r="K78" s="100" t="s">
        <v>585</v>
      </c>
      <c r="L78" s="38"/>
      <c r="M78" s="38"/>
      <c r="N78" s="38"/>
      <c r="O78" s="38"/>
      <c r="P78" s="38"/>
      <c r="Q78" s="38"/>
      <c r="R78" s="101"/>
      <c r="S78" s="101"/>
      <c r="T78" s="101"/>
      <c r="U78" s="45"/>
      <c r="V78" s="45"/>
      <c r="W78" s="45"/>
      <c r="X78" s="45"/>
      <c r="Y78" s="45"/>
      <c r="Z78" s="45"/>
      <c r="AA78" s="45"/>
      <c r="AB78" s="45"/>
      <c r="AC78" s="45"/>
      <c r="AD78" s="45"/>
      <c r="AE78" s="79"/>
      <c r="AF78" s="45"/>
      <c r="AG78" s="45"/>
      <c r="AH78" s="45"/>
      <c r="AI78" s="45"/>
      <c r="AJ78" s="45"/>
      <c r="AK78" s="45"/>
      <c r="AL78" s="45"/>
      <c r="AM78" s="45"/>
      <c r="AN78" s="45"/>
      <c r="AO78" s="45"/>
      <c r="AP78" s="45"/>
      <c r="AQ78" s="45"/>
      <c r="AR78" s="79"/>
      <c r="AS78" s="45"/>
      <c r="AT78" s="45"/>
      <c r="AU78" s="45"/>
      <c r="AV78" s="45"/>
      <c r="AW78" s="45"/>
      <c r="AX78" s="45"/>
      <c r="AY78" s="45"/>
      <c r="AZ78" s="45">
        <f>AZ77*AX77</f>
        <v>30</v>
      </c>
      <c r="BA78" s="45"/>
      <c r="BB78" s="45"/>
      <c r="BC78" s="45"/>
      <c r="BD78" s="45"/>
      <c r="BE78" s="45"/>
      <c r="BF78" s="45"/>
      <c r="BG78" s="46"/>
      <c r="BI78" s="28"/>
      <c r="BK78" s="6" t="s">
        <v>634</v>
      </c>
      <c r="BL78" s="6">
        <v>355860.0</v>
      </c>
      <c r="BM78" s="6">
        <v>1425600.0</v>
      </c>
      <c r="BN78" s="6" t="s">
        <v>634</v>
      </c>
      <c r="BO78" s="6">
        <v>11862.0</v>
      </c>
      <c r="BP78" s="6">
        <v>594.0</v>
      </c>
      <c r="BQ78" s="6" t="s">
        <v>634</v>
      </c>
      <c r="BR78" s="6">
        <v>1.0</v>
      </c>
      <c r="BS78" s="6">
        <v>5.0</v>
      </c>
      <c r="BT78" s="6">
        <v>2.0</v>
      </c>
      <c r="CD78" s="102"/>
      <c r="CE78" s="102"/>
    </row>
    <row r="79">
      <c r="B79" s="40"/>
      <c r="C79" s="41" t="s">
        <v>45</v>
      </c>
      <c r="D79" s="38">
        <f>1000*I79</f>
        <v>2000</v>
      </c>
      <c r="E79" s="38"/>
      <c r="F79" s="42"/>
      <c r="G79" s="43"/>
      <c r="H79" s="56" t="s">
        <v>502</v>
      </c>
      <c r="I79" s="57">
        <v>2.0</v>
      </c>
      <c r="J79" s="100" t="s">
        <v>424</v>
      </c>
      <c r="K79" s="100">
        <v>0.0</v>
      </c>
      <c r="L79" s="45"/>
      <c r="M79" s="45"/>
      <c r="N79" s="45"/>
      <c r="O79" s="45"/>
      <c r="P79" s="45"/>
      <c r="Q79" s="45"/>
      <c r="R79" s="45"/>
      <c r="S79" s="101"/>
      <c r="T79" s="101"/>
      <c r="U79" s="45"/>
      <c r="V79" s="45"/>
      <c r="W79" s="45"/>
      <c r="X79" s="45"/>
      <c r="Y79" s="45"/>
      <c r="Z79" s="45"/>
      <c r="AA79" s="45"/>
      <c r="AB79" s="45"/>
      <c r="AC79" s="45"/>
      <c r="AD79" s="45"/>
      <c r="AE79" s="79"/>
      <c r="AF79" s="45"/>
      <c r="AG79" s="45"/>
      <c r="AH79" s="45"/>
      <c r="AI79" s="45"/>
      <c r="AJ79" s="45"/>
      <c r="AK79" s="45"/>
      <c r="AL79" s="45"/>
      <c r="AM79" s="45"/>
      <c r="AN79" s="45"/>
      <c r="AO79" s="45"/>
      <c r="AP79" s="45"/>
      <c r="AQ79" s="45"/>
      <c r="AR79" s="79"/>
      <c r="AS79" s="45"/>
      <c r="AT79" s="45"/>
      <c r="AU79" s="45"/>
      <c r="AV79" s="45"/>
      <c r="AW79" s="45"/>
      <c r="AX79" s="45"/>
      <c r="AY79" s="45"/>
      <c r="AZ79" s="45"/>
      <c r="BA79" s="45"/>
      <c r="BB79" s="45"/>
      <c r="BC79" s="45"/>
      <c r="BD79" s="45"/>
      <c r="BE79" s="45"/>
      <c r="BF79" s="45"/>
      <c r="BG79" s="46"/>
      <c r="BI79" s="28"/>
      <c r="BK79" s="6" t="s">
        <v>635</v>
      </c>
      <c r="BL79" s="6">
        <v>384000.0</v>
      </c>
      <c r="BM79" s="6">
        <v>384000.0</v>
      </c>
      <c r="BN79" s="6" t="s">
        <v>635</v>
      </c>
      <c r="BO79" s="6">
        <v>800.0</v>
      </c>
      <c r="BP79" s="6">
        <v>200.0</v>
      </c>
      <c r="BQ79" s="6" t="s">
        <v>635</v>
      </c>
      <c r="BR79" s="6">
        <v>3.0</v>
      </c>
      <c r="BS79" s="6">
        <v>4.0</v>
      </c>
      <c r="BT79" s="6">
        <v>1.0</v>
      </c>
      <c r="CD79" s="102"/>
      <c r="CE79" s="102"/>
    </row>
    <row r="80">
      <c r="B80" s="50"/>
      <c r="C80" s="51"/>
      <c r="D80" s="52"/>
      <c r="E80" s="52"/>
      <c r="F80" s="52"/>
      <c r="G80" s="43"/>
      <c r="H80" s="52"/>
      <c r="I80" s="52"/>
      <c r="J80" s="52"/>
      <c r="K80" s="52"/>
      <c r="L80" s="52"/>
      <c r="M80" s="52"/>
      <c r="N80" s="52"/>
      <c r="O80" s="52"/>
      <c r="P80" s="52"/>
      <c r="Q80" s="52"/>
      <c r="R80" s="52"/>
      <c r="S80" s="52"/>
      <c r="T80" s="52"/>
      <c r="U80" s="52"/>
      <c r="V80" s="52"/>
      <c r="W80" s="52"/>
      <c r="X80" s="52"/>
      <c r="Y80" s="52"/>
      <c r="Z80" s="52"/>
      <c r="AA80" s="52"/>
      <c r="AB80" s="52"/>
      <c r="AC80" s="52"/>
      <c r="AD80" s="52"/>
      <c r="AE80" s="43"/>
      <c r="AF80" s="52"/>
      <c r="AG80" s="52"/>
      <c r="AH80" s="52"/>
      <c r="AI80" s="52"/>
      <c r="AJ80" s="52"/>
      <c r="AK80" s="52"/>
      <c r="AL80" s="52"/>
      <c r="AM80" s="52"/>
      <c r="AN80" s="52"/>
      <c r="AO80" s="52"/>
      <c r="AP80" s="52"/>
      <c r="AQ80" s="52"/>
      <c r="AR80" s="43"/>
      <c r="AS80" s="52"/>
      <c r="AT80" s="52"/>
      <c r="AU80" s="52"/>
      <c r="AV80" s="52"/>
      <c r="AW80" s="52"/>
      <c r="AX80" s="52"/>
      <c r="AY80" s="52"/>
      <c r="AZ80" s="52"/>
      <c r="BA80" s="52"/>
      <c r="BB80" s="52"/>
      <c r="BC80" s="52"/>
      <c r="BD80" s="52"/>
      <c r="BE80" s="52"/>
      <c r="BF80" s="52"/>
      <c r="BG80" s="53"/>
      <c r="BI80" s="28"/>
      <c r="BK80" s="6" t="s">
        <v>636</v>
      </c>
      <c r="BL80" s="6">
        <v>218880.0</v>
      </c>
      <c r="BM80" s="6">
        <v>218880.0</v>
      </c>
      <c r="BN80" s="6" t="s">
        <v>636</v>
      </c>
      <c r="BO80" s="6">
        <v>2280.0</v>
      </c>
      <c r="BP80" s="6">
        <v>570.0</v>
      </c>
      <c r="BQ80" s="6" t="s">
        <v>636</v>
      </c>
      <c r="BR80" s="6">
        <v>2.0</v>
      </c>
      <c r="BS80" s="6">
        <v>3.0</v>
      </c>
      <c r="BT80" s="6">
        <v>1.0</v>
      </c>
      <c r="CD80" s="102"/>
      <c r="CE80" s="102"/>
    </row>
    <row r="81">
      <c r="B81" s="31" t="s">
        <v>649</v>
      </c>
      <c r="C81" s="54"/>
      <c r="D81" s="45"/>
      <c r="E81" s="45"/>
      <c r="F81" s="47"/>
      <c r="G81" s="35"/>
      <c r="H81" s="55" t="s">
        <v>349</v>
      </c>
      <c r="I81" s="38">
        <f>VLOOKUP(H81,'Machine List'!$A$1:$I$300,9,FALSE)</f>
        <v>4000</v>
      </c>
      <c r="J81" s="38">
        <f>IF(VLOOKUP(H81,'Machine List'!$A$1:$I$300,5,FALSE)="Multi",IF(VLOOKUP(H81,'Machine List'!$A$1:$I$300,6,FALSE)="Yes",AG81*3*10^Z81,AG81*(2*3)*10^(Z81-1)),0)</f>
        <v>60</v>
      </c>
      <c r="K81" s="38">
        <f>J81+IF(ISNUMBER(I81),I81,
  SWITCH(
      I81,
      "1T",1*10^Z81,
      "2T",2*10^Z81,
      "3T",3*10^Z81,
      "4T",4*10^Z81,
      "4000+500(7O-5)",4000+500*(7*I83-5),
      1
  )
)</f>
        <v>4060</v>
      </c>
      <c r="L81" s="38">
        <f>IF(VLOOKUP(H81,'Machine List'!$A$1:$I$300,5,FALSE)="Multi",IF(VLOOKUP(H81,'Machine List'!$A$1:$I$300,6,FALSE)="Yes",AU81*3*10^AT81,AU81*(2*3)*10^(AT81-1)),0)</f>
        <v>600</v>
      </c>
      <c r="M81" s="38">
        <f>L81+IF(ISNUMBER(I81),I81,
  SWITCH(
      I81,
      "1T",1*10^AT81,
      "2T",2*10^AT81,
      "3T",3*10^AT81,
      "4T",4*10^AT81,
      "4000+500(7O-5)",4000+500*(7*I83-5),
      1
  )
)</f>
        <v>4600</v>
      </c>
      <c r="N81" s="38" t="str">
        <f>VLOOKUP(H81,'Machine List'!$A$1:$I$300,8,FALSE)</f>
        <v>Tier</v>
      </c>
      <c r="O81" s="38">
        <f>IF(ISNUMBER(N81),N81,10^Z81)</f>
        <v>100</v>
      </c>
      <c r="P81" s="38">
        <f>IF(ISNUMBER(N81),N81,10^AT81)</f>
        <v>1000</v>
      </c>
      <c r="Q81" s="38">
        <f>VLOOKUP(H81,'Machine List'!$A$1:$B$138,2,FALSE)</f>
        <v>1</v>
      </c>
      <c r="R81" s="38" t="s">
        <v>594</v>
      </c>
      <c r="S81" s="45">
        <f>IF(ISNUMBER(Q81),Q81,
  SWITCH(
      Q81,
      "1",1,
      "2T",Z81*2,
      "4T",Z81*4,
      "6T",Z81*6,
      "8T",Z81*8,
      "10T",Z81*10,
      "12T",Z81*12,
      "14T",Z81*14,
      "16T",Z81*16,
      "2(T+1)",2*(Z81+1),
      "1T*C",Z81*J83,
      1
  )
)</f>
        <v>1</v>
      </c>
      <c r="T81" s="38" t="s">
        <v>277</v>
      </c>
      <c r="U81" s="38">
        <f>IF(OR(T81="No",T81=""),S81,T81)</f>
        <v>1</v>
      </c>
      <c r="V81" s="38">
        <f>IF(ISNUMBER(Q81),Q81,
  SWITCH(
      Q81,
      "1",1,
      "2T",AT81*2,
      "4T",AT81*4,
      "6T",AT81*6,
      "8T",AT81*8,
      "10T",AT81*10,
      "12T",AT81*12,
      "14T",AT81*14,
      "16T",AT81*16,
      "2(T+1)",2*(AT81+1),
      "1T*C",AT81*J83,
      1
  )
)</f>
        <v>1</v>
      </c>
      <c r="W81" s="38" t="str">
        <f>T81</f>
        <v>No</v>
      </c>
      <c r="X81" s="38">
        <f>IF(OR(W81="No",W81=""),V81,W81)</f>
        <v>1</v>
      </c>
      <c r="Y81" s="38" t="s">
        <v>393</v>
      </c>
      <c r="Z81" s="38">
        <f>VLOOKUP(Y81,'Item Helper Sheet'!$A$2:$B$16,2,FALSE)</f>
        <v>2</v>
      </c>
      <c r="AA81" s="38">
        <v>120.0</v>
      </c>
      <c r="AB81" s="38">
        <f>8*20</f>
        <v>160</v>
      </c>
      <c r="AC81" s="38">
        <f>AB81*I83</f>
        <v>320</v>
      </c>
      <c r="AD81" s="38">
        <f>AA81*AC81</f>
        <v>38400</v>
      </c>
      <c r="AE81" s="75"/>
      <c r="AF81" s="38" t="str">
        <f>Y81</f>
        <v>02 - MV</v>
      </c>
      <c r="AG81" s="38">
        <v>1.0</v>
      </c>
      <c r="AH81" s="38">
        <v>1.0</v>
      </c>
      <c r="AI81" s="38">
        <f>AH81*8*4^Z81</f>
        <v>128</v>
      </c>
      <c r="AJ81" s="38">
        <f>MIN(ROUNDDOWN(AI81/AL81,0),U81)</f>
        <v>1</v>
      </c>
      <c r="AK81" s="38">
        <f>IF(OR(T81="No",T81=""),AG81*S81,AG81*T81)</f>
        <v>1</v>
      </c>
      <c r="AL81" s="38">
        <f>ROUNDUP(AA81*VLOOKUP(H81,'Machine List'!$A$2:$D$219,4,FALSE),0)</f>
        <v>120</v>
      </c>
      <c r="AM81" s="38">
        <f>AL81*AK81</f>
        <v>120</v>
      </c>
      <c r="AN81" s="38">
        <f>ROUNDUP(AB81*I83,0)</f>
        <v>320</v>
      </c>
      <c r="AO81" s="38">
        <f>ROUNDUP(AN81/VLOOKUP(H81,'Machine List'!$A$2:$D$219,3,FALSE),0)</f>
        <v>320</v>
      </c>
      <c r="AP81" s="38">
        <f>ROUNDUP(AO81/AK81,0)</f>
        <v>320</v>
      </c>
      <c r="AQ81" s="38">
        <f>AM81*AP81</f>
        <v>38400</v>
      </c>
      <c r="AR81" s="75"/>
      <c r="AS81" s="38" t="s">
        <v>397</v>
      </c>
      <c r="AT81" s="38">
        <f>VLOOKUP(AS81,'Item Helper Sheet'!$A$2:$B$16,2,FALSE)</f>
        <v>3</v>
      </c>
      <c r="AU81" s="38">
        <f>AG81</f>
        <v>1</v>
      </c>
      <c r="AV81" s="38">
        <v>1.0</v>
      </c>
      <c r="AW81" s="38">
        <f>AV81*8*4^AT81</f>
        <v>512</v>
      </c>
      <c r="AX81" s="38">
        <f>MIN(ROUNDDOWN(AW81/AL81,0),X81)</f>
        <v>1</v>
      </c>
      <c r="AY81" s="38">
        <f>AX81*AU81</f>
        <v>1</v>
      </c>
      <c r="AZ81" s="38">
        <f>AL81</f>
        <v>120</v>
      </c>
      <c r="BA81" s="38">
        <f>MIN(AT81-Z81,IF(AW81&gt;=AZ82*4,
IF(AW81&gt;=AZ82*4^2,
IF(AW81&gt;=AZ82*4^3,
IF(AW81&gt;=AZ82*4^4,
IF(AW81&gt;=AZ82*4^5,
IF(AW81&gt;=AZ82*4^6,
IF(AW81&gt;=AZ82*4^7,
IF(AW81&gt;=AZ82*4^8,
IF(AW81&gt;=AZ82*4^9,
IF(AW81&gt;=AZ82*4^10,
9),
8),
7),
6),
5),
4),
3),
2),
1),
0))</f>
        <v>1</v>
      </c>
      <c r="BB81" s="38">
        <f>AZ81*AX81*4^BA81</f>
        <v>480</v>
      </c>
      <c r="BC81" s="38">
        <f>BB81*AU81</f>
        <v>480</v>
      </c>
      <c r="BD81" s="45">
        <f>ROUNDUP(IF(R81="Yes",AN81/(2^((BA81)*2)),AN81/(2^(BA81))),0)</f>
        <v>80</v>
      </c>
      <c r="BE81" s="45">
        <f>ROUNDUP(BD81/VLOOKUP(H81,'Machine List'!$A$2:$D$219,3,FALSE),0)</f>
        <v>80</v>
      </c>
      <c r="BF81" s="45">
        <f>ROUNDUP(BE81/AY81,0)</f>
        <v>80</v>
      </c>
      <c r="BG81" s="46">
        <f>BF81*BC81</f>
        <v>38400</v>
      </c>
      <c r="BI81" s="28"/>
      <c r="BK81" s="6" t="s">
        <v>637</v>
      </c>
      <c r="BL81" s="6">
        <v>195840.0</v>
      </c>
      <c r="BM81" s="6">
        <v>195840.0</v>
      </c>
      <c r="BN81" s="6" t="s">
        <v>637</v>
      </c>
      <c r="BO81" s="6">
        <v>2040.0</v>
      </c>
      <c r="BP81" s="6">
        <v>510.0</v>
      </c>
      <c r="BQ81" s="6" t="s">
        <v>637</v>
      </c>
      <c r="BR81" s="6">
        <v>2.0</v>
      </c>
      <c r="BS81" s="6">
        <v>3.0</v>
      </c>
      <c r="BT81" s="6">
        <v>1.0</v>
      </c>
    </row>
    <row r="82">
      <c r="B82" s="40"/>
      <c r="C82" s="41" t="s">
        <v>13</v>
      </c>
      <c r="D82" s="38">
        <f>1000*I83</f>
        <v>2000</v>
      </c>
      <c r="E82" s="38" t="s">
        <v>63</v>
      </c>
      <c r="F82" s="42">
        <f>1000*I83</f>
        <v>2000</v>
      </c>
      <c r="G82" s="43"/>
      <c r="H82" s="99" t="s">
        <v>584</v>
      </c>
      <c r="I82" s="45">
        <f t="array" ref="I82">match(TRUE,ISBLANK(F82:F94),0)-1</f>
        <v>2</v>
      </c>
      <c r="J82" s="100" t="s">
        <v>420</v>
      </c>
      <c r="K82" s="100" t="s">
        <v>585</v>
      </c>
      <c r="L82" s="38"/>
      <c r="M82" s="38"/>
      <c r="N82" s="38"/>
      <c r="O82" s="38"/>
      <c r="P82" s="38"/>
      <c r="Q82" s="38"/>
      <c r="R82" s="101"/>
      <c r="S82" s="101"/>
      <c r="T82" s="101"/>
      <c r="U82" s="45"/>
      <c r="V82" s="45"/>
      <c r="W82" s="45"/>
      <c r="X82" s="45"/>
      <c r="Y82" s="45"/>
      <c r="Z82" s="45"/>
      <c r="AA82" s="45"/>
      <c r="AB82" s="45"/>
      <c r="AC82" s="45"/>
      <c r="AD82" s="45"/>
      <c r="AE82" s="79"/>
      <c r="AF82" s="45"/>
      <c r="AG82" s="45"/>
      <c r="AH82" s="45"/>
      <c r="AI82" s="45"/>
      <c r="AJ82" s="45"/>
      <c r="AK82" s="45"/>
      <c r="AL82" s="45"/>
      <c r="AM82" s="45"/>
      <c r="AN82" s="45"/>
      <c r="AO82" s="45"/>
      <c r="AP82" s="45"/>
      <c r="AQ82" s="45"/>
      <c r="AR82" s="79"/>
      <c r="AS82" s="45"/>
      <c r="AT82" s="45"/>
      <c r="AU82" s="45"/>
      <c r="AV82" s="45"/>
      <c r="AW82" s="45"/>
      <c r="AX82" s="45"/>
      <c r="AY82" s="45"/>
      <c r="AZ82" s="45">
        <f>AZ81*AX81</f>
        <v>120</v>
      </c>
      <c r="BA82" s="45"/>
      <c r="BB82" s="45"/>
      <c r="BC82" s="45"/>
      <c r="BD82" s="45"/>
      <c r="BE82" s="45"/>
      <c r="BF82" s="45"/>
      <c r="BG82" s="46"/>
      <c r="BI82" s="28"/>
      <c r="BK82" s="6" t="s">
        <v>648</v>
      </c>
      <c r="BL82" s="6">
        <v>18000.0</v>
      </c>
      <c r="BM82" s="6">
        <v>18240.0</v>
      </c>
      <c r="BN82" s="6" t="s">
        <v>648</v>
      </c>
      <c r="BO82" s="6">
        <v>600.0</v>
      </c>
      <c r="BP82" s="6">
        <v>38.0</v>
      </c>
      <c r="BQ82" s="6" t="s">
        <v>648</v>
      </c>
      <c r="BR82" s="6">
        <v>1.0</v>
      </c>
      <c r="BS82" s="6">
        <v>3.0</v>
      </c>
      <c r="BT82" s="6">
        <v>2.0</v>
      </c>
    </row>
    <row r="83">
      <c r="B83" s="40"/>
      <c r="C83" s="41" t="s">
        <v>227</v>
      </c>
      <c r="D83" s="38">
        <f>1000*I83</f>
        <v>2000</v>
      </c>
      <c r="E83" s="38" t="s">
        <v>55</v>
      </c>
      <c r="F83" s="42">
        <f>1000*I83</f>
        <v>2000</v>
      </c>
      <c r="G83" s="43"/>
      <c r="H83" s="56" t="s">
        <v>502</v>
      </c>
      <c r="I83" s="57">
        <v>2.0</v>
      </c>
      <c r="J83" s="100" t="s">
        <v>424</v>
      </c>
      <c r="K83" s="100">
        <v>0.0</v>
      </c>
      <c r="L83" s="45"/>
      <c r="M83" s="45"/>
      <c r="N83" s="45"/>
      <c r="O83" s="45"/>
      <c r="P83" s="45"/>
      <c r="Q83" s="45"/>
      <c r="R83" s="45"/>
      <c r="S83" s="101"/>
      <c r="T83" s="101"/>
      <c r="U83" s="45"/>
      <c r="V83" s="45"/>
      <c r="W83" s="45"/>
      <c r="X83" s="45"/>
      <c r="Y83" s="45"/>
      <c r="Z83" s="45"/>
      <c r="AA83" s="45"/>
      <c r="AB83" s="45"/>
      <c r="AC83" s="45"/>
      <c r="AD83" s="45"/>
      <c r="AE83" s="79"/>
      <c r="AF83" s="45"/>
      <c r="AG83" s="45"/>
      <c r="AH83" s="45"/>
      <c r="AI83" s="45"/>
      <c r="AJ83" s="45"/>
      <c r="AK83" s="45"/>
      <c r="AL83" s="45"/>
      <c r="AM83" s="45"/>
      <c r="AN83" s="45"/>
      <c r="AO83" s="45"/>
      <c r="AP83" s="45"/>
      <c r="AQ83" s="45"/>
      <c r="AR83" s="79"/>
      <c r="AS83" s="45"/>
      <c r="AT83" s="45"/>
      <c r="AU83" s="45"/>
      <c r="AV83" s="45"/>
      <c r="AW83" s="45"/>
      <c r="AX83" s="45"/>
      <c r="AY83" s="45"/>
      <c r="AZ83" s="45"/>
      <c r="BA83" s="45"/>
      <c r="BB83" s="45"/>
      <c r="BC83" s="45"/>
      <c r="BD83" s="45"/>
      <c r="BE83" s="45"/>
      <c r="BF83" s="45"/>
      <c r="BG83" s="46"/>
      <c r="BI83" s="28"/>
      <c r="BK83" s="6" t="s">
        <v>649</v>
      </c>
      <c r="BL83" s="6">
        <v>38400.0</v>
      </c>
      <c r="BM83" s="6">
        <v>38400.0</v>
      </c>
      <c r="BN83" s="6" t="s">
        <v>649</v>
      </c>
      <c r="BO83" s="6">
        <v>320.0</v>
      </c>
      <c r="BP83" s="6">
        <v>80.0</v>
      </c>
      <c r="BQ83" s="6" t="s">
        <v>649</v>
      </c>
      <c r="BR83" s="6">
        <v>2.0</v>
      </c>
      <c r="BS83" s="6">
        <v>3.0</v>
      </c>
      <c r="BT83" s="6">
        <v>1.0</v>
      </c>
    </row>
    <row r="84">
      <c r="B84" s="50"/>
      <c r="C84" s="51"/>
      <c r="D84" s="52"/>
      <c r="E84" s="52"/>
      <c r="F84" s="52"/>
      <c r="G84" s="43"/>
      <c r="H84" s="52"/>
      <c r="I84" s="52"/>
      <c r="J84" s="52"/>
      <c r="K84" s="52"/>
      <c r="L84" s="52"/>
      <c r="M84" s="52"/>
      <c r="N84" s="52"/>
      <c r="O84" s="52"/>
      <c r="P84" s="52"/>
      <c r="Q84" s="52"/>
      <c r="R84" s="52"/>
      <c r="S84" s="52"/>
      <c r="T84" s="52"/>
      <c r="U84" s="52"/>
      <c r="V84" s="52"/>
      <c r="W84" s="52"/>
      <c r="X84" s="52"/>
      <c r="Y84" s="52"/>
      <c r="Z84" s="52"/>
      <c r="AA84" s="52"/>
      <c r="AB84" s="52"/>
      <c r="AC84" s="52"/>
      <c r="AD84" s="52"/>
      <c r="AE84" s="43"/>
      <c r="AF84" s="52"/>
      <c r="AG84" s="52"/>
      <c r="AH84" s="52"/>
      <c r="AI84" s="52"/>
      <c r="AJ84" s="52"/>
      <c r="AK84" s="52"/>
      <c r="AL84" s="52"/>
      <c r="AM84" s="52"/>
      <c r="AN84" s="52"/>
      <c r="AO84" s="52"/>
      <c r="AP84" s="52"/>
      <c r="AQ84" s="52"/>
      <c r="AR84" s="43"/>
      <c r="AS84" s="52"/>
      <c r="AT84" s="52"/>
      <c r="AU84" s="52"/>
      <c r="AV84" s="52"/>
      <c r="AW84" s="52"/>
      <c r="AX84" s="52"/>
      <c r="AY84" s="52"/>
      <c r="AZ84" s="52"/>
      <c r="BA84" s="52"/>
      <c r="BB84" s="52"/>
      <c r="BC84" s="52"/>
      <c r="BD84" s="52"/>
      <c r="BE84" s="52"/>
      <c r="BF84" s="52"/>
      <c r="BG84" s="53"/>
      <c r="BI84" s="28"/>
      <c r="BK84" s="6" t="s">
        <v>650</v>
      </c>
      <c r="BL84" s="6">
        <v>1966080.0</v>
      </c>
      <c r="BM84" s="6">
        <v>1966080.0</v>
      </c>
      <c r="BN84" s="6" t="s">
        <v>650</v>
      </c>
      <c r="BO84" s="6">
        <v>5120.0</v>
      </c>
      <c r="BP84" s="6">
        <v>320.0</v>
      </c>
      <c r="BQ84" s="6" t="s">
        <v>650</v>
      </c>
      <c r="BR84" s="6">
        <v>3.0</v>
      </c>
      <c r="BS84" s="6">
        <v>5.0</v>
      </c>
      <c r="BT84" s="6">
        <v>2.0</v>
      </c>
    </row>
    <row r="85">
      <c r="B85" s="31" t="s">
        <v>650</v>
      </c>
      <c r="C85" s="54"/>
      <c r="D85" s="45"/>
      <c r="E85" s="45"/>
      <c r="F85" s="47"/>
      <c r="G85" s="35"/>
      <c r="H85" s="55" t="s">
        <v>349</v>
      </c>
      <c r="I85" s="38">
        <f>VLOOKUP(H85,'Machine List'!$A$1:$I$300,9,FALSE)</f>
        <v>4000</v>
      </c>
      <c r="J85" s="38">
        <f>IF(VLOOKUP(H85,'Machine List'!$A$1:$I$300,5,FALSE)="Multi",IF(VLOOKUP(H85,'Machine List'!$A$1:$I$300,6,FALSE)="Yes",AG85*3*10^Z85,AG85*(2*3)*10^(Z85-1)),0)</f>
        <v>600</v>
      </c>
      <c r="K85" s="38">
        <f>J85+IF(ISNUMBER(I85),I85,
  SWITCH(
      I85,
      "1T",1*10^Z85,
      "2T",2*10^Z85,
      "3T",3*10^Z85,
      "4T",4*10^Z85,
      "4000+500(7O-5)",4000+500*(7*I87-5),
      1
  )
)</f>
        <v>4600</v>
      </c>
      <c r="L85" s="38">
        <f>IF(VLOOKUP(H85,'Machine List'!$A$1:$I$300,5,FALSE)="Multi",IF(VLOOKUP(H85,'Machine List'!$A$1:$I$300,6,FALSE)="Yes",AU85*3*10^AT85,AU85*(2*3)*10^(AT85-1)),0)</f>
        <v>60000</v>
      </c>
      <c r="M85" s="38">
        <f>L85+IF(ISNUMBER(I85),I85,
  SWITCH(
      I85,
      "1T",1*10^AT85,
      "2T",2*10^AT85,
      "3T",3*10^AT85,
      "4T",4*10^AT85,
      "4000+500(7O-5)",4000+500*(7*I87-5),
      1
  )
)</f>
        <v>64000</v>
      </c>
      <c r="N85" s="38" t="str">
        <f>VLOOKUP(H85,'Machine List'!$A$1:$I$300,8,FALSE)</f>
        <v>Tier</v>
      </c>
      <c r="O85" s="38">
        <f>IF(ISNUMBER(N85),N85,10^Z85)</f>
        <v>1000</v>
      </c>
      <c r="P85" s="38">
        <f>IF(ISNUMBER(N85),N85,10^AT85)</f>
        <v>100000</v>
      </c>
      <c r="Q85" s="38">
        <f>VLOOKUP(H85,'Machine List'!$A$1:$B$138,2,FALSE)</f>
        <v>1</v>
      </c>
      <c r="R85" s="38" t="s">
        <v>594</v>
      </c>
      <c r="S85" s="45">
        <f>IF(ISNUMBER(Q85),Q85,
  SWITCH(
      Q85,
      "1",1,
      "2T",Z85*2,
      "4T",Z85*4,
      "6T",Z85*6,
      "8T",Z85*8,
      "10T",Z85*10,
      "12T",Z85*12,
      "14T",Z85*14,
      "16T",Z85*16,
      "2(T+1)",2*(Z85+1),
      "1T*C",Z85*J87,
      1
  )
)</f>
        <v>1</v>
      </c>
      <c r="T85" s="38" t="s">
        <v>277</v>
      </c>
      <c r="U85" s="38">
        <f>IF(OR(T85="No",T85=""),S85,T85)</f>
        <v>1</v>
      </c>
      <c r="V85" s="38">
        <f>IF(ISNUMBER(Q85),Q85,
  SWITCH(
      Q85,
      "1",1,
      "2T",AT85*2,
      "4T",AT85*4,
      "6T",AT85*6,
      "8T",AT85*8,
      "10T",AT85*10,
      "12T",AT85*12,
      "14T",AT85*14,
      "16T",AT85*16,
      "2(T+1)",2*(AT85+1),
      "1T*C",AT85*J87,
      1
  )
)</f>
        <v>1</v>
      </c>
      <c r="W85" s="38" t="str">
        <f>T85</f>
        <v>No</v>
      </c>
      <c r="X85" s="38">
        <f>IF(OR(W85="No",W85=""),V85,W85)</f>
        <v>1</v>
      </c>
      <c r="Y85" s="38" t="s">
        <v>397</v>
      </c>
      <c r="Z85" s="38">
        <f>VLOOKUP(Y85,'Item Helper Sheet'!$A$2:$B$16,2,FALSE)</f>
        <v>3</v>
      </c>
      <c r="AA85" s="38">
        <v>384.0</v>
      </c>
      <c r="AB85" s="38">
        <f>16*20</f>
        <v>320</v>
      </c>
      <c r="AC85" s="38">
        <f>AB85*I87</f>
        <v>5120</v>
      </c>
      <c r="AD85" s="38">
        <f>AA85*AC85</f>
        <v>1966080</v>
      </c>
      <c r="AE85" s="75"/>
      <c r="AF85" s="38" t="str">
        <f>Y85</f>
        <v>03 - HV</v>
      </c>
      <c r="AG85" s="38">
        <v>1.0</v>
      </c>
      <c r="AH85" s="38">
        <v>1.0</v>
      </c>
      <c r="AI85" s="38">
        <f>AH85*8*4^Z85</f>
        <v>512</v>
      </c>
      <c r="AJ85" s="38">
        <f>MIN(ROUNDDOWN(AI85/AL85,0),U85)</f>
        <v>1</v>
      </c>
      <c r="AK85" s="38">
        <f>IF(OR(T85="No",T85=""),AG85*S85,AG85*T85)</f>
        <v>1</v>
      </c>
      <c r="AL85" s="38">
        <f>ROUNDUP(AA85*VLOOKUP(H85,'Machine List'!$A$2:$D$219,4,FALSE),0)</f>
        <v>384</v>
      </c>
      <c r="AM85" s="38">
        <f>AL85*AK85</f>
        <v>384</v>
      </c>
      <c r="AN85" s="38">
        <f>ROUNDUP(AB85*I87,0)</f>
        <v>5120</v>
      </c>
      <c r="AO85" s="38">
        <f>ROUNDUP(AN85/VLOOKUP(H85,'Machine List'!$A$2:$D$219,3,FALSE),0)</f>
        <v>5120</v>
      </c>
      <c r="AP85" s="38">
        <f>ROUNDUP(AO85/AK85,0)</f>
        <v>5120</v>
      </c>
      <c r="AQ85" s="38">
        <f>AM85*AP85</f>
        <v>1966080</v>
      </c>
      <c r="AR85" s="75"/>
      <c r="AS85" s="38" t="s">
        <v>405</v>
      </c>
      <c r="AT85" s="38">
        <f>VLOOKUP(AS85,'Item Helper Sheet'!$A$2:$B$16,2,FALSE)</f>
        <v>5</v>
      </c>
      <c r="AU85" s="38">
        <f>AG85</f>
        <v>1</v>
      </c>
      <c r="AV85" s="38">
        <v>1.0</v>
      </c>
      <c r="AW85" s="38">
        <f>AV85*8*4^AT85</f>
        <v>8192</v>
      </c>
      <c r="AX85" s="38">
        <f>MIN(ROUNDDOWN(AW85/AL85,0),X85)</f>
        <v>1</v>
      </c>
      <c r="AY85" s="38">
        <f>AX85*AU85</f>
        <v>1</v>
      </c>
      <c r="AZ85" s="38">
        <f>AL85</f>
        <v>384</v>
      </c>
      <c r="BA85" s="38">
        <f>MIN(AT85-Z85,IF(AW85&gt;=AZ86*4,
IF(AW85&gt;=AZ86*4^2,
IF(AW85&gt;=AZ86*4^3,
IF(AW85&gt;=AZ86*4^4,
IF(AW85&gt;=AZ86*4^5,
IF(AW85&gt;=AZ86*4^6,
IF(AW85&gt;=AZ86*4^7,
IF(AW85&gt;=AZ86*4^8,
IF(AW85&gt;=AZ86*4^9,
IF(AW85&gt;=AZ86*4^10,
9),
8),
7),
6),
5),
4),
3),
2),
1),
0))</f>
        <v>2</v>
      </c>
      <c r="BB85" s="38">
        <f>AZ85*AX85*4^BA85</f>
        <v>6144</v>
      </c>
      <c r="BC85" s="38">
        <f>BB85*AU85</f>
        <v>6144</v>
      </c>
      <c r="BD85" s="45">
        <f>ROUNDUP(IF(R85="Yes",AN85/(2^((BA85)*2)),AN85/(2^(BA85))),0)</f>
        <v>320</v>
      </c>
      <c r="BE85" s="45">
        <f>ROUNDUP(BD85/VLOOKUP(H85,'Machine List'!$A$2:$D$219,3,FALSE),0)</f>
        <v>320</v>
      </c>
      <c r="BF85" s="45">
        <f>ROUNDUP(BE85/AY85,0)</f>
        <v>320</v>
      </c>
      <c r="BG85" s="46">
        <f>BF85*BC85</f>
        <v>1966080</v>
      </c>
      <c r="BI85" s="28"/>
      <c r="BK85" s="6" t="s">
        <v>651</v>
      </c>
      <c r="BL85" s="6">
        <v>153600.0</v>
      </c>
      <c r="BM85" s="6">
        <v>153600.0</v>
      </c>
      <c r="BN85" s="6" t="s">
        <v>651</v>
      </c>
      <c r="BO85" s="6">
        <v>5120.0</v>
      </c>
      <c r="BP85" s="6">
        <v>320.0</v>
      </c>
      <c r="BQ85" s="6" t="s">
        <v>651</v>
      </c>
      <c r="BR85" s="6">
        <v>1.0</v>
      </c>
      <c r="BS85" s="6">
        <v>3.0</v>
      </c>
      <c r="BT85" s="6">
        <v>2.0</v>
      </c>
    </row>
    <row r="86">
      <c r="B86" s="40"/>
      <c r="C86" s="41" t="s">
        <v>132</v>
      </c>
      <c r="D86" s="38">
        <f>1000*I87</f>
        <v>16000</v>
      </c>
      <c r="E86" s="38" t="s">
        <v>20</v>
      </c>
      <c r="F86" s="42">
        <f>1000*I87</f>
        <v>16000</v>
      </c>
      <c r="G86" s="43"/>
      <c r="H86" s="99" t="s">
        <v>584</v>
      </c>
      <c r="I86" s="45">
        <f t="array" ref="I86">match(TRUE,ISBLANK(F86:F98),0)-1</f>
        <v>1</v>
      </c>
      <c r="J86" s="100" t="s">
        <v>420</v>
      </c>
      <c r="K86" s="100" t="s">
        <v>585</v>
      </c>
      <c r="L86" s="38"/>
      <c r="M86" s="38"/>
      <c r="N86" s="38"/>
      <c r="O86" s="38"/>
      <c r="P86" s="38"/>
      <c r="Q86" s="38"/>
      <c r="R86" s="101"/>
      <c r="S86" s="101"/>
      <c r="T86" s="101"/>
      <c r="U86" s="45"/>
      <c r="V86" s="45"/>
      <c r="W86" s="45"/>
      <c r="X86" s="45"/>
      <c r="Y86" s="45"/>
      <c r="Z86" s="45"/>
      <c r="AA86" s="45"/>
      <c r="AB86" s="45"/>
      <c r="AC86" s="45"/>
      <c r="AD86" s="45"/>
      <c r="AE86" s="79"/>
      <c r="AF86" s="45"/>
      <c r="AG86" s="45"/>
      <c r="AH86" s="45"/>
      <c r="AI86" s="45"/>
      <c r="AJ86" s="45"/>
      <c r="AK86" s="45"/>
      <c r="AL86" s="45"/>
      <c r="AM86" s="45"/>
      <c r="AN86" s="45"/>
      <c r="AO86" s="45"/>
      <c r="AP86" s="45"/>
      <c r="AQ86" s="45"/>
      <c r="AR86" s="79"/>
      <c r="AS86" s="45"/>
      <c r="AT86" s="45"/>
      <c r="AU86" s="45"/>
      <c r="AV86" s="45"/>
      <c r="AW86" s="45"/>
      <c r="AX86" s="45"/>
      <c r="AY86" s="45"/>
      <c r="AZ86" s="45">
        <f>AZ85*AX85</f>
        <v>384</v>
      </c>
      <c r="BA86" s="45"/>
      <c r="BB86" s="45"/>
      <c r="BC86" s="45"/>
      <c r="BD86" s="45"/>
      <c r="BE86" s="45"/>
      <c r="BF86" s="45"/>
      <c r="BG86" s="46"/>
      <c r="BI86" s="28"/>
      <c r="BK86" s="6" t="s">
        <v>652</v>
      </c>
      <c r="BL86" s="6">
        <v>244800.0</v>
      </c>
      <c r="BM86" s="6">
        <v>3916800.0</v>
      </c>
      <c r="BN86" s="6" t="s">
        <v>652</v>
      </c>
      <c r="BO86" s="6">
        <v>8160.0</v>
      </c>
      <c r="BP86" s="6">
        <v>510.0</v>
      </c>
      <c r="BQ86" s="6" t="s">
        <v>652</v>
      </c>
      <c r="BR86" s="6">
        <v>1.0</v>
      </c>
      <c r="BS86" s="6">
        <v>5.0</v>
      </c>
      <c r="BT86" s="6">
        <v>4.0</v>
      </c>
    </row>
    <row r="87">
      <c r="B87" s="40"/>
      <c r="C87" s="41" t="s">
        <v>87</v>
      </c>
      <c r="D87" s="38">
        <f>3000*I87</f>
        <v>48000</v>
      </c>
      <c r="E87" s="38"/>
      <c r="F87" s="42"/>
      <c r="G87" s="43"/>
      <c r="H87" s="56" t="s">
        <v>502</v>
      </c>
      <c r="I87" s="57">
        <v>16.0</v>
      </c>
      <c r="J87" s="100" t="s">
        <v>424</v>
      </c>
      <c r="K87" s="100">
        <v>0.0</v>
      </c>
      <c r="L87" s="45"/>
      <c r="M87" s="45"/>
      <c r="N87" s="45"/>
      <c r="O87" s="45"/>
      <c r="P87" s="45"/>
      <c r="Q87" s="45"/>
      <c r="R87" s="45"/>
      <c r="S87" s="101"/>
      <c r="T87" s="101"/>
      <c r="U87" s="45"/>
      <c r="V87" s="45"/>
      <c r="W87" s="45"/>
      <c r="X87" s="45"/>
      <c r="Y87" s="45"/>
      <c r="Z87" s="45"/>
      <c r="AA87" s="45"/>
      <c r="AB87" s="45"/>
      <c r="AC87" s="45"/>
      <c r="AD87" s="45"/>
      <c r="AE87" s="79"/>
      <c r="AF87" s="45"/>
      <c r="AG87" s="45"/>
      <c r="AH87" s="45"/>
      <c r="AI87" s="45"/>
      <c r="AJ87" s="45"/>
      <c r="AK87" s="45"/>
      <c r="AL87" s="45"/>
      <c r="AM87" s="45"/>
      <c r="AN87" s="45"/>
      <c r="AO87" s="45"/>
      <c r="AP87" s="45"/>
      <c r="AQ87" s="45"/>
      <c r="AR87" s="79"/>
      <c r="AS87" s="45"/>
      <c r="AT87" s="45"/>
      <c r="AU87" s="45"/>
      <c r="AV87" s="45"/>
      <c r="AW87" s="45"/>
      <c r="AX87" s="45"/>
      <c r="AY87" s="45"/>
      <c r="AZ87" s="45"/>
      <c r="BA87" s="45"/>
      <c r="BB87" s="45"/>
      <c r="BC87" s="45"/>
      <c r="BD87" s="45"/>
      <c r="BE87" s="45"/>
      <c r="BF87" s="45"/>
      <c r="BG87" s="46"/>
      <c r="BI87" s="28"/>
      <c r="BK87" s="6" t="s">
        <v>653</v>
      </c>
      <c r="BL87" s="6">
        <v>115200.0</v>
      </c>
      <c r="BM87" s="6">
        <v>115200.0</v>
      </c>
      <c r="BN87" s="6" t="s">
        <v>653</v>
      </c>
      <c r="BO87" s="6">
        <v>960.0</v>
      </c>
      <c r="BP87" s="6">
        <v>240.0</v>
      </c>
      <c r="BQ87" s="6" t="s">
        <v>653</v>
      </c>
      <c r="BR87" s="6">
        <v>2.0</v>
      </c>
      <c r="BS87" s="6">
        <v>3.0</v>
      </c>
      <c r="BT87" s="6">
        <v>1.0</v>
      </c>
    </row>
    <row r="88">
      <c r="B88" s="50"/>
      <c r="C88" s="51"/>
      <c r="D88" s="52"/>
      <c r="E88" s="52"/>
      <c r="F88" s="52"/>
      <c r="G88" s="43"/>
      <c r="H88" s="52"/>
      <c r="I88" s="52"/>
      <c r="J88" s="52"/>
      <c r="K88" s="52"/>
      <c r="L88" s="52"/>
      <c r="M88" s="52"/>
      <c r="N88" s="52"/>
      <c r="O88" s="52"/>
      <c r="P88" s="52"/>
      <c r="Q88" s="52"/>
      <c r="R88" s="52"/>
      <c r="S88" s="52"/>
      <c r="T88" s="52"/>
      <c r="U88" s="52"/>
      <c r="V88" s="52"/>
      <c r="W88" s="52"/>
      <c r="X88" s="52"/>
      <c r="Y88" s="52"/>
      <c r="Z88" s="52"/>
      <c r="AA88" s="52"/>
      <c r="AB88" s="52"/>
      <c r="AC88" s="52"/>
      <c r="AD88" s="52"/>
      <c r="AE88" s="43"/>
      <c r="AF88" s="52"/>
      <c r="AG88" s="52"/>
      <c r="AH88" s="52"/>
      <c r="AI88" s="52"/>
      <c r="AJ88" s="52"/>
      <c r="AK88" s="52"/>
      <c r="AL88" s="52"/>
      <c r="AM88" s="52"/>
      <c r="AN88" s="52"/>
      <c r="AO88" s="52"/>
      <c r="AP88" s="52"/>
      <c r="AQ88" s="52"/>
      <c r="AR88" s="43"/>
      <c r="AS88" s="52"/>
      <c r="AT88" s="52"/>
      <c r="AU88" s="52"/>
      <c r="AV88" s="52"/>
      <c r="AW88" s="52"/>
      <c r="AX88" s="52"/>
      <c r="AY88" s="52"/>
      <c r="AZ88" s="52"/>
      <c r="BA88" s="52"/>
      <c r="BB88" s="52"/>
      <c r="BC88" s="52"/>
      <c r="BD88" s="52"/>
      <c r="BE88" s="52"/>
      <c r="BF88" s="52"/>
      <c r="BG88" s="53"/>
      <c r="BI88" s="28"/>
      <c r="BK88" s="6" t="s">
        <v>654</v>
      </c>
      <c r="BL88" s="6">
        <v>576000.0</v>
      </c>
      <c r="BM88" s="6">
        <v>576000.0</v>
      </c>
      <c r="BN88" s="6" t="s">
        <v>654</v>
      </c>
      <c r="BO88" s="6">
        <v>1200.0</v>
      </c>
      <c r="BP88" s="6">
        <v>300.0</v>
      </c>
      <c r="BQ88" s="6" t="s">
        <v>654</v>
      </c>
      <c r="BR88" s="6">
        <v>3.0</v>
      </c>
      <c r="BS88" s="6">
        <v>4.0</v>
      </c>
      <c r="BT88" s="6">
        <v>1.0</v>
      </c>
    </row>
    <row r="89">
      <c r="B89" s="31" t="s">
        <v>651</v>
      </c>
      <c r="C89" s="54"/>
      <c r="D89" s="45"/>
      <c r="E89" s="45"/>
      <c r="F89" s="47"/>
      <c r="G89" s="35"/>
      <c r="H89" s="55" t="s">
        <v>349</v>
      </c>
      <c r="I89" s="38">
        <f>VLOOKUP(H89,'Machine List'!$A$1:$I$300,9,FALSE)</f>
        <v>4000</v>
      </c>
      <c r="J89" s="38">
        <f>IF(VLOOKUP(H89,'Machine List'!$A$1:$I$300,5,FALSE)="Multi",IF(VLOOKUP(H89,'Machine List'!$A$1:$I$300,6,FALSE)="Yes",AG89*3*10^Z89,AG89*(2*3)*10^(Z89-1)),0)</f>
        <v>6</v>
      </c>
      <c r="K89" s="38">
        <f>J89+IF(ISNUMBER(I89),I89,
  SWITCH(
      I89,
      "1T",1*10^Z89,
      "2T",2*10^Z89,
      "3T",3*10^Z89,
      "4T",4*10^Z89,
      "4000+500(7O-5)",4000+500*(7*I91-5),
      1
  )
)</f>
        <v>4006</v>
      </c>
      <c r="L89" s="38">
        <f>IF(VLOOKUP(H89,'Machine List'!$A$1:$I$300,5,FALSE)="Multi",IF(VLOOKUP(H89,'Machine List'!$A$1:$I$300,6,FALSE)="Yes",AU89*3*10^AT89,AU89*(2*3)*10^(AT89-1)),0)</f>
        <v>600</v>
      </c>
      <c r="M89" s="38">
        <f>L89+IF(ISNUMBER(I89),I89,
  SWITCH(
      I89,
      "1T",1*10^AT89,
      "2T",2*10^AT89,
      "3T",3*10^AT89,
      "4T",4*10^AT89,
      "4000+500(7O-5)",4000+500*(7*I91-5),
      1
  )
)</f>
        <v>4600</v>
      </c>
      <c r="N89" s="38" t="str">
        <f>VLOOKUP(H89,'Machine List'!$A$1:$I$300,8,FALSE)</f>
        <v>Tier</v>
      </c>
      <c r="O89" s="38">
        <f>IF(ISNUMBER(N89),N89,10^Z89)</f>
        <v>10</v>
      </c>
      <c r="P89" s="38">
        <f>IF(ISNUMBER(N89),N89,10^AT89)</f>
        <v>1000</v>
      </c>
      <c r="Q89" s="38">
        <f>VLOOKUP(H89,'Machine List'!$A$1:$B$138,2,FALSE)</f>
        <v>1</v>
      </c>
      <c r="R89" s="38" t="s">
        <v>594</v>
      </c>
      <c r="S89" s="45">
        <f>IF(ISNUMBER(Q89),Q89,
  SWITCH(
      Q89,
      "1",1,
      "2T",Z89*2,
      "4T",Z89*4,
      "6T",Z89*6,
      "8T",Z89*8,
      "10T",Z89*10,
      "12T",Z89*12,
      "14T",Z89*14,
      "16T",Z89*16,
      "2(T+1)",2*(Z89+1),
      "1T*C",Z89*J91,
      1
  )
)</f>
        <v>1</v>
      </c>
      <c r="T89" s="38" t="s">
        <v>277</v>
      </c>
      <c r="U89" s="38">
        <f>IF(OR(T89="No",T89=""),S89,T89)</f>
        <v>1</v>
      </c>
      <c r="V89" s="38">
        <f>IF(ISNUMBER(Q89),Q89,
  SWITCH(
      Q89,
      "1",1,
      "2T",AT89*2,
      "4T",AT89*4,
      "6T",AT89*6,
      "8T",AT89*8,
      "10T",AT89*10,
      "12T",AT89*12,
      "14T",AT89*14,
      "16T",AT89*16,
      "2(T+1)",2*(AT89+1),
      "1T*C",AT89*J91,
      1
  )
)</f>
        <v>1</v>
      </c>
      <c r="W89" s="38" t="str">
        <f>T89</f>
        <v>No</v>
      </c>
      <c r="X89" s="38">
        <f>IF(OR(W89="No",W89=""),V89,W89)</f>
        <v>1</v>
      </c>
      <c r="Y89" s="38" t="s">
        <v>390</v>
      </c>
      <c r="Z89" s="38">
        <f>VLOOKUP(Y89,'Item Helper Sheet'!$A$2:$B$16,2,FALSE)</f>
        <v>1</v>
      </c>
      <c r="AA89" s="38">
        <v>30.0</v>
      </c>
      <c r="AB89" s="38">
        <f>16*20</f>
        <v>320</v>
      </c>
      <c r="AC89" s="38">
        <f>AB89*I91</f>
        <v>5120</v>
      </c>
      <c r="AD89" s="38">
        <f>AA89*AC89</f>
        <v>153600</v>
      </c>
      <c r="AE89" s="75"/>
      <c r="AF89" s="38" t="str">
        <f>Y89</f>
        <v>01 - LV</v>
      </c>
      <c r="AG89" s="38">
        <v>1.0</v>
      </c>
      <c r="AH89" s="38">
        <v>1.0</v>
      </c>
      <c r="AI89" s="38">
        <f>AH89*8*4^Z89</f>
        <v>32</v>
      </c>
      <c r="AJ89" s="38">
        <f>MIN(ROUNDDOWN(AI89/AL89,0),U89)</f>
        <v>1</v>
      </c>
      <c r="AK89" s="38">
        <f>IF(OR(T89="No",T89=""),AG89*S89,AG89*T89)</f>
        <v>1</v>
      </c>
      <c r="AL89" s="38">
        <f>ROUNDUP(AA89*VLOOKUP(H89,'Machine List'!$A$2:$D$219,4,FALSE),0)</f>
        <v>30</v>
      </c>
      <c r="AM89" s="38">
        <f>AL89*AK89</f>
        <v>30</v>
      </c>
      <c r="AN89" s="38">
        <f>ROUNDUP(AB89*I91,0)</f>
        <v>5120</v>
      </c>
      <c r="AO89" s="38">
        <f>ROUNDUP(AN89/VLOOKUP(H89,'Machine List'!$A$2:$D$219,3,FALSE),0)</f>
        <v>5120</v>
      </c>
      <c r="AP89" s="38">
        <f>ROUNDUP(AO89/AK89,0)</f>
        <v>5120</v>
      </c>
      <c r="AQ89" s="38">
        <f>AM89*AP89</f>
        <v>153600</v>
      </c>
      <c r="AR89" s="75"/>
      <c r="AS89" s="38" t="s">
        <v>397</v>
      </c>
      <c r="AT89" s="38">
        <f>VLOOKUP(AS89,'Item Helper Sheet'!$A$2:$B$16,2,FALSE)</f>
        <v>3</v>
      </c>
      <c r="AU89" s="38">
        <f>AG89</f>
        <v>1</v>
      </c>
      <c r="AV89" s="38">
        <v>1.0</v>
      </c>
      <c r="AW89" s="38">
        <f>AV89*8*4^AT89</f>
        <v>512</v>
      </c>
      <c r="AX89" s="38">
        <f>MIN(ROUNDDOWN(AW89/AL89,0),X89)</f>
        <v>1</v>
      </c>
      <c r="AY89" s="38">
        <f>AX89*AU89</f>
        <v>1</v>
      </c>
      <c r="AZ89" s="38">
        <f>AL89</f>
        <v>30</v>
      </c>
      <c r="BA89" s="38">
        <f>MIN(AT89-Z89,IF(AW89&gt;=AZ90*4,
IF(AW89&gt;=AZ90*4^2,
IF(AW89&gt;=AZ90*4^3,
IF(AW89&gt;=AZ90*4^4,
IF(AW89&gt;=AZ90*4^5,
IF(AW89&gt;=AZ90*4^6,
IF(AW89&gt;=AZ90*4^7,
IF(AW89&gt;=AZ90*4^8,
IF(AW89&gt;=AZ90*4^9,
IF(AW89&gt;=AZ90*4^10,
9),
8),
7),
6),
5),
4),
3),
2),
1),
0))</f>
        <v>2</v>
      </c>
      <c r="BB89" s="38">
        <f>AZ89*AX89*4^BA89</f>
        <v>480</v>
      </c>
      <c r="BC89" s="38">
        <f>BB89*AU89</f>
        <v>480</v>
      </c>
      <c r="BD89" s="45">
        <f>ROUNDUP(IF(R89="Yes",AN89/(2^((BA89)*2)),AN89/(2^(BA89))),0)</f>
        <v>320</v>
      </c>
      <c r="BE89" s="45">
        <f>ROUNDUP(BD89/VLOOKUP(H89,'Machine List'!$A$2:$D$219,3,FALSE),0)</f>
        <v>320</v>
      </c>
      <c r="BF89" s="45">
        <f>ROUNDUP(BE89/AY89,0)</f>
        <v>320</v>
      </c>
      <c r="BG89" s="46">
        <f>BF89*BC89</f>
        <v>153600</v>
      </c>
      <c r="BI89" s="28"/>
      <c r="BK89" s="6" t="s">
        <v>487</v>
      </c>
      <c r="BL89" s="6">
        <v>8427684.0</v>
      </c>
      <c r="BM89" s="6">
        <v>1.5128064E7</v>
      </c>
    </row>
    <row r="90">
      <c r="B90" s="40"/>
      <c r="C90" s="41" t="s">
        <v>20</v>
      </c>
      <c r="D90" s="38">
        <f>1000*I91</f>
        <v>16000</v>
      </c>
      <c r="E90" s="38" t="s">
        <v>130</v>
      </c>
      <c r="F90" s="42">
        <f>1000*I91</f>
        <v>16000</v>
      </c>
      <c r="G90" s="43"/>
      <c r="H90" s="99" t="s">
        <v>584</v>
      </c>
      <c r="I90" s="45">
        <f t="array" ref="I90">match(TRUE,ISBLANK(F90:F102),0)-1</f>
        <v>2</v>
      </c>
      <c r="J90" s="100" t="s">
        <v>420</v>
      </c>
      <c r="K90" s="100" t="s">
        <v>585</v>
      </c>
      <c r="L90" s="38"/>
      <c r="M90" s="38"/>
      <c r="N90" s="38"/>
      <c r="O90" s="38"/>
      <c r="P90" s="38"/>
      <c r="Q90" s="38"/>
      <c r="R90" s="101"/>
      <c r="S90" s="101"/>
      <c r="T90" s="101"/>
      <c r="U90" s="45"/>
      <c r="V90" s="45"/>
      <c r="W90" s="45"/>
      <c r="X90" s="45"/>
      <c r="Y90" s="45"/>
      <c r="Z90" s="45"/>
      <c r="AA90" s="45"/>
      <c r="AB90" s="45"/>
      <c r="AC90" s="45"/>
      <c r="AD90" s="45"/>
      <c r="AE90" s="79"/>
      <c r="AF90" s="45"/>
      <c r="AG90" s="45"/>
      <c r="AH90" s="45"/>
      <c r="AI90" s="45"/>
      <c r="AJ90" s="45"/>
      <c r="AK90" s="45"/>
      <c r="AL90" s="45"/>
      <c r="AM90" s="45"/>
      <c r="AN90" s="45"/>
      <c r="AO90" s="45"/>
      <c r="AP90" s="45"/>
      <c r="AQ90" s="45"/>
      <c r="AR90" s="79"/>
      <c r="AS90" s="45"/>
      <c r="AT90" s="45"/>
      <c r="AU90" s="45"/>
      <c r="AV90" s="45"/>
      <c r="AW90" s="45"/>
      <c r="AX90" s="45"/>
      <c r="AY90" s="45"/>
      <c r="AZ90" s="45">
        <f>AZ89*AX89</f>
        <v>30</v>
      </c>
      <c r="BA90" s="45"/>
      <c r="BB90" s="45"/>
      <c r="BC90" s="45"/>
      <c r="BD90" s="45"/>
      <c r="BE90" s="45"/>
      <c r="BF90" s="45"/>
      <c r="BG90" s="46"/>
      <c r="BI90" s="28"/>
    </row>
    <row r="91">
      <c r="B91" s="40"/>
      <c r="C91" s="41" t="s">
        <v>142</v>
      </c>
      <c r="D91" s="38">
        <f>4000*I91</f>
        <v>64000</v>
      </c>
      <c r="E91" s="38" t="s">
        <v>248</v>
      </c>
      <c r="F91" s="42">
        <f>1000*I91</f>
        <v>16000</v>
      </c>
      <c r="G91" s="43"/>
      <c r="H91" s="56" t="s">
        <v>502</v>
      </c>
      <c r="I91" s="57">
        <v>16.0</v>
      </c>
      <c r="J91" s="100" t="s">
        <v>424</v>
      </c>
      <c r="K91" s="100">
        <v>0.0</v>
      </c>
      <c r="L91" s="45"/>
      <c r="M91" s="45"/>
      <c r="N91" s="45"/>
      <c r="O91" s="45"/>
      <c r="P91" s="45"/>
      <c r="Q91" s="45"/>
      <c r="R91" s="45"/>
      <c r="S91" s="101"/>
      <c r="T91" s="101"/>
      <c r="U91" s="45"/>
      <c r="V91" s="45"/>
      <c r="W91" s="45"/>
      <c r="X91" s="45"/>
      <c r="Y91" s="45"/>
      <c r="Z91" s="45"/>
      <c r="AA91" s="45"/>
      <c r="AB91" s="45"/>
      <c r="AC91" s="45"/>
      <c r="AD91" s="45"/>
      <c r="AE91" s="79"/>
      <c r="AF91" s="45"/>
      <c r="AG91" s="45"/>
      <c r="AH91" s="45"/>
      <c r="AI91" s="45"/>
      <c r="AJ91" s="45"/>
      <c r="AK91" s="45"/>
      <c r="AL91" s="45"/>
      <c r="AM91" s="45"/>
      <c r="AN91" s="45"/>
      <c r="AO91" s="45"/>
      <c r="AP91" s="45"/>
      <c r="AQ91" s="45"/>
      <c r="AR91" s="79"/>
      <c r="AS91" s="45"/>
      <c r="AT91" s="45"/>
      <c r="AU91" s="45"/>
      <c r="AV91" s="45"/>
      <c r="AW91" s="45"/>
      <c r="AX91" s="45"/>
      <c r="AY91" s="45"/>
      <c r="AZ91" s="45"/>
      <c r="BA91" s="45"/>
      <c r="BB91" s="45"/>
      <c r="BC91" s="45"/>
      <c r="BD91" s="45"/>
      <c r="BE91" s="45"/>
      <c r="BF91" s="45"/>
      <c r="BG91" s="46"/>
      <c r="BI91" s="28"/>
    </row>
    <row r="92">
      <c r="B92" s="50"/>
      <c r="C92" s="51"/>
      <c r="D92" s="52"/>
      <c r="E92" s="52"/>
      <c r="F92" s="52"/>
      <c r="G92" s="43"/>
      <c r="H92" s="52"/>
      <c r="I92" s="52"/>
      <c r="J92" s="52"/>
      <c r="K92" s="52"/>
      <c r="L92" s="52"/>
      <c r="M92" s="52"/>
      <c r="N92" s="52"/>
      <c r="O92" s="52"/>
      <c r="P92" s="52"/>
      <c r="Q92" s="52"/>
      <c r="R92" s="52"/>
      <c r="S92" s="52"/>
      <c r="T92" s="52"/>
      <c r="U92" s="52"/>
      <c r="V92" s="52"/>
      <c r="W92" s="52"/>
      <c r="X92" s="52"/>
      <c r="Y92" s="52"/>
      <c r="Z92" s="52"/>
      <c r="AA92" s="52"/>
      <c r="AB92" s="52"/>
      <c r="AC92" s="52"/>
      <c r="AD92" s="52"/>
      <c r="AE92" s="43"/>
      <c r="AF92" s="52"/>
      <c r="AG92" s="52"/>
      <c r="AH92" s="52"/>
      <c r="AI92" s="52"/>
      <c r="AJ92" s="52"/>
      <c r="AK92" s="52"/>
      <c r="AL92" s="52"/>
      <c r="AM92" s="52"/>
      <c r="AN92" s="52"/>
      <c r="AO92" s="52"/>
      <c r="AP92" s="52"/>
      <c r="AQ92" s="52"/>
      <c r="AR92" s="43"/>
      <c r="AS92" s="52"/>
      <c r="AT92" s="52"/>
      <c r="AU92" s="52"/>
      <c r="AV92" s="52"/>
      <c r="AW92" s="52"/>
      <c r="AX92" s="52"/>
      <c r="AY92" s="52"/>
      <c r="AZ92" s="52"/>
      <c r="BA92" s="52"/>
      <c r="BB92" s="52"/>
      <c r="BC92" s="52"/>
      <c r="BD92" s="52"/>
      <c r="BE92" s="52"/>
      <c r="BF92" s="52"/>
      <c r="BG92" s="53"/>
      <c r="BI92" s="28"/>
      <c r="BK92" s="6" t="s">
        <v>618</v>
      </c>
      <c r="BL92" s="6" t="s">
        <v>462</v>
      </c>
      <c r="BM92" s="6"/>
      <c r="BN92" s="6"/>
      <c r="BO92" s="6"/>
      <c r="BP92" s="6"/>
      <c r="BQ92" s="6" t="s">
        <v>638</v>
      </c>
      <c r="BR92" s="6" t="s">
        <v>495</v>
      </c>
      <c r="BS92" s="6"/>
      <c r="BT92" s="6"/>
      <c r="BU92" s="6"/>
      <c r="BW92" s="6" t="s">
        <v>639</v>
      </c>
      <c r="BX92" s="6" t="s">
        <v>495</v>
      </c>
      <c r="BY92" s="6"/>
      <c r="BZ92" s="6"/>
      <c r="CA92" s="6"/>
      <c r="CC92" s="6" t="s">
        <v>457</v>
      </c>
      <c r="CD92" s="6" t="s">
        <v>607</v>
      </c>
      <c r="CE92" s="6" t="s">
        <v>545</v>
      </c>
    </row>
    <row r="93">
      <c r="B93" s="31" t="s">
        <v>652</v>
      </c>
      <c r="C93" s="54"/>
      <c r="D93" s="45"/>
      <c r="E93" s="45"/>
      <c r="F93" s="47"/>
      <c r="G93" s="35"/>
      <c r="H93" s="55" t="s">
        <v>300</v>
      </c>
      <c r="I93" s="38" t="str">
        <f>VLOOKUP(H93,'Machine List'!$A$1:$I$300,9,FALSE)</f>
        <v>1T</v>
      </c>
      <c r="J93" s="38">
        <f>IF(VLOOKUP(H93,'Machine List'!$A$1:$I$300,5,FALSE)="Multi",IF(VLOOKUP(H93,'Machine List'!$A$1:$I$300,6,FALSE)="Yes",AG93*3*10^Z93,AG93*(2*3)*10^(Z93-1)),0)</f>
        <v>0</v>
      </c>
      <c r="K93" s="38">
        <f>J93+IF(ISNUMBER(I93),I93,
  SWITCH(
      I93,
      "1T",1*10^Z93,
      "2T",2*10^Z93,
      "3T",3*10^Z93,
      "4T",4*10^Z93,
      "4000+500(7O-5)",4000+500*(7*I95-5),
      1
  )
)</f>
        <v>10</v>
      </c>
      <c r="L93" s="38">
        <f>IF(VLOOKUP(H93,'Machine List'!$A$1:$I$300,5,FALSE)="Multi",IF(VLOOKUP(H93,'Machine List'!$A$1:$I$300,6,FALSE)="Yes",AU93*3*10^AT93,AU93*(2*3)*10^(AT93-1)),0)</f>
        <v>0</v>
      </c>
      <c r="M93" s="38">
        <f>L93+IF(ISNUMBER(I93),I93,
  SWITCH(
      I93,
      "1T",1*10^AT93,
      "2T",2*10^AT93,
      "3T",3*10^AT93,
      "4T",4*10^AT93,
      "4000+500(7O-5)",4000+500*(7*I95-5),
      1
  )
)</f>
        <v>100000</v>
      </c>
      <c r="N93" s="38" t="str">
        <f>VLOOKUP(H93,'Machine List'!$A$1:$I$300,8,FALSE)</f>
        <v>Tier</v>
      </c>
      <c r="O93" s="38">
        <f>IF(ISNUMBER(N93),N93,10^Z93)</f>
        <v>10</v>
      </c>
      <c r="P93" s="38">
        <f>IF(ISNUMBER(N93),N93,10^AT93)</f>
        <v>100000</v>
      </c>
      <c r="Q93" s="38">
        <f>VLOOKUP(H93,'Machine List'!$A$1:$B$138,2,FALSE)</f>
        <v>1</v>
      </c>
      <c r="R93" s="38" t="s">
        <v>277</v>
      </c>
      <c r="S93" s="45">
        <f>IF(ISNUMBER(Q93),Q93,
  SWITCH(
      Q93,
      "1",1,
      "2T",Z93*2,
      "4T",Z93*4,
      "6T",Z93*6,
      "8T",Z93*8,
      "10T",Z93*10,
      "12T",Z93*12,
      "14T",Z93*14,
      "16T",Z93*16,
      "2(T+1)",2*(Z93+1),
      "1T*C",Z93*J95,
      1
  )
)</f>
        <v>1</v>
      </c>
      <c r="T93" s="38" t="s">
        <v>277</v>
      </c>
      <c r="U93" s="38">
        <f>IF(OR(T93="No",T93=""),S93,T93)</f>
        <v>1</v>
      </c>
      <c r="V93" s="38">
        <f>IF(ISNUMBER(Q93),Q93,
  SWITCH(
      Q93,
      "1",1,
      "2T",AT93*2,
      "4T",AT93*4,
      "6T",AT93*6,
      "8T",AT93*8,
      "10T",AT93*10,
      "12T",AT93*12,
      "14T",AT93*14,
      "16T",AT93*16,
      "2(T+1)",2*(AT93+1),
      "1T*C",AT93*J95,
      1
  )
)</f>
        <v>1</v>
      </c>
      <c r="W93" s="38" t="str">
        <f>T93</f>
        <v>No</v>
      </c>
      <c r="X93" s="38">
        <f>IF(OR(W93="No",W93=""),V93,W93)</f>
        <v>1</v>
      </c>
      <c r="Y93" s="38" t="s">
        <v>390</v>
      </c>
      <c r="Z93" s="38">
        <f>VLOOKUP(Y93,'Item Helper Sheet'!$A$2:$B$16,2,FALSE)</f>
        <v>1</v>
      </c>
      <c r="AA93" s="38">
        <v>30.0</v>
      </c>
      <c r="AB93" s="38">
        <f>12*20</f>
        <v>240</v>
      </c>
      <c r="AC93" s="38">
        <f>AB93*I95</f>
        <v>8160</v>
      </c>
      <c r="AD93" s="38">
        <f>AA93*AC93</f>
        <v>244800</v>
      </c>
      <c r="AE93" s="75"/>
      <c r="AF93" s="38" t="str">
        <f>Y93</f>
        <v>01 - LV</v>
      </c>
      <c r="AG93" s="38">
        <v>1.0</v>
      </c>
      <c r="AH93" s="38">
        <v>1.0</v>
      </c>
      <c r="AI93" s="38">
        <f>AH93*8*4^Z93</f>
        <v>32</v>
      </c>
      <c r="AJ93" s="38">
        <f>MIN(ROUNDDOWN(AI93/AL93,0),U93)</f>
        <v>1</v>
      </c>
      <c r="AK93" s="38">
        <f>IF(OR(T93="No",T93=""),AG93*S93,AG93*T93)</f>
        <v>1</v>
      </c>
      <c r="AL93" s="38">
        <f>ROUNDUP(AA93*VLOOKUP(H93,'Machine List'!$A$2:$D$219,4,FALSE),0)</f>
        <v>30</v>
      </c>
      <c r="AM93" s="38">
        <f>AL93*AK93</f>
        <v>30</v>
      </c>
      <c r="AN93" s="38">
        <f>ROUNDUP(AB93*I95,0)</f>
        <v>8160</v>
      </c>
      <c r="AO93" s="38">
        <f>ROUNDUP(AN93/VLOOKUP(H93,'Machine List'!$A$2:$D$219,3,FALSE),0)</f>
        <v>8160</v>
      </c>
      <c r="AP93" s="38">
        <f>ROUNDUP(AO93/AK93,0)</f>
        <v>8160</v>
      </c>
      <c r="AQ93" s="38">
        <f>AM93*AP93</f>
        <v>244800</v>
      </c>
      <c r="AR93" s="75"/>
      <c r="AS93" s="38" t="s">
        <v>405</v>
      </c>
      <c r="AT93" s="38">
        <f>VLOOKUP(AS93,'Item Helper Sheet'!$A$2:$B$16,2,FALSE)</f>
        <v>5</v>
      </c>
      <c r="AU93" s="38">
        <f>AG93</f>
        <v>1</v>
      </c>
      <c r="AV93" s="38">
        <v>1.0</v>
      </c>
      <c r="AW93" s="38">
        <f>AV93*8*4^AT93</f>
        <v>8192</v>
      </c>
      <c r="AX93" s="38">
        <f>MIN(ROUNDDOWN(AW93/AL93,0),X93)</f>
        <v>1</v>
      </c>
      <c r="AY93" s="38">
        <f>AX93*AU93</f>
        <v>1</v>
      </c>
      <c r="AZ93" s="38">
        <f>AL93</f>
        <v>30</v>
      </c>
      <c r="BA93" s="38">
        <f>MIN(AT93-Z93,IF(AW93&gt;=AZ94*4,
IF(AW93&gt;=AZ94*4^2,
IF(AW93&gt;=AZ94*4^3,
IF(AW93&gt;=AZ94*4^4,
IF(AW93&gt;=AZ94*4^5,
IF(AW93&gt;=AZ94*4^6,
IF(AW93&gt;=AZ94*4^7,
IF(AW93&gt;=AZ94*4^8,
IF(AW93&gt;=AZ94*4^9,
IF(AW93&gt;=AZ94*4^10,
9),
8),
7),
6),
5),
4),
3),
2),
1),
0))</f>
        <v>4</v>
      </c>
      <c r="BB93" s="38">
        <f>AZ93*AX93*4^BA93</f>
        <v>7680</v>
      </c>
      <c r="BC93" s="38">
        <f>BB93*AU93</f>
        <v>7680</v>
      </c>
      <c r="BD93" s="45">
        <f>ROUNDUP(IF(R93="Yes",AN93/(2^((BA93)*2)),AN93/(2^(BA93))),0)</f>
        <v>510</v>
      </c>
      <c r="BE93" s="45">
        <f>ROUNDUP(BD93/VLOOKUP(H93,'Machine List'!$A$2:$D$219,3,FALSE),0)</f>
        <v>510</v>
      </c>
      <c r="BF93" s="45">
        <f>ROUNDUP(BE93/AY93,0)</f>
        <v>510</v>
      </c>
      <c r="BG93" s="46">
        <f>BF93*BC93</f>
        <v>3916800</v>
      </c>
      <c r="BI93" s="28"/>
      <c r="BK93" s="6" t="s">
        <v>457</v>
      </c>
      <c r="BL93" s="6" t="s">
        <v>300</v>
      </c>
      <c r="BM93" s="6" t="s">
        <v>309</v>
      </c>
      <c r="BN93" s="6" t="s">
        <v>321</v>
      </c>
      <c r="BO93" s="6" t="s">
        <v>349</v>
      </c>
      <c r="BP93" s="6" t="s">
        <v>375</v>
      </c>
      <c r="BQ93" s="6" t="s">
        <v>462</v>
      </c>
      <c r="BR93" s="6" t="s">
        <v>390</v>
      </c>
      <c r="BS93" s="6" t="s">
        <v>393</v>
      </c>
      <c r="BT93" s="6" t="s">
        <v>397</v>
      </c>
      <c r="BU93" s="6" t="s">
        <v>487</v>
      </c>
      <c r="BW93" s="6" t="s">
        <v>462</v>
      </c>
      <c r="BX93" s="6" t="s">
        <v>390</v>
      </c>
      <c r="BY93" s="6" t="s">
        <v>393</v>
      </c>
      <c r="BZ93" s="6" t="s">
        <v>397</v>
      </c>
      <c r="CA93" s="6" t="s">
        <v>487</v>
      </c>
      <c r="CC93" s="6" t="s">
        <v>632</v>
      </c>
      <c r="CD93" s="6">
        <v>12400.0</v>
      </c>
      <c r="CE93" s="6">
        <v>1405511.0</v>
      </c>
    </row>
    <row r="94">
      <c r="B94" s="40"/>
      <c r="C94" s="41" t="s">
        <v>55</v>
      </c>
      <c r="D94" s="38">
        <f>60*I95</f>
        <v>2040</v>
      </c>
      <c r="E94" s="38" t="s">
        <v>227</v>
      </c>
      <c r="F94" s="42">
        <f>40*I95</f>
        <v>1360</v>
      </c>
      <c r="G94" s="43"/>
      <c r="H94" s="99" t="s">
        <v>584</v>
      </c>
      <c r="I94" s="45">
        <f t="array" ref="I94">match(TRUE,ISBLANK(F94:F106),0)-1</f>
        <v>1</v>
      </c>
      <c r="J94" s="100" t="s">
        <v>420</v>
      </c>
      <c r="K94" s="100" t="s">
        <v>585</v>
      </c>
      <c r="L94" s="38"/>
      <c r="M94" s="38"/>
      <c r="N94" s="38"/>
      <c r="O94" s="38"/>
      <c r="P94" s="38"/>
      <c r="Q94" s="38"/>
      <c r="R94" s="101"/>
      <c r="S94" s="101"/>
      <c r="T94" s="101"/>
      <c r="U94" s="45"/>
      <c r="V94" s="45"/>
      <c r="W94" s="45"/>
      <c r="X94" s="45"/>
      <c r="Y94" s="45"/>
      <c r="Z94" s="45"/>
      <c r="AA94" s="45"/>
      <c r="AB94" s="45"/>
      <c r="AC94" s="45"/>
      <c r="AD94" s="45"/>
      <c r="AE94" s="79"/>
      <c r="AF94" s="45"/>
      <c r="AG94" s="45"/>
      <c r="AH94" s="45"/>
      <c r="AI94" s="45"/>
      <c r="AJ94" s="45"/>
      <c r="AK94" s="45"/>
      <c r="AL94" s="45"/>
      <c r="AM94" s="45"/>
      <c r="AN94" s="45"/>
      <c r="AO94" s="45"/>
      <c r="AP94" s="45"/>
      <c r="AQ94" s="45"/>
      <c r="AR94" s="79"/>
      <c r="AS94" s="45"/>
      <c r="AT94" s="45"/>
      <c r="AU94" s="45"/>
      <c r="AV94" s="45"/>
      <c r="AW94" s="45"/>
      <c r="AX94" s="45"/>
      <c r="AY94" s="45"/>
      <c r="AZ94" s="45">
        <f>AZ93*AX93</f>
        <v>30</v>
      </c>
      <c r="BA94" s="45"/>
      <c r="BB94" s="45"/>
      <c r="BC94" s="45"/>
      <c r="BD94" s="45"/>
      <c r="BE94" s="45"/>
      <c r="BF94" s="45"/>
      <c r="BG94" s="46"/>
      <c r="BI94" s="28"/>
      <c r="BK94" s="6" t="s">
        <v>632</v>
      </c>
      <c r="BL94" s="6"/>
      <c r="BM94" s="6"/>
      <c r="BN94" s="6"/>
      <c r="BO94" s="6"/>
      <c r="BP94" s="6">
        <v>2.0</v>
      </c>
      <c r="BQ94" s="6" t="s">
        <v>300</v>
      </c>
      <c r="BR94" s="6">
        <v>1.0</v>
      </c>
      <c r="BS94" s="6"/>
      <c r="BT94" s="6"/>
      <c r="BU94" s="6">
        <v>1.0</v>
      </c>
      <c r="BW94" s="6" t="s">
        <v>300</v>
      </c>
      <c r="BX94" s="6">
        <v>1.0</v>
      </c>
      <c r="BY94" s="6"/>
      <c r="BZ94" s="6"/>
      <c r="CA94" s="6">
        <v>1.0</v>
      </c>
      <c r="CC94" s="6" t="s">
        <v>633</v>
      </c>
      <c r="CD94" s="6">
        <v>40.0</v>
      </c>
      <c r="CE94" s="6">
        <v>10.0</v>
      </c>
    </row>
    <row r="95">
      <c r="B95" s="40"/>
      <c r="C95" s="41"/>
      <c r="D95" s="38"/>
      <c r="E95" s="38"/>
      <c r="F95" s="42"/>
      <c r="G95" s="43"/>
      <c r="H95" s="56" t="s">
        <v>502</v>
      </c>
      <c r="I95" s="57">
        <v>34.0</v>
      </c>
      <c r="J95" s="100" t="s">
        <v>424</v>
      </c>
      <c r="K95" s="100">
        <v>0.0</v>
      </c>
      <c r="L95" s="45"/>
      <c r="M95" s="45"/>
      <c r="N95" s="45"/>
      <c r="O95" s="45"/>
      <c r="P95" s="45"/>
      <c r="Q95" s="45"/>
      <c r="R95" s="45"/>
      <c r="S95" s="101"/>
      <c r="T95" s="101"/>
      <c r="U95" s="45"/>
      <c r="V95" s="45"/>
      <c r="W95" s="45"/>
      <c r="X95" s="45"/>
      <c r="Y95" s="45"/>
      <c r="Z95" s="45"/>
      <c r="AA95" s="45"/>
      <c r="AB95" s="45"/>
      <c r="AC95" s="45"/>
      <c r="AD95" s="45"/>
      <c r="AE95" s="79"/>
      <c r="AF95" s="45"/>
      <c r="AG95" s="45"/>
      <c r="AH95" s="45"/>
      <c r="AI95" s="45"/>
      <c r="AJ95" s="45"/>
      <c r="AK95" s="45"/>
      <c r="AL95" s="45"/>
      <c r="AM95" s="45"/>
      <c r="AN95" s="45"/>
      <c r="AO95" s="45"/>
      <c r="AP95" s="45"/>
      <c r="AQ95" s="45"/>
      <c r="AR95" s="79"/>
      <c r="AS95" s="45"/>
      <c r="AT95" s="45"/>
      <c r="AU95" s="45"/>
      <c r="AV95" s="45"/>
      <c r="AW95" s="45"/>
      <c r="AX95" s="45"/>
      <c r="AY95" s="45"/>
      <c r="AZ95" s="45"/>
      <c r="BA95" s="45"/>
      <c r="BB95" s="45"/>
      <c r="BC95" s="45"/>
      <c r="BD95" s="45"/>
      <c r="BE95" s="45"/>
      <c r="BF95" s="45"/>
      <c r="BG95" s="46"/>
      <c r="BI95" s="28"/>
      <c r="BK95" s="6" t="s">
        <v>633</v>
      </c>
      <c r="BL95" s="6"/>
      <c r="BM95" s="6">
        <v>4.0</v>
      </c>
      <c r="BN95" s="6"/>
      <c r="BO95" s="6"/>
      <c r="BP95" s="6"/>
      <c r="BQ95" s="6" t="s">
        <v>309</v>
      </c>
      <c r="BR95" s="6">
        <v>4.0</v>
      </c>
      <c r="BS95" s="6"/>
      <c r="BT95" s="6"/>
      <c r="BU95" s="6">
        <v>4.0</v>
      </c>
      <c r="BW95" s="6" t="s">
        <v>309</v>
      </c>
      <c r="BX95" s="6">
        <v>4.0</v>
      </c>
      <c r="BY95" s="6"/>
      <c r="BZ95" s="6"/>
      <c r="CA95" s="6">
        <v>4.0</v>
      </c>
      <c r="CC95" s="6" t="s">
        <v>634</v>
      </c>
      <c r="CD95" s="6">
        <v>25006.0</v>
      </c>
      <c r="CE95" s="6">
        <v>105511.0</v>
      </c>
    </row>
    <row r="96">
      <c r="B96" s="50"/>
      <c r="C96" s="51"/>
      <c r="D96" s="52"/>
      <c r="E96" s="52"/>
      <c r="F96" s="52"/>
      <c r="G96" s="43"/>
      <c r="H96" s="52"/>
      <c r="I96" s="52"/>
      <c r="J96" s="52"/>
      <c r="K96" s="52"/>
      <c r="L96" s="52"/>
      <c r="M96" s="52"/>
      <c r="N96" s="52"/>
      <c r="O96" s="52"/>
      <c r="P96" s="52"/>
      <c r="Q96" s="52"/>
      <c r="R96" s="52"/>
      <c r="S96" s="52"/>
      <c r="T96" s="52"/>
      <c r="U96" s="52"/>
      <c r="V96" s="52"/>
      <c r="W96" s="52"/>
      <c r="X96" s="52"/>
      <c r="Y96" s="52"/>
      <c r="Z96" s="52"/>
      <c r="AA96" s="52"/>
      <c r="AB96" s="52"/>
      <c r="AC96" s="52"/>
      <c r="AD96" s="52"/>
      <c r="AE96" s="43"/>
      <c r="AF96" s="52"/>
      <c r="AG96" s="52"/>
      <c r="AH96" s="52"/>
      <c r="AI96" s="52"/>
      <c r="AJ96" s="52"/>
      <c r="AK96" s="52"/>
      <c r="AL96" s="52"/>
      <c r="AM96" s="52"/>
      <c r="AN96" s="52"/>
      <c r="AO96" s="52"/>
      <c r="AP96" s="52"/>
      <c r="AQ96" s="52"/>
      <c r="AR96" s="43"/>
      <c r="AS96" s="52"/>
      <c r="AT96" s="52"/>
      <c r="AU96" s="52"/>
      <c r="AV96" s="52"/>
      <c r="AW96" s="52"/>
      <c r="AX96" s="52"/>
      <c r="AY96" s="52"/>
      <c r="AZ96" s="52"/>
      <c r="BA96" s="52"/>
      <c r="BB96" s="52"/>
      <c r="BC96" s="52"/>
      <c r="BD96" s="52"/>
      <c r="BE96" s="52"/>
      <c r="BF96" s="52"/>
      <c r="BG96" s="53"/>
      <c r="BI96" s="28"/>
      <c r="BK96" s="6" t="s">
        <v>634</v>
      </c>
      <c r="BL96" s="6"/>
      <c r="BM96" s="6"/>
      <c r="BN96" s="6">
        <v>1.0</v>
      </c>
      <c r="BO96" s="6"/>
      <c r="BP96" s="6"/>
      <c r="BQ96" s="6" t="s">
        <v>321</v>
      </c>
      <c r="BR96" s="6">
        <v>1.0</v>
      </c>
      <c r="BS96" s="6"/>
      <c r="BT96" s="6"/>
      <c r="BU96" s="6">
        <v>1.0</v>
      </c>
      <c r="BW96" s="6" t="s">
        <v>321</v>
      </c>
      <c r="BX96" s="6">
        <v>6.0</v>
      </c>
      <c r="BY96" s="6"/>
      <c r="BZ96" s="6"/>
      <c r="CA96" s="6">
        <v>6.0</v>
      </c>
      <c r="CC96" s="6" t="s">
        <v>635</v>
      </c>
      <c r="CD96" s="6">
        <v>4600.0</v>
      </c>
      <c r="CE96" s="6">
        <v>1000.0</v>
      </c>
    </row>
    <row r="97">
      <c r="B97" s="31" t="s">
        <v>653</v>
      </c>
      <c r="C97" s="54"/>
      <c r="D97" s="45"/>
      <c r="E97" s="45"/>
      <c r="F97" s="47"/>
      <c r="G97" s="35"/>
      <c r="H97" s="55" t="s">
        <v>349</v>
      </c>
      <c r="I97" s="38">
        <f>VLOOKUP(H97,'Machine List'!$A$1:$I$300,9,FALSE)</f>
        <v>4000</v>
      </c>
      <c r="J97" s="38">
        <f>IF(VLOOKUP(H97,'Machine List'!$A$1:$I$300,5,FALSE)="Multi",IF(VLOOKUP(H97,'Machine List'!$A$1:$I$300,6,FALSE)="Yes",AG97*3*10^Z97,AG97*(2*3)*10^(Z97-1)),0)</f>
        <v>60</v>
      </c>
      <c r="K97" s="38">
        <f>J97+IF(ISNUMBER(I97),I97,
  SWITCH(
      I97,
      "1T",1*10^Z97,
      "2T",2*10^Z97,
      "3T",3*10^Z97,
      "4T",4*10^Z97,
      "4000+500(7O-5)",4000+500*(7*I99-5),
      1
  )
)</f>
        <v>4060</v>
      </c>
      <c r="L97" s="38">
        <f>IF(VLOOKUP(H97,'Machine List'!$A$1:$I$300,5,FALSE)="Multi",IF(VLOOKUP(H97,'Machine List'!$A$1:$I$300,6,FALSE)="Yes",AU97*3*10^AT97,AU97*(2*3)*10^(AT97-1)),0)</f>
        <v>600</v>
      </c>
      <c r="M97" s="38">
        <f>L97+IF(ISNUMBER(I97),I97,
  SWITCH(
      I97,
      "1T",1*10^AT97,
      "2T",2*10^AT97,
      "3T",3*10^AT97,
      "4T",4*10^AT97,
      "4000+500(7O-5)",4000+500*(7*I99-5),
      1
  )
)</f>
        <v>4600</v>
      </c>
      <c r="N97" s="38" t="str">
        <f>VLOOKUP(H97,'Machine List'!$A$1:$I$300,8,FALSE)</f>
        <v>Tier</v>
      </c>
      <c r="O97" s="38">
        <f>IF(ISNUMBER(N97),N97,10^Z97)</f>
        <v>100</v>
      </c>
      <c r="P97" s="38">
        <f>IF(ISNUMBER(N97),N97,10^AT97)</f>
        <v>1000</v>
      </c>
      <c r="Q97" s="38">
        <f>VLOOKUP(H97,'Machine List'!$A$1:$B$138,2,FALSE)</f>
        <v>1</v>
      </c>
      <c r="R97" s="38" t="s">
        <v>594</v>
      </c>
      <c r="S97" s="45">
        <f>IF(ISNUMBER(Q97),Q97,
  SWITCH(
      Q97,
      "1",1,
      "2T",Z97*2,
      "4T",Z97*4,
      "6T",Z97*6,
      "8T",Z97*8,
      "10T",Z97*10,
      "12T",Z97*12,
      "14T",Z97*14,
      "16T",Z97*16,
      "2(T+1)",2*(Z97+1),
      "1T*C",Z97*J99,
      1
  )
)</f>
        <v>1</v>
      </c>
      <c r="T97" s="38" t="s">
        <v>277</v>
      </c>
      <c r="U97" s="38">
        <f>IF(OR(T97="No",T97=""),S97,T97)</f>
        <v>1</v>
      </c>
      <c r="V97" s="38">
        <f>IF(ISNUMBER(Q97),Q97,
  SWITCH(
      Q97,
      "1",1,
      "2T",AT97*2,
      "4T",AT97*4,
      "6T",AT97*6,
      "8T",AT97*8,
      "10T",AT97*10,
      "12T",AT97*12,
      "14T",AT97*14,
      "16T",AT97*16,
      "2(T+1)",2*(AT97+1),
      "1T*C",AT97*J99,
      1
  )
)</f>
        <v>1</v>
      </c>
      <c r="W97" s="38" t="str">
        <f>T97</f>
        <v>No</v>
      </c>
      <c r="X97" s="38">
        <f>IF(OR(W97="No",W97=""),V97,W97)</f>
        <v>1</v>
      </c>
      <c r="Y97" s="38" t="s">
        <v>393</v>
      </c>
      <c r="Z97" s="38">
        <f>VLOOKUP(Y97,'Item Helper Sheet'!$A$2:$B$16,2,FALSE)</f>
        <v>2</v>
      </c>
      <c r="AA97" s="38">
        <v>120.0</v>
      </c>
      <c r="AB97" s="38">
        <f>24*20</f>
        <v>480</v>
      </c>
      <c r="AC97" s="38">
        <f>AB97*I99</f>
        <v>960</v>
      </c>
      <c r="AD97" s="38">
        <f>AA97*AC97</f>
        <v>115200</v>
      </c>
      <c r="AE97" s="75"/>
      <c r="AF97" s="38" t="str">
        <f>Y97</f>
        <v>02 - MV</v>
      </c>
      <c r="AG97" s="38">
        <v>1.0</v>
      </c>
      <c r="AH97" s="38">
        <v>1.0</v>
      </c>
      <c r="AI97" s="38">
        <f>AH97*8*4^Z97</f>
        <v>128</v>
      </c>
      <c r="AJ97" s="38">
        <f>MIN(ROUNDDOWN(AI97/AL97,0),U97)</f>
        <v>1</v>
      </c>
      <c r="AK97" s="38">
        <f>IF(OR(T97="No",T97=""),AG97*S97,AG97*T97)</f>
        <v>1</v>
      </c>
      <c r="AL97" s="38">
        <f>ROUNDUP(AA97*VLOOKUP(H97,'Machine List'!$A$2:$D$219,4,FALSE),0)</f>
        <v>120</v>
      </c>
      <c r="AM97" s="38">
        <f>AL97*AK97</f>
        <v>120</v>
      </c>
      <c r="AN97" s="38">
        <f>ROUNDUP(AB97*I99,0)</f>
        <v>960</v>
      </c>
      <c r="AO97" s="38">
        <f>ROUNDUP(AN97/VLOOKUP(H97,'Machine List'!$A$2:$D$219,3,FALSE),0)</f>
        <v>960</v>
      </c>
      <c r="AP97" s="38">
        <f>ROUNDUP(AO97/AK97,0)</f>
        <v>960</v>
      </c>
      <c r="AQ97" s="38">
        <f>AM97*AP97</f>
        <v>115200</v>
      </c>
      <c r="AR97" s="75"/>
      <c r="AS97" s="38" t="s">
        <v>397</v>
      </c>
      <c r="AT97" s="38">
        <f>VLOOKUP(AS97,'Item Helper Sheet'!$A$2:$B$16,2,FALSE)</f>
        <v>3</v>
      </c>
      <c r="AU97" s="38">
        <f>AG97</f>
        <v>1</v>
      </c>
      <c r="AV97" s="38">
        <v>1.0</v>
      </c>
      <c r="AW97" s="38">
        <f>AV97*8*4^AT97</f>
        <v>512</v>
      </c>
      <c r="AX97" s="38">
        <f>MIN(ROUNDDOWN(AW97/AL97,0),X97)</f>
        <v>1</v>
      </c>
      <c r="AY97" s="38">
        <f>AX97*AU97</f>
        <v>1</v>
      </c>
      <c r="AZ97" s="38">
        <f>AL97</f>
        <v>120</v>
      </c>
      <c r="BA97" s="38">
        <f>MIN(AT97-Z97,IF(AW97&gt;=AZ98*4,
IF(AW97&gt;=AZ98*4^2,
IF(AW97&gt;=AZ98*4^3,
IF(AW97&gt;=AZ98*4^4,
IF(AW97&gt;=AZ98*4^5,
IF(AW97&gt;=AZ98*4^6,
IF(AW97&gt;=AZ98*4^7,
IF(AW97&gt;=AZ98*4^8,
IF(AW97&gt;=AZ98*4^9,
IF(AW97&gt;=AZ98*4^10,
9),
8),
7),
6),
5),
4),
3),
2),
1),
0))</f>
        <v>1</v>
      </c>
      <c r="BB97" s="38">
        <f>AZ97*AX97*4^BA97</f>
        <v>480</v>
      </c>
      <c r="BC97" s="38">
        <f>BB97*AU97</f>
        <v>480</v>
      </c>
      <c r="BD97" s="45">
        <f>ROUNDUP(IF(R97="Yes",AN97/(2^((BA97)*2)),AN97/(2^(BA97))),0)</f>
        <v>240</v>
      </c>
      <c r="BE97" s="45">
        <f>ROUNDUP(BD97/VLOOKUP(H97,'Machine List'!$A$2:$D$219,3,FALSE),0)</f>
        <v>240</v>
      </c>
      <c r="BF97" s="45">
        <f>ROUNDUP(BE97/AY97,0)</f>
        <v>240</v>
      </c>
      <c r="BG97" s="46">
        <f>BF97*BC97</f>
        <v>115200</v>
      </c>
      <c r="BI97" s="28"/>
      <c r="BK97" s="6" t="s">
        <v>635</v>
      </c>
      <c r="BL97" s="6"/>
      <c r="BM97" s="6"/>
      <c r="BN97" s="6"/>
      <c r="BO97" s="6">
        <v>1.0</v>
      </c>
      <c r="BP97" s="6"/>
      <c r="BQ97" s="6" t="s">
        <v>349</v>
      </c>
      <c r="BR97" s="6">
        <v>2.0</v>
      </c>
      <c r="BS97" s="6">
        <v>4.0</v>
      </c>
      <c r="BT97" s="6">
        <v>3.0</v>
      </c>
      <c r="BU97" s="6">
        <v>9.0</v>
      </c>
      <c r="BW97" s="6" t="s">
        <v>349</v>
      </c>
      <c r="BX97" s="6">
        <v>2.0</v>
      </c>
      <c r="BY97" s="6">
        <v>4.0</v>
      </c>
      <c r="BZ97" s="6">
        <v>3.0</v>
      </c>
      <c r="CA97" s="6">
        <v>9.0</v>
      </c>
      <c r="CC97" s="6" t="s">
        <v>636</v>
      </c>
      <c r="CD97" s="6">
        <v>4060.0</v>
      </c>
      <c r="CE97" s="6">
        <v>100.0</v>
      </c>
    </row>
    <row r="98">
      <c r="B98" s="40"/>
      <c r="C98" s="41" t="s">
        <v>130</v>
      </c>
      <c r="D98" s="38">
        <f>8000*I99</f>
        <v>16000</v>
      </c>
      <c r="E98" s="38" t="s">
        <v>233</v>
      </c>
      <c r="F98" s="42">
        <f>2000*I99</f>
        <v>4000</v>
      </c>
      <c r="G98" s="43"/>
      <c r="H98" s="99" t="s">
        <v>584</v>
      </c>
      <c r="I98" s="45">
        <f t="array" ref="I98">match(TRUE,ISBLANK(F98:F110),0)-1</f>
        <v>2</v>
      </c>
      <c r="J98" s="100" t="s">
        <v>420</v>
      </c>
      <c r="K98" s="100" t="s">
        <v>585</v>
      </c>
      <c r="L98" s="38"/>
      <c r="M98" s="38"/>
      <c r="N98" s="38"/>
      <c r="O98" s="38"/>
      <c r="P98" s="38"/>
      <c r="Q98" s="38"/>
      <c r="R98" s="101"/>
      <c r="S98" s="101"/>
      <c r="T98" s="101"/>
      <c r="U98" s="45"/>
      <c r="V98" s="45"/>
      <c r="W98" s="45"/>
      <c r="X98" s="45"/>
      <c r="Y98" s="45"/>
      <c r="Z98" s="45"/>
      <c r="AA98" s="45"/>
      <c r="AB98" s="45"/>
      <c r="AC98" s="45"/>
      <c r="AD98" s="45"/>
      <c r="AE98" s="79"/>
      <c r="AF98" s="45"/>
      <c r="AG98" s="45"/>
      <c r="AH98" s="45"/>
      <c r="AI98" s="45"/>
      <c r="AJ98" s="45"/>
      <c r="AK98" s="45"/>
      <c r="AL98" s="45"/>
      <c r="AM98" s="45"/>
      <c r="AN98" s="45"/>
      <c r="AO98" s="45"/>
      <c r="AP98" s="45"/>
      <c r="AQ98" s="45"/>
      <c r="AR98" s="79"/>
      <c r="AS98" s="45"/>
      <c r="AT98" s="45"/>
      <c r="AU98" s="45"/>
      <c r="AV98" s="45"/>
      <c r="AW98" s="45"/>
      <c r="AX98" s="45"/>
      <c r="AY98" s="45"/>
      <c r="AZ98" s="45">
        <f>AZ97*AX97</f>
        <v>120</v>
      </c>
      <c r="BA98" s="45"/>
      <c r="BB98" s="45"/>
      <c r="BC98" s="45"/>
      <c r="BD98" s="45"/>
      <c r="BE98" s="45"/>
      <c r="BF98" s="45"/>
      <c r="BG98" s="46"/>
      <c r="BI98" s="28"/>
      <c r="BK98" s="6" t="s">
        <v>636</v>
      </c>
      <c r="BL98" s="6"/>
      <c r="BM98" s="6"/>
      <c r="BN98" s="6"/>
      <c r="BO98" s="6">
        <v>1.0</v>
      </c>
      <c r="BP98" s="6"/>
      <c r="BQ98" s="6" t="s">
        <v>375</v>
      </c>
      <c r="BR98" s="6"/>
      <c r="BS98" s="6"/>
      <c r="BT98" s="6">
        <v>2.0</v>
      </c>
      <c r="BU98" s="6">
        <v>2.0</v>
      </c>
      <c r="BW98" s="6" t="s">
        <v>375</v>
      </c>
      <c r="BX98" s="6"/>
      <c r="BY98" s="6"/>
      <c r="BZ98" s="6">
        <v>2.0</v>
      </c>
      <c r="CA98" s="6">
        <v>2.0</v>
      </c>
      <c r="CC98" s="6" t="s">
        <v>637</v>
      </c>
      <c r="CD98" s="6">
        <v>4060.0</v>
      </c>
      <c r="CE98" s="6">
        <v>100.0</v>
      </c>
    </row>
    <row r="99">
      <c r="B99" s="40"/>
      <c r="C99" s="41" t="s">
        <v>63</v>
      </c>
      <c r="D99" s="38">
        <f>1000*I99</f>
        <v>2000</v>
      </c>
      <c r="E99" s="38" t="s">
        <v>248</v>
      </c>
      <c r="F99" s="42">
        <f>9000*I99</f>
        <v>18000</v>
      </c>
      <c r="G99" s="43"/>
      <c r="H99" s="56" t="s">
        <v>502</v>
      </c>
      <c r="I99" s="57">
        <v>2.0</v>
      </c>
      <c r="J99" s="100" t="s">
        <v>424</v>
      </c>
      <c r="K99" s="100">
        <v>0.0</v>
      </c>
      <c r="L99" s="45"/>
      <c r="M99" s="45"/>
      <c r="N99" s="45"/>
      <c r="O99" s="45"/>
      <c r="P99" s="45"/>
      <c r="Q99" s="45"/>
      <c r="R99" s="45"/>
      <c r="S99" s="101"/>
      <c r="T99" s="101"/>
      <c r="U99" s="45"/>
      <c r="V99" s="45"/>
      <c r="W99" s="45"/>
      <c r="X99" s="45"/>
      <c r="Y99" s="45"/>
      <c r="Z99" s="45"/>
      <c r="AA99" s="45"/>
      <c r="AB99" s="45"/>
      <c r="AC99" s="45"/>
      <c r="AD99" s="45"/>
      <c r="AE99" s="79"/>
      <c r="AF99" s="45"/>
      <c r="AG99" s="45"/>
      <c r="AH99" s="45"/>
      <c r="AI99" s="45"/>
      <c r="AJ99" s="45"/>
      <c r="AK99" s="45"/>
      <c r="AL99" s="45"/>
      <c r="AM99" s="45"/>
      <c r="AN99" s="45"/>
      <c r="AO99" s="45"/>
      <c r="AP99" s="45"/>
      <c r="AQ99" s="45"/>
      <c r="AR99" s="79"/>
      <c r="AS99" s="45"/>
      <c r="AT99" s="45"/>
      <c r="AU99" s="45"/>
      <c r="AV99" s="45"/>
      <c r="AW99" s="45"/>
      <c r="AX99" s="45"/>
      <c r="AY99" s="45"/>
      <c r="AZ99" s="45"/>
      <c r="BA99" s="45"/>
      <c r="BB99" s="45"/>
      <c r="BC99" s="45"/>
      <c r="BD99" s="45"/>
      <c r="BE99" s="45"/>
      <c r="BF99" s="45"/>
      <c r="BG99" s="46"/>
      <c r="BI99" s="28"/>
      <c r="BK99" s="6" t="s">
        <v>637</v>
      </c>
      <c r="BL99" s="6"/>
      <c r="BM99" s="6"/>
      <c r="BN99" s="6"/>
      <c r="BO99" s="6">
        <v>1.0</v>
      </c>
      <c r="BP99" s="6"/>
      <c r="BQ99" s="6" t="s">
        <v>487</v>
      </c>
      <c r="BR99" s="6">
        <v>8.0</v>
      </c>
      <c r="BS99" s="6">
        <v>4.0</v>
      </c>
      <c r="BT99" s="6">
        <v>5.0</v>
      </c>
      <c r="BU99" s="6">
        <v>17.0</v>
      </c>
      <c r="BW99" s="6" t="s">
        <v>487</v>
      </c>
      <c r="BX99" s="6">
        <v>13.0</v>
      </c>
      <c r="BY99" s="6">
        <v>4.0</v>
      </c>
      <c r="BZ99" s="6">
        <v>5.0</v>
      </c>
      <c r="CA99" s="6">
        <v>22.0</v>
      </c>
      <c r="CC99" s="6" t="s">
        <v>648</v>
      </c>
      <c r="CD99" s="102">
        <v>4006.0</v>
      </c>
      <c r="CE99" s="6">
        <v>10.0</v>
      </c>
    </row>
    <row r="100">
      <c r="B100" s="50"/>
      <c r="C100" s="51"/>
      <c r="D100" s="52"/>
      <c r="E100" s="52"/>
      <c r="F100" s="52"/>
      <c r="G100" s="43"/>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43"/>
      <c r="AF100" s="52"/>
      <c r="AG100" s="52"/>
      <c r="AH100" s="52"/>
      <c r="AI100" s="52"/>
      <c r="AJ100" s="52"/>
      <c r="AK100" s="52"/>
      <c r="AL100" s="52"/>
      <c r="AM100" s="52"/>
      <c r="AN100" s="52"/>
      <c r="AO100" s="52"/>
      <c r="AP100" s="52"/>
      <c r="AQ100" s="52"/>
      <c r="AR100" s="43"/>
      <c r="AS100" s="52"/>
      <c r="AT100" s="52"/>
      <c r="AU100" s="52"/>
      <c r="AV100" s="52"/>
      <c r="AW100" s="52"/>
      <c r="AX100" s="52"/>
      <c r="AY100" s="52"/>
      <c r="AZ100" s="52"/>
      <c r="BA100" s="52"/>
      <c r="BB100" s="52"/>
      <c r="BC100" s="52"/>
      <c r="BD100" s="52"/>
      <c r="BE100" s="52"/>
      <c r="BF100" s="52"/>
      <c r="BG100" s="53"/>
      <c r="BI100" s="28"/>
      <c r="BK100" s="6" t="s">
        <v>648</v>
      </c>
      <c r="BL100" s="6"/>
      <c r="BM100" s="6"/>
      <c r="BN100" s="6"/>
      <c r="BO100" s="6">
        <v>1.0</v>
      </c>
      <c r="BP100" s="6"/>
      <c r="CC100" s="6" t="s">
        <v>649</v>
      </c>
      <c r="CD100" s="6">
        <v>4060.0</v>
      </c>
      <c r="CE100" s="6">
        <v>100.0</v>
      </c>
    </row>
    <row r="101">
      <c r="B101" s="31" t="s">
        <v>654</v>
      </c>
      <c r="C101" s="54"/>
      <c r="D101" s="45"/>
      <c r="E101" s="45"/>
      <c r="F101" s="47"/>
      <c r="G101" s="35"/>
      <c r="H101" s="55" t="s">
        <v>349</v>
      </c>
      <c r="I101" s="38">
        <f>VLOOKUP(H101,'Machine List'!$A$1:$I$300,9,FALSE)</f>
        <v>4000</v>
      </c>
      <c r="J101" s="38">
        <f>IF(VLOOKUP(H101,'Machine List'!$A$1:$I$300,5,FALSE)="Multi",IF(VLOOKUP(H101,'Machine List'!$A$1:$I$300,6,FALSE)="Yes",AG101*3*10^Z101,AG101*(2*3)*10^(Z101-1)),0)</f>
        <v>600</v>
      </c>
      <c r="K101" s="38">
        <f>J101+IF(ISNUMBER(I101),I101,
  SWITCH(
      I101,
      "1T",1*10^Z101,
      "2T",2*10^Z101,
      "3T",3*10^Z101,
      "4T",4*10^Z101,
      "4000+500(7O-5)",4000+500*(7*I103-5),
      1
  )
)</f>
        <v>4600</v>
      </c>
      <c r="L101" s="38">
        <f>IF(VLOOKUP(H101,'Machine List'!$A$1:$I$300,5,FALSE)="Multi",IF(VLOOKUP(H101,'Machine List'!$A$1:$I$300,6,FALSE)="Yes",AU101*3*10^AT101,AU101*(2*3)*10^(AT101-1)),0)</f>
        <v>6000</v>
      </c>
      <c r="M101" s="38">
        <f>L101+IF(ISNUMBER(I101),I101,
  SWITCH(
      I101,
      "1T",1*10^AT101,
      "2T",2*10^AT101,
      "3T",3*10^AT101,
      "4T",4*10^AT101,
      "4000+500(7O-5)",4000+500*(7*I103-5),
      1
  )
)</f>
        <v>10000</v>
      </c>
      <c r="N101" s="38" t="str">
        <f>VLOOKUP(H101,'Machine List'!$A$1:$I$300,8,FALSE)</f>
        <v>Tier</v>
      </c>
      <c r="O101" s="38">
        <f>IF(ISNUMBER(N101),N101,10^Z101)</f>
        <v>1000</v>
      </c>
      <c r="P101" s="38">
        <f>IF(ISNUMBER(N101),N101,10^AT101)</f>
        <v>10000</v>
      </c>
      <c r="Q101" s="38">
        <f>VLOOKUP(H101,'Machine List'!$A$1:$B$138,2,FALSE)</f>
        <v>1</v>
      </c>
      <c r="R101" s="38" t="s">
        <v>594</v>
      </c>
      <c r="S101" s="45">
        <f>IF(ISNUMBER(Q101),Q101,
  SWITCH(
      Q101,
      "1",1,
      "2T",Z101*2,
      "4T",Z101*4,
      "6T",Z101*6,
      "8T",Z101*8,
      "10T",Z101*10,
      "12T",Z101*12,
      "14T",Z101*14,
      "16T",Z101*16,
      "2(T+1)",2*(Z101+1),
      "1T*C",Z101*J103,
      1
  )
)</f>
        <v>1</v>
      </c>
      <c r="T101" s="38" t="s">
        <v>277</v>
      </c>
      <c r="U101" s="38">
        <f>IF(OR(T101="No",T101=""),S101,T101)</f>
        <v>1</v>
      </c>
      <c r="V101" s="38">
        <f>IF(ISNUMBER(Q101),Q101,
  SWITCH(
      Q101,
      "1",1,
      "2T",AT101*2,
      "4T",AT101*4,
      "6T",AT101*6,
      "8T",AT101*8,
      "10T",AT101*10,
      "12T",AT101*12,
      "14T",AT101*14,
      "16T",AT101*16,
      "2(T+1)",2*(AT101+1),
      "1T*C",AT101*J103,
      1
  )
)</f>
        <v>1</v>
      </c>
      <c r="W101" s="38" t="str">
        <f>T101</f>
        <v>No</v>
      </c>
      <c r="X101" s="38">
        <f>IF(OR(W101="No",W101=""),V101,W101)</f>
        <v>1</v>
      </c>
      <c r="Y101" s="38" t="s">
        <v>397</v>
      </c>
      <c r="Z101" s="38">
        <f>VLOOKUP(Y101,'Item Helper Sheet'!$A$2:$B$16,2,FALSE)</f>
        <v>3</v>
      </c>
      <c r="AA101" s="38">
        <v>480.0</v>
      </c>
      <c r="AB101" s="38">
        <f>6*20</f>
        <v>120</v>
      </c>
      <c r="AC101" s="38">
        <f>AB101*I103</f>
        <v>1200</v>
      </c>
      <c r="AD101" s="38">
        <f>AA101*AC101</f>
        <v>576000</v>
      </c>
      <c r="AE101" s="75"/>
      <c r="AF101" s="38" t="str">
        <f>Y101</f>
        <v>03 - HV</v>
      </c>
      <c r="AG101" s="38">
        <v>1.0</v>
      </c>
      <c r="AH101" s="38">
        <v>1.0</v>
      </c>
      <c r="AI101" s="38">
        <f>AH101*8*4^Z101</f>
        <v>512</v>
      </c>
      <c r="AJ101" s="38">
        <f>MIN(ROUNDDOWN(AI101/AL101,0),U101)</f>
        <v>1</v>
      </c>
      <c r="AK101" s="38">
        <f>IF(OR(T101="No",T101=""),AG101*S101,AG101*T101)</f>
        <v>1</v>
      </c>
      <c r="AL101" s="38">
        <f>ROUNDUP(AA101*VLOOKUP(H101,'Machine List'!$A$2:$D$219,4,FALSE),0)</f>
        <v>480</v>
      </c>
      <c r="AM101" s="38">
        <f>AL101*AK101</f>
        <v>480</v>
      </c>
      <c r="AN101" s="38">
        <f>ROUNDUP(AB101*I103,0)</f>
        <v>1200</v>
      </c>
      <c r="AO101" s="38">
        <f>ROUNDUP(AN101/VLOOKUP(H101,'Machine List'!$A$2:$D$219,3,FALSE),0)</f>
        <v>1200</v>
      </c>
      <c r="AP101" s="38">
        <f>ROUNDUP(AO101/AK101,0)</f>
        <v>1200</v>
      </c>
      <c r="AQ101" s="38">
        <f>AM101*AP101</f>
        <v>576000</v>
      </c>
      <c r="AR101" s="75"/>
      <c r="AS101" s="38" t="s">
        <v>401</v>
      </c>
      <c r="AT101" s="38">
        <f>VLOOKUP(AS101,'Item Helper Sheet'!$A$2:$B$16,2,FALSE)</f>
        <v>4</v>
      </c>
      <c r="AU101" s="38">
        <f>AG101</f>
        <v>1</v>
      </c>
      <c r="AV101" s="38">
        <v>1.0</v>
      </c>
      <c r="AW101" s="38">
        <f>AV101*8*4^AT101</f>
        <v>2048</v>
      </c>
      <c r="AX101" s="38">
        <f>MIN(ROUNDDOWN(AW101/AL101,0),X101)</f>
        <v>1</v>
      </c>
      <c r="AY101" s="38">
        <f>AX101*AU101</f>
        <v>1</v>
      </c>
      <c r="AZ101" s="38">
        <f>AL101</f>
        <v>480</v>
      </c>
      <c r="BA101" s="38">
        <f>MIN(AT101-Z101,IF(AW101&gt;=AZ102*4,
IF(AW101&gt;=AZ102*4^2,
IF(AW101&gt;=AZ102*4^3,
IF(AW101&gt;=AZ102*4^4,
IF(AW101&gt;=AZ102*4^5,
IF(AW101&gt;=AZ102*4^6,
IF(AW101&gt;=AZ102*4^7,
IF(AW101&gt;=AZ102*4^8,
IF(AW101&gt;=AZ102*4^9,
IF(AW101&gt;=AZ102*4^10,
9),
8),
7),
6),
5),
4),
3),
2),
1),
0))</f>
        <v>1</v>
      </c>
      <c r="BB101" s="38">
        <f>AZ101*AX101*4^BA101</f>
        <v>1920</v>
      </c>
      <c r="BC101" s="38">
        <f>BB101*AU101</f>
        <v>1920</v>
      </c>
      <c r="BD101" s="45">
        <f>ROUNDUP(IF(R101="Yes",AN101/(2^((BA101)*2)),AN101/(2^(BA101))),0)</f>
        <v>300</v>
      </c>
      <c r="BE101" s="45">
        <f>ROUNDUP(BD101/VLOOKUP(H101,'Machine List'!$A$2:$D$219,3,FALSE),0)</f>
        <v>300</v>
      </c>
      <c r="BF101" s="45">
        <f>ROUNDUP(BE101/AY101,0)</f>
        <v>300</v>
      </c>
      <c r="BG101" s="46">
        <f>BF101*BC101</f>
        <v>576000</v>
      </c>
      <c r="BI101" s="28"/>
      <c r="BK101" s="6" t="s">
        <v>649</v>
      </c>
      <c r="BL101" s="6"/>
      <c r="BM101" s="6"/>
      <c r="BN101" s="6"/>
      <c r="BO101" s="6">
        <v>1.0</v>
      </c>
      <c r="BP101" s="6"/>
      <c r="CC101" s="6" t="s">
        <v>650</v>
      </c>
      <c r="CD101" s="6">
        <v>4600.0</v>
      </c>
      <c r="CE101" s="6">
        <v>1000.0</v>
      </c>
    </row>
    <row r="102">
      <c r="B102" s="40"/>
      <c r="C102" s="41" t="s">
        <v>36</v>
      </c>
      <c r="D102" s="38">
        <f>10000*I103</f>
        <v>100000</v>
      </c>
      <c r="E102" s="38" t="s">
        <v>46</v>
      </c>
      <c r="F102" s="42">
        <f>9000*I103</f>
        <v>90000</v>
      </c>
      <c r="G102" s="43"/>
      <c r="H102" s="99" t="s">
        <v>584</v>
      </c>
      <c r="I102" s="45">
        <f t="array" ref="I102">match(TRUE,ISBLANK(F102:F114),0)-1</f>
        <v>1</v>
      </c>
      <c r="J102" s="100" t="s">
        <v>420</v>
      </c>
      <c r="K102" s="100" t="s">
        <v>585</v>
      </c>
      <c r="L102" s="38"/>
      <c r="M102" s="38"/>
      <c r="N102" s="38"/>
      <c r="O102" s="38"/>
      <c r="P102" s="38"/>
      <c r="Q102" s="38"/>
      <c r="R102" s="101"/>
      <c r="S102" s="101"/>
      <c r="T102" s="101"/>
      <c r="U102" s="45"/>
      <c r="V102" s="45"/>
      <c r="W102" s="45"/>
      <c r="X102" s="45"/>
      <c r="Y102" s="45"/>
      <c r="Z102" s="45"/>
      <c r="AA102" s="45"/>
      <c r="AB102" s="45"/>
      <c r="AC102" s="45"/>
      <c r="AD102" s="45"/>
      <c r="AE102" s="79"/>
      <c r="AF102" s="45"/>
      <c r="AG102" s="45"/>
      <c r="AH102" s="45"/>
      <c r="AI102" s="45"/>
      <c r="AJ102" s="45"/>
      <c r="AK102" s="45"/>
      <c r="AL102" s="45"/>
      <c r="AM102" s="45"/>
      <c r="AN102" s="45"/>
      <c r="AO102" s="45"/>
      <c r="AP102" s="45"/>
      <c r="AQ102" s="45"/>
      <c r="AR102" s="79"/>
      <c r="AS102" s="45"/>
      <c r="AT102" s="45"/>
      <c r="AU102" s="45"/>
      <c r="AV102" s="45"/>
      <c r="AW102" s="45"/>
      <c r="AX102" s="45"/>
      <c r="AY102" s="45"/>
      <c r="AZ102" s="45">
        <f>AZ101*AX101</f>
        <v>480</v>
      </c>
      <c r="BA102" s="45"/>
      <c r="BB102" s="45"/>
      <c r="BC102" s="45"/>
      <c r="BD102" s="45"/>
      <c r="BE102" s="45"/>
      <c r="BF102" s="45"/>
      <c r="BG102" s="46"/>
      <c r="BI102" s="28"/>
      <c r="BK102" s="6" t="s">
        <v>650</v>
      </c>
      <c r="BL102" s="6"/>
      <c r="BM102" s="6"/>
      <c r="BN102" s="6"/>
      <c r="BO102" s="6">
        <v>1.0</v>
      </c>
      <c r="BP102" s="6"/>
      <c r="CC102" s="6" t="s">
        <v>651</v>
      </c>
      <c r="CD102" s="6">
        <v>4006.0</v>
      </c>
      <c r="CE102" s="6">
        <v>10.0</v>
      </c>
    </row>
    <row r="103">
      <c r="B103" s="40"/>
      <c r="C103" s="41" t="s">
        <v>233</v>
      </c>
      <c r="D103" s="38">
        <f>400*I103</f>
        <v>4000</v>
      </c>
      <c r="E103" s="38"/>
      <c r="F103" s="42"/>
      <c r="G103" s="43"/>
      <c r="H103" s="56" t="s">
        <v>502</v>
      </c>
      <c r="I103" s="57">
        <v>10.0</v>
      </c>
      <c r="J103" s="100" t="s">
        <v>424</v>
      </c>
      <c r="K103" s="100">
        <v>0.0</v>
      </c>
      <c r="L103" s="45"/>
      <c r="M103" s="45"/>
      <c r="N103" s="45"/>
      <c r="O103" s="45"/>
      <c r="P103" s="45"/>
      <c r="Q103" s="45"/>
      <c r="R103" s="45"/>
      <c r="S103" s="101"/>
      <c r="T103" s="101"/>
      <c r="U103" s="45"/>
      <c r="V103" s="45"/>
      <c r="W103" s="45"/>
      <c r="X103" s="45"/>
      <c r="Y103" s="45"/>
      <c r="Z103" s="45"/>
      <c r="AA103" s="45"/>
      <c r="AB103" s="45"/>
      <c r="AC103" s="45"/>
      <c r="AD103" s="45"/>
      <c r="AE103" s="79"/>
      <c r="AF103" s="45"/>
      <c r="AG103" s="45"/>
      <c r="AH103" s="45"/>
      <c r="AI103" s="45"/>
      <c r="AJ103" s="45"/>
      <c r="AK103" s="45"/>
      <c r="AL103" s="45"/>
      <c r="AM103" s="45"/>
      <c r="AN103" s="45"/>
      <c r="AO103" s="45"/>
      <c r="AP103" s="45"/>
      <c r="AQ103" s="45"/>
      <c r="AR103" s="79"/>
      <c r="AS103" s="45"/>
      <c r="AT103" s="45"/>
      <c r="AU103" s="45"/>
      <c r="AV103" s="45"/>
      <c r="AW103" s="45"/>
      <c r="AX103" s="45"/>
      <c r="AY103" s="45"/>
      <c r="AZ103" s="45"/>
      <c r="BA103" s="45"/>
      <c r="BB103" s="45"/>
      <c r="BC103" s="45"/>
      <c r="BD103" s="45"/>
      <c r="BE103" s="45"/>
      <c r="BF103" s="45"/>
      <c r="BG103" s="46"/>
      <c r="BI103" s="28"/>
      <c r="BK103" s="6" t="s">
        <v>651</v>
      </c>
      <c r="BL103" s="6"/>
      <c r="BM103" s="6"/>
      <c r="BN103" s="6"/>
      <c r="BO103" s="6">
        <v>1.0</v>
      </c>
      <c r="BP103" s="6"/>
      <c r="CC103" s="6" t="s">
        <v>652</v>
      </c>
      <c r="CD103" s="6">
        <v>10.0</v>
      </c>
      <c r="CE103" s="6">
        <v>10.0</v>
      </c>
    </row>
    <row r="104">
      <c r="B104" s="50"/>
      <c r="C104" s="51"/>
      <c r="D104" s="52"/>
      <c r="E104" s="52"/>
      <c r="F104" s="52"/>
      <c r="G104" s="43"/>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43"/>
      <c r="AF104" s="52"/>
      <c r="AG104" s="52"/>
      <c r="AH104" s="52"/>
      <c r="AI104" s="52"/>
      <c r="AJ104" s="52"/>
      <c r="AK104" s="52"/>
      <c r="AL104" s="52"/>
      <c r="AM104" s="52"/>
      <c r="AN104" s="52"/>
      <c r="AO104" s="52"/>
      <c r="AP104" s="52"/>
      <c r="AQ104" s="52"/>
      <c r="AR104" s="43"/>
      <c r="AS104" s="52"/>
      <c r="AT104" s="52"/>
      <c r="AU104" s="52"/>
      <c r="AV104" s="52"/>
      <c r="AW104" s="52"/>
      <c r="AX104" s="52"/>
      <c r="AY104" s="52"/>
      <c r="AZ104" s="52"/>
      <c r="BA104" s="52"/>
      <c r="BB104" s="52"/>
      <c r="BC104" s="52"/>
      <c r="BD104" s="52"/>
      <c r="BE104" s="52"/>
      <c r="BF104" s="52"/>
      <c r="BG104" s="53"/>
      <c r="BI104" s="28"/>
      <c r="BK104" s="6" t="s">
        <v>652</v>
      </c>
      <c r="BL104" s="6">
        <v>1.0</v>
      </c>
      <c r="BM104" s="6"/>
      <c r="BN104" s="6"/>
      <c r="BO104" s="6"/>
      <c r="BP104" s="6"/>
      <c r="CC104" s="6" t="s">
        <v>653</v>
      </c>
      <c r="CD104" s="6">
        <v>4060.0</v>
      </c>
      <c r="CE104" s="6">
        <v>100.0</v>
      </c>
    </row>
    <row r="105">
      <c r="BI105" s="28"/>
      <c r="BK105" s="6" t="s">
        <v>653</v>
      </c>
      <c r="BL105" s="6"/>
      <c r="BM105" s="6"/>
      <c r="BN105" s="6"/>
      <c r="BO105" s="6">
        <v>1.0</v>
      </c>
      <c r="BP105" s="6"/>
      <c r="CC105" s="6" t="s">
        <v>654</v>
      </c>
      <c r="CD105" s="6">
        <v>4600.0</v>
      </c>
      <c r="CE105" s="6">
        <v>1000.0</v>
      </c>
    </row>
    <row r="106">
      <c r="C106" s="4" t="s">
        <v>36</v>
      </c>
      <c r="E106" s="4" t="s">
        <v>647</v>
      </c>
      <c r="BI106" s="28"/>
      <c r="BK106" s="6" t="s">
        <v>654</v>
      </c>
      <c r="BL106" s="6"/>
      <c r="BM106" s="6"/>
      <c r="BN106" s="6"/>
      <c r="BO106" s="6">
        <v>1.0</v>
      </c>
      <c r="BP106" s="6"/>
    </row>
    <row r="107">
      <c r="C107" s="4" t="s">
        <v>80</v>
      </c>
      <c r="E107" s="4" t="s">
        <v>56</v>
      </c>
      <c r="BI107" s="28"/>
      <c r="BK107" s="6" t="s">
        <v>487</v>
      </c>
      <c r="BL107" s="6">
        <v>1.0</v>
      </c>
      <c r="BM107" s="6">
        <v>4.0</v>
      </c>
      <c r="BN107" s="6">
        <v>1.0</v>
      </c>
      <c r="BO107" s="6">
        <v>9.0</v>
      </c>
      <c r="BP107" s="6">
        <v>2.0</v>
      </c>
    </row>
    <row r="108">
      <c r="C108" s="4" t="s">
        <v>248</v>
      </c>
      <c r="E108" s="4" t="s">
        <v>55</v>
      </c>
      <c r="BI108" s="28"/>
    </row>
    <row r="109">
      <c r="C109" s="4" t="s">
        <v>46</v>
      </c>
      <c r="E109" s="4" t="s">
        <v>132</v>
      </c>
      <c r="BI109" s="28"/>
      <c r="BK109" s="6" t="s">
        <v>622</v>
      </c>
      <c r="BL109" s="6" t="s">
        <v>462</v>
      </c>
      <c r="BM109" s="6"/>
      <c r="BN109" s="6"/>
      <c r="BO109" s="6"/>
      <c r="BP109" s="6"/>
      <c r="BQ109" s="6" t="s">
        <v>644</v>
      </c>
      <c r="BR109" s="6" t="s">
        <v>468</v>
      </c>
      <c r="BS109" s="6"/>
      <c r="BT109" s="6"/>
      <c r="BU109" s="6"/>
      <c r="BW109" s="6" t="s">
        <v>645</v>
      </c>
      <c r="BX109" s="6" t="s">
        <v>495</v>
      </c>
      <c r="BY109" s="6"/>
      <c r="BZ109" s="6"/>
      <c r="CA109" s="6"/>
      <c r="CC109" s="6" t="s">
        <v>457</v>
      </c>
      <c r="CD109" s="6" t="s">
        <v>620</v>
      </c>
      <c r="CE109" s="6" t="s">
        <v>546</v>
      </c>
    </row>
    <row r="110">
      <c r="E110" s="4" t="s">
        <v>142</v>
      </c>
      <c r="BI110" s="28"/>
      <c r="BK110" s="6" t="s">
        <v>457</v>
      </c>
      <c r="BL110" s="6" t="s">
        <v>300</v>
      </c>
      <c r="BM110" s="6" t="s">
        <v>309</v>
      </c>
      <c r="BN110" s="6" t="s">
        <v>321</v>
      </c>
      <c r="BO110" s="6" t="s">
        <v>349</v>
      </c>
      <c r="BP110" s="6" t="s">
        <v>375</v>
      </c>
      <c r="BQ110" s="6" t="s">
        <v>462</v>
      </c>
      <c r="BR110" s="6" t="s">
        <v>397</v>
      </c>
      <c r="BS110" s="6" t="s">
        <v>401</v>
      </c>
      <c r="BT110" s="6" t="s">
        <v>405</v>
      </c>
      <c r="BU110" s="6" t="s">
        <v>487</v>
      </c>
      <c r="BW110" s="6" t="s">
        <v>462</v>
      </c>
      <c r="BX110" s="6" t="s">
        <v>390</v>
      </c>
      <c r="BY110" s="6" t="s">
        <v>393</v>
      </c>
      <c r="BZ110" s="6" t="s">
        <v>397</v>
      </c>
      <c r="CA110" s="6" t="s">
        <v>487</v>
      </c>
      <c r="CC110" s="6" t="s">
        <v>632</v>
      </c>
      <c r="CD110" s="6">
        <v>250000.0</v>
      </c>
      <c r="CE110" s="6">
        <v>1405511.0</v>
      </c>
    </row>
    <row r="111">
      <c r="BI111" s="28"/>
      <c r="BK111" s="6" t="s">
        <v>632</v>
      </c>
      <c r="BL111" s="6"/>
      <c r="BM111" s="6"/>
      <c r="BN111" s="6"/>
      <c r="BO111" s="6"/>
      <c r="BP111" s="6">
        <v>2.0</v>
      </c>
      <c r="BQ111" s="6" t="s">
        <v>300</v>
      </c>
      <c r="BR111" s="6"/>
      <c r="BS111" s="6"/>
      <c r="BT111" s="6">
        <v>1.0</v>
      </c>
      <c r="BU111" s="6">
        <v>1.0</v>
      </c>
      <c r="BW111" s="6" t="s">
        <v>300</v>
      </c>
      <c r="BX111" s="6">
        <v>1.0</v>
      </c>
      <c r="BY111" s="6"/>
      <c r="BZ111" s="6"/>
      <c r="CA111" s="6">
        <v>1.0</v>
      </c>
      <c r="CC111" s="6" t="s">
        <v>633</v>
      </c>
      <c r="CD111" s="6">
        <v>400000.0</v>
      </c>
      <c r="CE111" s="6">
        <v>100000.0</v>
      </c>
    </row>
    <row r="112">
      <c r="BI112" s="28"/>
      <c r="BK112" s="6" t="s">
        <v>633</v>
      </c>
      <c r="BL112" s="6"/>
      <c r="BM112" s="6">
        <v>4.0</v>
      </c>
      <c r="BN112" s="6"/>
      <c r="BO112" s="6"/>
      <c r="BP112" s="6"/>
      <c r="BQ112" s="6" t="s">
        <v>309</v>
      </c>
      <c r="BR112" s="6"/>
      <c r="BS112" s="6"/>
      <c r="BT112" s="6">
        <v>4.0</v>
      </c>
      <c r="BU112" s="6">
        <v>4.0</v>
      </c>
      <c r="BW112" s="6" t="s">
        <v>309</v>
      </c>
      <c r="BX112" s="6">
        <v>4.0</v>
      </c>
      <c r="BY112" s="6"/>
      <c r="BZ112" s="6"/>
      <c r="CA112" s="6">
        <v>4.0</v>
      </c>
      <c r="CC112" s="6" t="s">
        <v>634</v>
      </c>
      <c r="CD112" s="6">
        <v>85000.0</v>
      </c>
      <c r="CE112" s="6">
        <v>105511.0</v>
      </c>
    </row>
    <row r="113">
      <c r="BI113" s="28"/>
      <c r="BK113" s="6" t="s">
        <v>634</v>
      </c>
      <c r="BL113" s="6"/>
      <c r="BM113" s="6"/>
      <c r="BN113" s="6">
        <v>1.0</v>
      </c>
      <c r="BO113" s="6"/>
      <c r="BP113" s="6"/>
      <c r="BQ113" s="6" t="s">
        <v>321</v>
      </c>
      <c r="BR113" s="6"/>
      <c r="BS113" s="6"/>
      <c r="BT113" s="6">
        <v>1.0</v>
      </c>
      <c r="BU113" s="6">
        <v>1.0</v>
      </c>
      <c r="BW113" s="6" t="s">
        <v>321</v>
      </c>
      <c r="BX113" s="6">
        <v>30.0</v>
      </c>
      <c r="BY113" s="6"/>
      <c r="BZ113" s="6"/>
      <c r="CA113" s="6">
        <v>30.0</v>
      </c>
      <c r="CC113" s="6" t="s">
        <v>635</v>
      </c>
      <c r="CD113" s="6">
        <v>10000.0</v>
      </c>
      <c r="CE113" s="6">
        <v>10000.0</v>
      </c>
    </row>
    <row r="114">
      <c r="BI114" s="28"/>
      <c r="BK114" s="6" t="s">
        <v>635</v>
      </c>
      <c r="BL114" s="6"/>
      <c r="BM114" s="6"/>
      <c r="BN114" s="6"/>
      <c r="BO114" s="6">
        <v>1.0</v>
      </c>
      <c r="BP114" s="6"/>
      <c r="BQ114" s="6" t="s">
        <v>349</v>
      </c>
      <c r="BR114" s="6">
        <v>6.0</v>
      </c>
      <c r="BS114" s="6">
        <v>2.0</v>
      </c>
      <c r="BT114" s="6">
        <v>1.0</v>
      </c>
      <c r="BU114" s="6">
        <v>9.0</v>
      </c>
      <c r="BW114" s="6" t="s">
        <v>349</v>
      </c>
      <c r="BX114" s="6">
        <v>2.0</v>
      </c>
      <c r="BY114" s="6">
        <v>4.0</v>
      </c>
      <c r="BZ114" s="6">
        <v>3.0</v>
      </c>
      <c r="CA114" s="6">
        <v>9.0</v>
      </c>
      <c r="CC114" s="6" t="s">
        <v>636</v>
      </c>
      <c r="CD114" s="6">
        <v>4600.0</v>
      </c>
      <c r="CE114" s="6">
        <v>1000.0</v>
      </c>
    </row>
    <row r="115">
      <c r="BI115" s="28"/>
      <c r="BK115" s="6" t="s">
        <v>636</v>
      </c>
      <c r="BL115" s="6"/>
      <c r="BM115" s="6"/>
      <c r="BN115" s="6"/>
      <c r="BO115" s="6">
        <v>1.0</v>
      </c>
      <c r="BP115" s="6"/>
      <c r="BQ115" s="6" t="s">
        <v>375</v>
      </c>
      <c r="BR115" s="6"/>
      <c r="BS115" s="6"/>
      <c r="BT115" s="6">
        <v>2.0</v>
      </c>
      <c r="BU115" s="6">
        <v>2.0</v>
      </c>
      <c r="BW115" s="6" t="s">
        <v>375</v>
      </c>
      <c r="BX115" s="6"/>
      <c r="BY115" s="6"/>
      <c r="BZ115" s="6">
        <v>2.0</v>
      </c>
      <c r="CA115" s="6">
        <v>2.0</v>
      </c>
      <c r="CC115" s="6" t="s">
        <v>637</v>
      </c>
      <c r="CD115" s="6">
        <v>4600.0</v>
      </c>
      <c r="CE115" s="6">
        <v>1000.0</v>
      </c>
    </row>
    <row r="116">
      <c r="BI116" s="28"/>
      <c r="BK116" s="6" t="s">
        <v>637</v>
      </c>
      <c r="BL116" s="6"/>
      <c r="BM116" s="6"/>
      <c r="BN116" s="6"/>
      <c r="BO116" s="6">
        <v>1.0</v>
      </c>
      <c r="BP116" s="6"/>
      <c r="BQ116" s="6" t="s">
        <v>487</v>
      </c>
      <c r="BR116" s="6">
        <v>6.0</v>
      </c>
      <c r="BS116" s="6">
        <v>2.0</v>
      </c>
      <c r="BT116" s="6">
        <v>9.0</v>
      </c>
      <c r="BU116" s="6">
        <v>17.0</v>
      </c>
      <c r="BW116" s="6" t="s">
        <v>487</v>
      </c>
      <c r="BX116" s="6">
        <v>37.0</v>
      </c>
      <c r="BY116" s="6">
        <v>4.0</v>
      </c>
      <c r="BZ116" s="6">
        <v>5.0</v>
      </c>
      <c r="CA116" s="6">
        <v>46.0</v>
      </c>
      <c r="CC116" s="6" t="s">
        <v>648</v>
      </c>
      <c r="CD116" s="102">
        <v>4600.0</v>
      </c>
      <c r="CE116" s="6">
        <v>1000.0</v>
      </c>
    </row>
    <row r="117">
      <c r="BI117" s="28"/>
      <c r="BK117" s="6" t="s">
        <v>648</v>
      </c>
      <c r="BL117" s="6"/>
      <c r="BM117" s="6"/>
      <c r="BN117" s="6"/>
      <c r="BO117" s="6">
        <v>1.0</v>
      </c>
      <c r="BP117" s="6"/>
      <c r="CC117" s="6" t="s">
        <v>649</v>
      </c>
      <c r="CD117" s="6">
        <v>4600.0</v>
      </c>
      <c r="CE117" s="6">
        <v>1000.0</v>
      </c>
    </row>
    <row r="118">
      <c r="BI118" s="28"/>
      <c r="BK118" s="6" t="s">
        <v>649</v>
      </c>
      <c r="BL118" s="6"/>
      <c r="BM118" s="6"/>
      <c r="BN118" s="6"/>
      <c r="BO118" s="6">
        <v>1.0</v>
      </c>
      <c r="BP118" s="6"/>
      <c r="CC118" s="6" t="s">
        <v>650</v>
      </c>
      <c r="CD118" s="6">
        <v>64000.0</v>
      </c>
      <c r="CE118" s="6">
        <v>100000.0</v>
      </c>
    </row>
    <row r="119">
      <c r="BI119" s="28"/>
      <c r="BK119" s="6" t="s">
        <v>650</v>
      </c>
      <c r="BL119" s="6"/>
      <c r="BM119" s="6"/>
      <c r="BN119" s="6"/>
      <c r="BO119" s="6">
        <v>1.0</v>
      </c>
      <c r="BP119" s="6"/>
      <c r="CC119" s="6" t="s">
        <v>651</v>
      </c>
      <c r="CD119" s="6">
        <v>4600.0</v>
      </c>
      <c r="CE119" s="6">
        <v>1000.0</v>
      </c>
    </row>
    <row r="120">
      <c r="BI120" s="28"/>
      <c r="BK120" s="6" t="s">
        <v>651</v>
      </c>
      <c r="BL120" s="6"/>
      <c r="BM120" s="6"/>
      <c r="BN120" s="6"/>
      <c r="BO120" s="6">
        <v>1.0</v>
      </c>
      <c r="BP120" s="6"/>
      <c r="CC120" s="6" t="s">
        <v>652</v>
      </c>
      <c r="CD120" s="6">
        <v>100000.0</v>
      </c>
      <c r="CE120" s="6">
        <v>100000.0</v>
      </c>
    </row>
    <row r="121">
      <c r="BI121" s="28"/>
      <c r="BK121" s="6" t="s">
        <v>652</v>
      </c>
      <c r="BL121" s="6">
        <v>1.0</v>
      </c>
      <c r="BM121" s="6"/>
      <c r="BN121" s="6"/>
      <c r="BO121" s="6"/>
      <c r="BP121" s="6"/>
      <c r="CC121" s="6" t="s">
        <v>653</v>
      </c>
      <c r="CD121" s="6">
        <v>4600.0</v>
      </c>
      <c r="CE121" s="6">
        <v>1000.0</v>
      </c>
    </row>
    <row r="122">
      <c r="BI122" s="28"/>
      <c r="BK122" s="6" t="s">
        <v>653</v>
      </c>
      <c r="BL122" s="6"/>
      <c r="BM122" s="6"/>
      <c r="BN122" s="6"/>
      <c r="BO122" s="6">
        <v>1.0</v>
      </c>
      <c r="BP122" s="6"/>
      <c r="CC122" s="6" t="s">
        <v>654</v>
      </c>
      <c r="CD122" s="6">
        <v>10000.0</v>
      </c>
      <c r="CE122" s="6">
        <v>10000.0</v>
      </c>
    </row>
    <row r="123">
      <c r="BI123" s="28"/>
      <c r="BK123" s="6" t="s">
        <v>654</v>
      </c>
      <c r="BL123" s="6"/>
      <c r="BM123" s="6"/>
      <c r="BN123" s="6"/>
      <c r="BO123" s="6">
        <v>1.0</v>
      </c>
      <c r="BP123" s="6"/>
    </row>
    <row r="124">
      <c r="BI124" s="28"/>
      <c r="BK124" s="6" t="s">
        <v>487</v>
      </c>
      <c r="BL124" s="6">
        <v>1.0</v>
      </c>
      <c r="BM124" s="6">
        <v>4.0</v>
      </c>
      <c r="BN124" s="6">
        <v>1.0</v>
      </c>
      <c r="BO124" s="6">
        <v>9.0</v>
      </c>
      <c r="BP124" s="6">
        <v>2.0</v>
      </c>
    </row>
    <row r="125">
      <c r="BI125" s="28"/>
    </row>
    <row r="190">
      <c r="C190" s="4"/>
      <c r="E190" s="4"/>
    </row>
    <row r="191">
      <c r="C191" s="4"/>
      <c r="E191" s="4"/>
    </row>
  </sheetData>
  <mergeCells count="8">
    <mergeCell ref="A1:BH1"/>
    <mergeCell ref="BK1:CF1"/>
    <mergeCell ref="A2:BH2"/>
    <mergeCell ref="BK2:CF2"/>
    <mergeCell ref="B48:BH48"/>
    <mergeCell ref="BK48:CF48"/>
    <mergeCell ref="B49:BH49"/>
    <mergeCell ref="BK49:CF49"/>
  </mergeCells>
  <dataValidations>
    <dataValidation type="list" allowBlank="1" sqref="J7 J11 J15 J19 J23 J27 J54 J58 J62 J66 J70 J74 J79 J83 J87 J91 J95 J99 J103">
      <formula1>'Machine Helper Sheet'!$G$2:$G$16</formula1>
    </dataValidation>
    <dataValidation type="list" allowBlank="1" showErrorMessage="1" sqref="Y5 AS5 Y9 AS9 Y13 AS13 Y17 AS17 Y21 AS21 Y25 AS25 Y52 AS52 Y56 AS56 Y60 AS60 Y64 AS64 Y68 AS68 Y72 AS72 Y77 AS77 Y81 AS81 Y85 AS85 Y89 AS89 Y93 AS93 Y97 AS97 Y101 AS101">
      <formula1>'Item Helper Sheet'!$A$2:$A$16</formula1>
    </dataValidation>
    <dataValidation type="list" allowBlank="1" showErrorMessage="1" sqref="H5 H9 H13 H17 H21 H25 H52 H56 H60 H64 H68 H72 H77 H81 H85 H89 H93 H97 H101">
      <formula1>'Machine List'!$A$2:$A$107</formula1>
    </dataValidation>
    <dataValidation type="list" allowBlank="1" sqref="E6 CE6 C10 E10 C14 E14 C18:C19 E18:E19 E22 C22:C23 E26:E27 C26:C28 C31:C32 E31:E32 E53 CE53 C57 E57 C61 E61 C65:C66 E65:E66 E69 C69:C70 E73:E74 C73:C75 E78 C78:C79 C82:C83 E82:E83 E86 C86:C87 C90:C91 E90:E91 C94 E94 C98:C99 E98:E99 E102 C102:C103 C106:C109 E106:E110">
      <formula1>'Item List'!$A$2:$A$300</formula1>
    </dataValidation>
    <dataValidation type="list" allowBlank="1" showErrorMessage="1" sqref="R5 R9 R13 R17 R21 R25 R52 R56 R60 R64 R68 R72 R77 R81 R85 R89 R93 R97 R101">
      <formula1>"Yes,No"</formula1>
    </dataValidation>
  </dataValidation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19.75"/>
    <col customWidth="1" min="5" max="5" width="19.75"/>
    <col customWidth="1" min="10" max="44" width="9.5"/>
    <col customWidth="1" min="45" max="45" width="11.38"/>
    <col customWidth="1" min="46" max="59" width="9.5"/>
    <col customWidth="1" min="63" max="63" width="22.38"/>
    <col customWidth="1" min="66" max="66" width="22.38"/>
    <col customWidth="1" min="69" max="69" width="22.38"/>
    <col customWidth="1" min="70" max="70" width="14.0"/>
    <col customWidth="1" min="75" max="75" width="22.38"/>
    <col customWidth="1" min="76" max="76" width="22.5"/>
    <col customWidth="1" min="77" max="77" width="15.88"/>
    <col customWidth="1" min="78" max="78" width="17.75"/>
    <col customWidth="1" min="79" max="79" width="18.88"/>
    <col customWidth="1" min="80" max="80" width="19.88"/>
    <col customWidth="1" min="81" max="81" width="17.13"/>
    <col customWidth="1" min="82" max="82" width="20.25"/>
    <col customWidth="1" min="83" max="83" width="21.75"/>
    <col customWidth="1" min="84" max="84" width="18.25"/>
    <col customWidth="1" min="85" max="85" width="14.38"/>
    <col customWidth="1" min="86" max="86" width="17.25"/>
    <col customWidth="1" min="87" max="87" width="15.88"/>
  </cols>
  <sheetData>
    <row r="1">
      <c r="A1" s="9" t="s">
        <v>655</v>
      </c>
      <c r="B1" s="10"/>
      <c r="C1" s="10"/>
      <c r="D1" s="10"/>
      <c r="E1" s="10"/>
      <c r="F1" s="10"/>
      <c r="G1" s="10"/>
      <c r="H1" s="10"/>
      <c r="I1" s="10"/>
      <c r="J1" s="10"/>
      <c r="K1" s="10"/>
      <c r="L1" s="10"/>
      <c r="M1" s="10"/>
      <c r="N1" s="10"/>
      <c r="O1" s="10"/>
      <c r="P1" s="10"/>
      <c r="Q1" s="10"/>
      <c r="R1" s="10"/>
      <c r="S1" s="10"/>
      <c r="T1" s="10"/>
      <c r="U1" s="13"/>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8"/>
      <c r="BI1" s="12" t="s">
        <v>490</v>
      </c>
      <c r="BJ1" s="9" t="s">
        <v>655</v>
      </c>
      <c r="BK1" s="10"/>
      <c r="BL1" s="10"/>
      <c r="BM1" s="10"/>
      <c r="BN1" s="10"/>
      <c r="BO1" s="10"/>
      <c r="BP1" s="10"/>
      <c r="BQ1" s="10"/>
      <c r="BR1" s="10"/>
      <c r="BS1" s="10"/>
      <c r="BT1" s="10"/>
      <c r="BU1" s="10"/>
      <c r="BV1" s="10"/>
      <c r="BW1" s="10"/>
      <c r="BX1" s="10"/>
      <c r="BY1" s="10"/>
      <c r="BZ1" s="10"/>
      <c r="CA1" s="10"/>
      <c r="CB1" s="10"/>
      <c r="CC1" s="10"/>
      <c r="CD1" s="10"/>
      <c r="CE1" s="10"/>
      <c r="CF1" s="13"/>
      <c r="CG1" s="126"/>
      <c r="CH1" s="126"/>
      <c r="CI1" s="126"/>
    </row>
    <row r="2">
      <c r="A2" s="15" t="s">
        <v>656</v>
      </c>
      <c r="B2" s="16"/>
      <c r="C2" s="16"/>
      <c r="D2" s="16"/>
      <c r="E2" s="16"/>
      <c r="F2" s="16"/>
      <c r="G2" s="16"/>
      <c r="H2" s="16"/>
      <c r="I2" s="16"/>
      <c r="J2" s="16"/>
      <c r="K2" s="16"/>
      <c r="L2" s="16"/>
      <c r="M2" s="16"/>
      <c r="N2" s="16"/>
      <c r="O2" s="16"/>
      <c r="P2" s="16"/>
      <c r="Q2" s="16"/>
      <c r="R2" s="16"/>
      <c r="S2" s="16"/>
      <c r="T2" s="16"/>
      <c r="U2" s="18"/>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9"/>
      <c r="BI2" s="12" t="s">
        <v>492</v>
      </c>
      <c r="BJ2" s="15" t="s">
        <v>656</v>
      </c>
      <c r="BK2" s="16"/>
      <c r="BL2" s="16"/>
      <c r="BM2" s="16"/>
      <c r="BN2" s="16"/>
      <c r="BO2" s="16"/>
      <c r="BP2" s="16"/>
      <c r="BQ2" s="16"/>
      <c r="BR2" s="16"/>
      <c r="BS2" s="16"/>
      <c r="BT2" s="16"/>
      <c r="BU2" s="16"/>
      <c r="BV2" s="16"/>
      <c r="BW2" s="16"/>
      <c r="BX2" s="16"/>
      <c r="BY2" s="16"/>
      <c r="BZ2" s="16"/>
      <c r="CA2" s="16"/>
      <c r="CB2" s="16"/>
      <c r="CC2" s="16"/>
      <c r="CD2" s="16"/>
      <c r="CE2" s="16"/>
      <c r="CF2" s="18"/>
      <c r="CG2" s="127"/>
      <c r="CH2" s="127"/>
      <c r="CI2" s="127"/>
    </row>
    <row r="3">
      <c r="A3" s="19"/>
      <c r="B3" s="20"/>
      <c r="C3" s="20"/>
      <c r="D3" s="20"/>
      <c r="E3" s="20"/>
      <c r="F3" s="20"/>
      <c r="G3" s="20"/>
      <c r="H3" s="20"/>
      <c r="I3" s="20"/>
      <c r="J3" s="20"/>
      <c r="K3" s="20"/>
      <c r="L3" s="20"/>
      <c r="M3" s="20"/>
      <c r="N3" s="20"/>
      <c r="O3" s="20"/>
      <c r="P3" s="20"/>
      <c r="Q3" s="20"/>
      <c r="R3" s="20"/>
      <c r="S3" s="20"/>
      <c r="T3" s="20"/>
      <c r="U3" s="20"/>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70"/>
      <c r="BI3" s="130"/>
    </row>
    <row r="4">
      <c r="A4" s="23"/>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2" t="s">
        <v>495</v>
      </c>
      <c r="Z4" s="90" t="s">
        <v>421</v>
      </c>
      <c r="AA4" s="92" t="s">
        <v>553</v>
      </c>
      <c r="AB4" s="90" t="s">
        <v>554</v>
      </c>
      <c r="AC4" s="92" t="s">
        <v>555</v>
      </c>
      <c r="AD4" s="93" t="s">
        <v>467</v>
      </c>
      <c r="AE4" s="90"/>
      <c r="AF4" s="90" t="s">
        <v>556</v>
      </c>
      <c r="AG4" s="94" t="s">
        <v>475</v>
      </c>
      <c r="AH4" s="90" t="s">
        <v>557</v>
      </c>
      <c r="AI4" s="90" t="s">
        <v>558</v>
      </c>
      <c r="AJ4" s="90" t="s">
        <v>559</v>
      </c>
      <c r="AK4" s="92" t="s">
        <v>560</v>
      </c>
      <c r="AL4" s="90" t="s">
        <v>561</v>
      </c>
      <c r="AM4" s="90" t="s">
        <v>562</v>
      </c>
      <c r="AN4" s="92" t="s">
        <v>563</v>
      </c>
      <c r="AO4" s="90" t="s">
        <v>564</v>
      </c>
      <c r="AP4" s="90" t="s">
        <v>565</v>
      </c>
      <c r="AQ4" s="95" t="s">
        <v>566</v>
      </c>
      <c r="AR4" s="90"/>
      <c r="AS4" s="90" t="s">
        <v>468</v>
      </c>
      <c r="AT4" s="92" t="s">
        <v>496</v>
      </c>
      <c r="AU4" s="94" t="s">
        <v>567</v>
      </c>
      <c r="AV4" s="90" t="s">
        <v>568</v>
      </c>
      <c r="AW4" s="90" t="s">
        <v>569</v>
      </c>
      <c r="AX4" s="90" t="s">
        <v>570</v>
      </c>
      <c r="AY4" s="92" t="s">
        <v>571</v>
      </c>
      <c r="AZ4" s="90" t="s">
        <v>572</v>
      </c>
      <c r="BA4" s="90" t="s">
        <v>573</v>
      </c>
      <c r="BB4" s="90" t="s">
        <v>574</v>
      </c>
      <c r="BC4" s="90" t="s">
        <v>575</v>
      </c>
      <c r="BD4" s="92" t="s">
        <v>576</v>
      </c>
      <c r="BE4" s="92" t="s">
        <v>577</v>
      </c>
      <c r="BF4" s="92" t="s">
        <v>578</v>
      </c>
      <c r="BG4" s="96" t="s">
        <v>471</v>
      </c>
      <c r="BI4" s="28"/>
    </row>
    <row r="5">
      <c r="A5" s="23"/>
      <c r="B5" s="31" t="s">
        <v>657</v>
      </c>
      <c r="C5" s="32"/>
      <c r="D5" s="33"/>
      <c r="E5" s="33"/>
      <c r="F5" s="34"/>
      <c r="G5" s="35"/>
      <c r="H5" s="55" t="s">
        <v>298</v>
      </c>
      <c r="I5" s="38" t="str">
        <f>VLOOKUP(H5,'Machine List'!$A$1:$I$300,9,FALSE)</f>
        <v>4000+500(7O-5)</v>
      </c>
      <c r="J5" s="38">
        <f>IF(VLOOKUP(H5,'Machine List'!$A$1:$I$300,5,FALSE)="Multi",IF(VLOOKUP(H5,'Machine List'!$A$1:$I$300,6,FALSE)="Yes",AG5*3*10^Z5,AG5*(2*3)*10^(Z5-1)),0)</f>
        <v>600</v>
      </c>
      <c r="K5" s="38">
        <f>J5+IF(ISNUMBER(I5),I5,
  SWITCH(
      I5,
      "1T",1*10^Z5,
      "2T",2*10^Z5,
      "3T",3*10^Z5,
      "4T",4*10^Z5,
      "4000+500(7O-5)",4000+500*(7*I6-5),
      1
  )
)</f>
        <v>19600</v>
      </c>
      <c r="L5" s="38">
        <f>IF(VLOOKUP(H5,'Machine List'!$A$1:$I$300,5,FALSE)="Multi",IF(VLOOKUP(H5,'Machine List'!$A$1:$I$300,6,FALSE)="Yes",AU5*3*10^AT5,AU5*(2*3)*10^(AT5-1)),0)</f>
        <v>24000</v>
      </c>
      <c r="M5" s="38">
        <f>L5+IF(ISNUMBER(I5),I5,
  SWITCH(
      I5,
      "1T",1*10^AT5,
      "2T",2*10^AT5,
      "3T",3*10^AT5,
      "4T",4*10^AT5,
      "4000+500(7O-5)",4000+500*(7*I6-5),
      1
  )
)</f>
        <v>43000</v>
      </c>
      <c r="N5" s="38" t="str">
        <f>VLOOKUP(H5,'Machine List'!$A$1:$I$300,8,FALSE)</f>
        <v>Tier</v>
      </c>
      <c r="O5" s="38">
        <f>IF(ISNUMBER(N5),N5,10^Z5)</f>
        <v>1000</v>
      </c>
      <c r="P5" s="38">
        <f>IF(ISNUMBER(N5),N5,10^AT5)</f>
        <v>10000</v>
      </c>
      <c r="Q5" s="38">
        <f>VLOOKUP(H5,'Machine List'!$A$1:$B$138,2,FALSE)</f>
        <v>1</v>
      </c>
      <c r="R5" s="38" t="s">
        <v>277</v>
      </c>
      <c r="S5" s="45">
        <f>IF(ISNUMBER(Q5),Q5,
  SWITCH(
      Q5,
      "1",1,
      "2T",Z5*2,
      "4T",Z5*4,
      "6T",Z5*6,
      "8T",Z5*8,
      "10T",Z5*10,
      "12T",Z5*12,
      "14T",Z5*14,
      "16T",Z5*16,
      "2(T+1)",2*(Z5+1),
      "1T*C",Z5*J7,
      1
  )
)</f>
        <v>1</v>
      </c>
      <c r="T5" s="38" t="s">
        <v>277</v>
      </c>
      <c r="U5" s="38">
        <f>IF(OR(T5="No",T5=""),S5,T5)</f>
        <v>1</v>
      </c>
      <c r="V5" s="38">
        <f>IF(ISNUMBER(Q5),Q5,
  SWITCH(
      Q5,
      "1",1,
      "2T",AT5*2,
      "4T",AT5*4,
      "6T",AT5*6,
      "8T",AT5*8,
      "10T",AT5*10,
      "12T",AT5*12,
      "14T",AT5*14,
      "16T",AT5*16,
      "2(T+1)",2*(AT5+1),
      "1T*C",AT5*J7,
      1
  )
)</f>
        <v>1</v>
      </c>
      <c r="W5" s="38" t="str">
        <f>T5</f>
        <v>No</v>
      </c>
      <c r="X5" s="38">
        <f>IF(OR(W5="No",W5=""),V5,W5)</f>
        <v>1</v>
      </c>
      <c r="Y5" s="38" t="s">
        <v>397</v>
      </c>
      <c r="Z5" s="38">
        <f>VLOOKUP(Y5,'Item Helper Sheet'!$A$2:$B$16,2,FALSE)</f>
        <v>3</v>
      </c>
      <c r="AA5" s="38">
        <v>480.0</v>
      </c>
      <c r="AB5" s="38">
        <f>1.6*20</f>
        <v>32</v>
      </c>
      <c r="AC5" s="38">
        <f>AB5*I7</f>
        <v>12288</v>
      </c>
      <c r="AD5" s="38">
        <f>AA5*AC5</f>
        <v>5898240</v>
      </c>
      <c r="AE5" s="75"/>
      <c r="AF5" s="38" t="str">
        <f>Y5</f>
        <v>03 - HV</v>
      </c>
      <c r="AG5" s="38">
        <v>1.0</v>
      </c>
      <c r="AH5" s="38">
        <v>1.0</v>
      </c>
      <c r="AI5" s="38">
        <f>AH5*8*4^Z5</f>
        <v>512</v>
      </c>
      <c r="AJ5" s="38">
        <f>MIN(ROUNDDOWN(AI5/AL5,0),U5)</f>
        <v>1</v>
      </c>
      <c r="AK5" s="38">
        <f>AJ5*AG5</f>
        <v>1</v>
      </c>
      <c r="AL5" s="38">
        <f>ROUNDUP(AA5*VLOOKUP(H5,'Machine List'!$A$2:$D$219,4,FALSE),0)</f>
        <v>480</v>
      </c>
      <c r="AM5" s="38">
        <f>AL5*AK5</f>
        <v>480</v>
      </c>
      <c r="AN5" s="38">
        <f>ROUNDUP(AB5*I7,0)</f>
        <v>12288</v>
      </c>
      <c r="AO5" s="38">
        <f>ROUNDUP(AN5/VLOOKUP(H5,'Machine List'!$A$2:$D$219,3,FALSE),0)</f>
        <v>12288</v>
      </c>
      <c r="AP5" s="38">
        <f>ROUNDUP(AO5/AK5,0)</f>
        <v>12288</v>
      </c>
      <c r="AQ5" s="38">
        <f>AM5*AP5</f>
        <v>5898240</v>
      </c>
      <c r="AR5" s="75"/>
      <c r="AS5" s="38" t="s">
        <v>401</v>
      </c>
      <c r="AT5" s="38">
        <f>VLOOKUP(AS5,'Item Helper Sheet'!$A$2:$B$16,2,FALSE)</f>
        <v>4</v>
      </c>
      <c r="AU5" s="38">
        <v>4.0</v>
      </c>
      <c r="AV5" s="38">
        <v>1.0</v>
      </c>
      <c r="AW5" s="38">
        <f>AV5*8*4^AT5</f>
        <v>2048</v>
      </c>
      <c r="AX5" s="38">
        <f>MIN(ROUNDDOWN(AW5/AL5,0),X5)</f>
        <v>1</v>
      </c>
      <c r="AY5" s="38">
        <f>AX5*AU5</f>
        <v>4</v>
      </c>
      <c r="AZ5" s="38">
        <f>AL5</f>
        <v>480</v>
      </c>
      <c r="BA5" s="38">
        <f>MIN(AT5-Z5,IF(AW5&gt;=AZ6*4,
IF(AW5&gt;=AZ6*4^2,
IF(AW5&gt;=AZ6*4^3,
IF(AW5&gt;=AZ6*4^4,
IF(AW5&gt;=AZ6*4^5,
IF(AW5&gt;=AZ6*4^6,
IF(AW5&gt;=AZ6*4^7,
IF(AW5&gt;=AZ6*4^8,
IF(AW5&gt;=AZ6*4^9,
IF(AW5&gt;=AZ6*4^10,
9),
8),
7),
6),
5),
4),
3),
2),
1),
0))</f>
        <v>1</v>
      </c>
      <c r="BB5" s="38">
        <f>AZ5*AX5*4^BA5</f>
        <v>1920</v>
      </c>
      <c r="BC5" s="38">
        <f>BB5*AU5</f>
        <v>7680</v>
      </c>
      <c r="BD5" s="45">
        <f>ROUNDUP(IF(R5="Yes",AN5/(2^((BA5)*2)),AN5/(2^(BA5))),0)</f>
        <v>6144</v>
      </c>
      <c r="BE5" s="45">
        <f>ROUNDUP(BD5/VLOOKUP(H5,'Machine List'!$A$2:$D$219,3,FALSE),0)</f>
        <v>6144</v>
      </c>
      <c r="BF5" s="45">
        <f>ROUNDUP(BE5/AY5,0)</f>
        <v>1536</v>
      </c>
      <c r="BG5" s="46">
        <f>BF5*BC5</f>
        <v>11796480</v>
      </c>
      <c r="BI5" s="28"/>
      <c r="BQ5" s="6" t="s">
        <v>458</v>
      </c>
      <c r="BR5" s="6" t="s">
        <v>497</v>
      </c>
      <c r="BS5" s="7" t="s">
        <v>281</v>
      </c>
      <c r="BT5" s="7" t="s">
        <v>8</v>
      </c>
      <c r="BU5" s="1" t="s">
        <v>9</v>
      </c>
      <c r="BY5" s="97" t="s">
        <v>513</v>
      </c>
      <c r="BZ5" s="97" t="s">
        <v>514</v>
      </c>
      <c r="CA5" s="97" t="s">
        <v>580</v>
      </c>
      <c r="CB5" s="97" t="s">
        <v>581</v>
      </c>
      <c r="CC5" s="97" t="s">
        <v>582</v>
      </c>
      <c r="CE5" s="98" t="s">
        <v>503</v>
      </c>
      <c r="CF5" s="98" t="s">
        <v>583</v>
      </c>
      <c r="CG5" s="98" t="s">
        <v>498</v>
      </c>
      <c r="CH5" s="98" t="s">
        <v>504</v>
      </c>
      <c r="CI5" s="98" t="s">
        <v>509</v>
      </c>
    </row>
    <row r="6">
      <c r="A6" s="29"/>
      <c r="B6" s="40"/>
      <c r="C6" s="41" t="s">
        <v>180</v>
      </c>
      <c r="D6" s="38">
        <f>1000*I7</f>
        <v>384000</v>
      </c>
      <c r="E6" s="38" t="s">
        <v>228</v>
      </c>
      <c r="F6" s="42">
        <f>600*I7</f>
        <v>230400</v>
      </c>
      <c r="G6" s="43"/>
      <c r="H6" s="99" t="s">
        <v>584</v>
      </c>
      <c r="I6" s="45">
        <f t="array" ref="I6">match(TRUE,ISBLANK(F6:F18),0)-1</f>
        <v>5</v>
      </c>
      <c r="J6" s="100" t="s">
        <v>420</v>
      </c>
      <c r="K6" s="100" t="s">
        <v>585</v>
      </c>
      <c r="L6" s="38"/>
      <c r="M6" s="38"/>
      <c r="N6" s="38"/>
      <c r="O6" s="38"/>
      <c r="P6" s="38"/>
      <c r="Q6" s="38"/>
      <c r="R6" s="101"/>
      <c r="S6" s="101"/>
      <c r="T6" s="101"/>
      <c r="U6" s="45"/>
      <c r="V6" s="45"/>
      <c r="W6" s="45"/>
      <c r="X6" s="45"/>
      <c r="Y6" s="45"/>
      <c r="Z6" s="45"/>
      <c r="AA6" s="45"/>
      <c r="AB6" s="45"/>
      <c r="AC6" s="45"/>
      <c r="AD6" s="45"/>
      <c r="AE6" s="79"/>
      <c r="AF6" s="45"/>
      <c r="AG6" s="45"/>
      <c r="AH6" s="45"/>
      <c r="AI6" s="45"/>
      <c r="AJ6" s="45"/>
      <c r="AK6" s="45"/>
      <c r="AL6" s="45"/>
      <c r="AM6" s="45"/>
      <c r="AN6" s="45"/>
      <c r="AO6" s="45"/>
      <c r="AP6" s="45"/>
      <c r="AQ6" s="45"/>
      <c r="AR6" s="79"/>
      <c r="AS6" s="45"/>
      <c r="AT6" s="45"/>
      <c r="AU6" s="45"/>
      <c r="AV6" s="45"/>
      <c r="AW6" s="45"/>
      <c r="AX6" s="45"/>
      <c r="AY6" s="45"/>
      <c r="AZ6" s="45">
        <f>AZ5*AX5</f>
        <v>480</v>
      </c>
      <c r="BA6" s="45"/>
      <c r="BB6" s="45"/>
      <c r="BC6" s="45"/>
      <c r="BD6" s="45"/>
      <c r="BE6" s="45"/>
      <c r="BF6" s="45"/>
      <c r="BG6" s="46"/>
      <c r="BI6" s="28"/>
      <c r="BQ6" s="6" t="s">
        <v>13</v>
      </c>
      <c r="BR6" s="6">
        <v>0.0</v>
      </c>
      <c r="BS6" s="6">
        <f>VLOOKUP(BQ6,'Item List'!$A$2:$D$300,2,FALSE)</f>
        <v>1</v>
      </c>
      <c r="BT6" s="6">
        <f>VLOOKUP(BQ6,'Item List'!$A$2:$D$300,3,FALSE)</f>
        <v>4</v>
      </c>
      <c r="BU6" s="6">
        <f>VLOOKUP(BQ6,'Item List'!$A$2:$D$300,4,FALSE)</f>
        <v>2</v>
      </c>
      <c r="BY6" s="6">
        <f t="shared" ref="BY6:BY11" si="1">VLOOKUP(BW6,$BK$6:$BL$47,2)</f>
        <v>34000</v>
      </c>
      <c r="BZ6" s="6">
        <f t="shared" ref="BZ6:BZ11" si="2">BY6/$CF$21</f>
        <v>0.09659090909</v>
      </c>
      <c r="CA6" s="102">
        <f t="shared" ref="CA6:CA11" si="3">1/($CG$8*BZ6)</f>
        <v>854.2511238</v>
      </c>
      <c r="CB6" s="102">
        <f t="shared" ref="CB6:CB11" si="4">1/($CH$8*BZ6)</f>
        <v>16400.69889</v>
      </c>
      <c r="CC6" s="102">
        <f t="shared" ref="CC6:CC11" si="5">1/($CI$8*BZ6)</f>
        <v>517.6470588</v>
      </c>
      <c r="CE6" s="38" t="s">
        <v>83</v>
      </c>
      <c r="CF6" s="5">
        <f>VLOOKUP(CE6,BQ5:BR47,2,FALSE)</f>
        <v>352000</v>
      </c>
      <c r="CG6" s="5">
        <f>CF21/BO71*20</f>
        <v>82.51289264</v>
      </c>
      <c r="CH6" s="103">
        <f>CF21/BP71*20</f>
        <v>1584.158416</v>
      </c>
      <c r="CI6" s="4">
        <v>1000.0</v>
      </c>
    </row>
    <row r="7">
      <c r="A7" s="29"/>
      <c r="B7" s="40"/>
      <c r="C7" s="41"/>
      <c r="D7" s="38"/>
      <c r="E7" s="38" t="s">
        <v>231</v>
      </c>
      <c r="F7" s="42">
        <f>1500*I7</f>
        <v>576000</v>
      </c>
      <c r="G7" s="43"/>
      <c r="H7" s="56" t="s">
        <v>502</v>
      </c>
      <c r="I7" s="49">
        <v>384.0</v>
      </c>
      <c r="J7" s="100" t="s">
        <v>424</v>
      </c>
      <c r="K7" s="100">
        <v>0.0</v>
      </c>
      <c r="L7" s="45"/>
      <c r="M7" s="45"/>
      <c r="N7" s="45"/>
      <c r="O7" s="45"/>
      <c r="P7" s="45"/>
      <c r="Q7" s="45"/>
      <c r="R7" s="45"/>
      <c r="S7" s="101"/>
      <c r="T7" s="101"/>
      <c r="U7" s="45"/>
      <c r="V7" s="45"/>
      <c r="W7" s="45"/>
      <c r="X7" s="45"/>
      <c r="Y7" s="45"/>
      <c r="Z7" s="45"/>
      <c r="AA7" s="45"/>
      <c r="AB7" s="45"/>
      <c r="AC7" s="45"/>
      <c r="AD7" s="45"/>
      <c r="AE7" s="79"/>
      <c r="AF7" s="45"/>
      <c r="AG7" s="45"/>
      <c r="AH7" s="45"/>
      <c r="AI7" s="45"/>
      <c r="AJ7" s="45"/>
      <c r="AK7" s="45"/>
      <c r="AL7" s="45"/>
      <c r="AM7" s="45"/>
      <c r="AN7" s="45"/>
      <c r="AO7" s="45"/>
      <c r="AP7" s="45"/>
      <c r="AQ7" s="45"/>
      <c r="AR7" s="79"/>
      <c r="AS7" s="45"/>
      <c r="AT7" s="45"/>
      <c r="AU7" s="45"/>
      <c r="AV7" s="45"/>
      <c r="AW7" s="45"/>
      <c r="AX7" s="45"/>
      <c r="AY7" s="45"/>
      <c r="AZ7" s="45"/>
      <c r="BA7" s="45"/>
      <c r="BB7" s="45"/>
      <c r="BC7" s="45"/>
      <c r="BD7" s="45"/>
      <c r="BE7" s="45"/>
      <c r="BF7" s="45"/>
      <c r="BG7" s="46"/>
      <c r="BI7" s="28"/>
      <c r="BQ7" s="6" t="s">
        <v>14</v>
      </c>
      <c r="BR7" s="6">
        <v>0.0</v>
      </c>
      <c r="BS7" s="6">
        <f>VLOOKUP(BQ7,'Item List'!$A$2:$D$300,2,FALSE)</f>
        <v>1</v>
      </c>
      <c r="BT7" s="6">
        <f>VLOOKUP(BQ7,'Item List'!$A$2:$D$300,3,FALSE)</f>
        <v>4</v>
      </c>
      <c r="BU7" s="6">
        <f>VLOOKUP(BQ7,'Item List'!$A$2:$D$300,4,FALSE)</f>
        <v>2</v>
      </c>
      <c r="BY7" s="6">
        <f t="shared" si="1"/>
        <v>794000</v>
      </c>
      <c r="BZ7" s="6">
        <f t="shared" si="2"/>
        <v>2.255681818</v>
      </c>
      <c r="CA7" s="102">
        <f t="shared" si="3"/>
        <v>36.58002293</v>
      </c>
      <c r="CB7" s="102">
        <f t="shared" si="4"/>
        <v>702.2969299</v>
      </c>
      <c r="CC7" s="102">
        <f t="shared" si="5"/>
        <v>22.16624685</v>
      </c>
      <c r="CE7" s="5"/>
      <c r="CF7" s="5"/>
      <c r="CG7" s="98" t="s">
        <v>505</v>
      </c>
      <c r="CH7" s="98" t="s">
        <v>506</v>
      </c>
      <c r="CI7" s="98" t="s">
        <v>586</v>
      </c>
    </row>
    <row r="8">
      <c r="A8" s="29"/>
      <c r="B8" s="40"/>
      <c r="C8" s="41"/>
      <c r="D8" s="38"/>
      <c r="E8" s="38" t="s">
        <v>230</v>
      </c>
      <c r="F8" s="42">
        <f>500*I7</f>
        <v>192000</v>
      </c>
      <c r="G8" s="43"/>
      <c r="H8" s="44"/>
      <c r="I8" s="45"/>
      <c r="J8" s="45"/>
      <c r="K8" s="45"/>
      <c r="L8" s="45"/>
      <c r="M8" s="45"/>
      <c r="N8" s="45"/>
      <c r="O8" s="45"/>
      <c r="P8" s="45"/>
      <c r="Q8" s="45"/>
      <c r="R8" s="45"/>
      <c r="S8" s="101"/>
      <c r="T8" s="101"/>
      <c r="U8" s="45"/>
      <c r="V8" s="45"/>
      <c r="W8" s="45"/>
      <c r="X8" s="45"/>
      <c r="Y8" s="45"/>
      <c r="Z8" s="45"/>
      <c r="AA8" s="45"/>
      <c r="AB8" s="45"/>
      <c r="AC8" s="45"/>
      <c r="AD8" s="45"/>
      <c r="AE8" s="79"/>
      <c r="AF8" s="45"/>
      <c r="AG8" s="45"/>
      <c r="AH8" s="45"/>
      <c r="AI8" s="45"/>
      <c r="AJ8" s="45"/>
      <c r="AK8" s="45"/>
      <c r="AL8" s="45"/>
      <c r="AM8" s="45"/>
      <c r="AN8" s="45"/>
      <c r="AO8" s="45"/>
      <c r="AP8" s="45"/>
      <c r="AQ8" s="45"/>
      <c r="AR8" s="79"/>
      <c r="AS8" s="45"/>
      <c r="AT8" s="45"/>
      <c r="AU8" s="45"/>
      <c r="AV8" s="45"/>
      <c r="AW8" s="45"/>
      <c r="AX8" s="45"/>
      <c r="AY8" s="45"/>
      <c r="AZ8" s="45"/>
      <c r="BA8" s="45"/>
      <c r="BB8" s="45"/>
      <c r="BC8" s="45"/>
      <c r="BD8" s="45"/>
      <c r="BE8" s="45"/>
      <c r="BF8" s="45"/>
      <c r="BG8" s="46"/>
      <c r="BI8" s="28"/>
      <c r="BQ8" s="6" t="s">
        <v>26</v>
      </c>
      <c r="BR8" s="6">
        <v>200.0</v>
      </c>
      <c r="BS8" s="6">
        <f>VLOOKUP(BQ8,'Item List'!$A$2:$D$300,2,FALSE)</f>
        <v>3</v>
      </c>
      <c r="BT8" s="6">
        <f>VLOOKUP(BQ8,'Item List'!$A$2:$D$300,3,FALSE)</f>
        <v>3</v>
      </c>
      <c r="BU8" s="6">
        <f>VLOOKUP(BQ8,'Item List'!$A$2:$D$300,4,FALSE)</f>
        <v>2</v>
      </c>
      <c r="BY8" s="6">
        <f t="shared" si="1"/>
        <v>95000</v>
      </c>
      <c r="BZ8" s="6">
        <f t="shared" si="2"/>
        <v>0.2698863636</v>
      </c>
      <c r="CA8" s="102">
        <f t="shared" si="3"/>
        <v>305.7319811</v>
      </c>
      <c r="CB8" s="102">
        <f t="shared" si="4"/>
        <v>5869.723814</v>
      </c>
      <c r="CC8" s="102">
        <f t="shared" si="5"/>
        <v>185.2631579</v>
      </c>
      <c r="CE8" s="5"/>
      <c r="CF8" s="5"/>
      <c r="CG8" s="105">
        <f>BO71/CF6/20</f>
        <v>0.01211931818</v>
      </c>
      <c r="CH8" s="106">
        <f>BP71/CF6/20</f>
        <v>0.00063125</v>
      </c>
      <c r="CI8" s="5">
        <f>1/CI6*20</f>
        <v>0.02</v>
      </c>
    </row>
    <row r="9">
      <c r="A9" s="29"/>
      <c r="B9" s="40"/>
      <c r="C9" s="41"/>
      <c r="D9" s="38"/>
      <c r="E9" s="38" t="s">
        <v>229</v>
      </c>
      <c r="F9" s="42">
        <f>100*I7</f>
        <v>38400</v>
      </c>
      <c r="G9" s="43"/>
      <c r="H9" s="44"/>
      <c r="I9" s="45"/>
      <c r="J9" s="45"/>
      <c r="K9" s="45"/>
      <c r="L9" s="45"/>
      <c r="M9" s="45"/>
      <c r="N9" s="45"/>
      <c r="O9" s="45"/>
      <c r="P9" s="45"/>
      <c r="Q9" s="45"/>
      <c r="R9" s="45"/>
      <c r="S9" s="101"/>
      <c r="T9" s="101"/>
      <c r="U9" s="45"/>
      <c r="V9" s="45"/>
      <c r="W9" s="45"/>
      <c r="X9" s="45"/>
      <c r="Y9" s="45"/>
      <c r="Z9" s="45"/>
      <c r="AA9" s="45"/>
      <c r="AB9" s="45"/>
      <c r="AC9" s="45"/>
      <c r="AD9" s="45"/>
      <c r="AE9" s="79"/>
      <c r="AF9" s="45"/>
      <c r="AG9" s="45"/>
      <c r="AH9" s="45"/>
      <c r="AI9" s="45"/>
      <c r="AJ9" s="45"/>
      <c r="AK9" s="45"/>
      <c r="AL9" s="45"/>
      <c r="AM9" s="45"/>
      <c r="AN9" s="45"/>
      <c r="AO9" s="45"/>
      <c r="AP9" s="45"/>
      <c r="AQ9" s="45"/>
      <c r="AR9" s="79"/>
      <c r="AS9" s="45"/>
      <c r="AT9" s="45"/>
      <c r="AU9" s="45"/>
      <c r="AV9" s="45"/>
      <c r="AW9" s="45"/>
      <c r="AX9" s="45"/>
      <c r="AY9" s="45"/>
      <c r="AZ9" s="45"/>
      <c r="BA9" s="45"/>
      <c r="BB9" s="45"/>
      <c r="BC9" s="45"/>
      <c r="BD9" s="45"/>
      <c r="BE9" s="45"/>
      <c r="BF9" s="45"/>
      <c r="BG9" s="46"/>
      <c r="BI9" s="28"/>
      <c r="BQ9" s="6" t="s">
        <v>30</v>
      </c>
      <c r="BR9" s="6">
        <v>94300.0</v>
      </c>
      <c r="BS9" s="6">
        <f>VLOOKUP(BQ9,'Item List'!$A$2:$D$300,2,FALSE)</f>
        <v>1</v>
      </c>
      <c r="BT9" s="6">
        <f>VLOOKUP(BQ9,'Item List'!$A$2:$D$300,3,FALSE)</f>
        <v>4</v>
      </c>
      <c r="BU9" s="6">
        <f>VLOOKUP(BQ9,'Item List'!$A$2:$D$300,4,FALSE)</f>
        <v>2</v>
      </c>
      <c r="BY9" s="6">
        <f t="shared" si="1"/>
        <v>90000</v>
      </c>
      <c r="BZ9" s="6">
        <f t="shared" si="2"/>
        <v>0.2556818182</v>
      </c>
      <c r="CA9" s="102">
        <f t="shared" si="3"/>
        <v>322.7170912</v>
      </c>
      <c r="CB9" s="102">
        <f t="shared" si="4"/>
        <v>6195.819582</v>
      </c>
      <c r="CC9" s="102">
        <f t="shared" si="5"/>
        <v>195.5555556</v>
      </c>
      <c r="CE9" s="5"/>
      <c r="CF9" s="5"/>
      <c r="CG9" s="98" t="s">
        <v>587</v>
      </c>
      <c r="CH9" s="98" t="s">
        <v>588</v>
      </c>
    </row>
    <row r="10">
      <c r="A10" s="29"/>
      <c r="B10" s="40"/>
      <c r="C10" s="41"/>
      <c r="D10" s="38"/>
      <c r="E10" s="38" t="s">
        <v>125</v>
      </c>
      <c r="F10" s="42">
        <f>25*I7</f>
        <v>9600</v>
      </c>
      <c r="G10" s="43"/>
      <c r="H10" s="44"/>
      <c r="I10" s="45"/>
      <c r="J10" s="45"/>
      <c r="K10" s="45"/>
      <c r="L10" s="45"/>
      <c r="M10" s="45"/>
      <c r="N10" s="45"/>
      <c r="O10" s="45"/>
      <c r="P10" s="45"/>
      <c r="Q10" s="45"/>
      <c r="R10" s="45"/>
      <c r="S10" s="101"/>
      <c r="T10" s="101"/>
      <c r="U10" s="45"/>
      <c r="V10" s="45"/>
      <c r="W10" s="45"/>
      <c r="X10" s="45"/>
      <c r="Y10" s="45"/>
      <c r="Z10" s="45"/>
      <c r="AA10" s="45"/>
      <c r="AB10" s="45"/>
      <c r="AC10" s="45"/>
      <c r="AD10" s="45"/>
      <c r="AE10" s="79"/>
      <c r="AF10" s="45"/>
      <c r="AG10" s="45"/>
      <c r="AH10" s="45"/>
      <c r="AI10" s="45"/>
      <c r="AJ10" s="45"/>
      <c r="AK10" s="45"/>
      <c r="AL10" s="45"/>
      <c r="AM10" s="45"/>
      <c r="AN10" s="45"/>
      <c r="AO10" s="45"/>
      <c r="AP10" s="45"/>
      <c r="AQ10" s="45"/>
      <c r="AR10" s="79"/>
      <c r="AS10" s="45"/>
      <c r="AT10" s="45"/>
      <c r="AU10" s="45"/>
      <c r="AV10" s="45"/>
      <c r="AW10" s="45"/>
      <c r="AX10" s="45"/>
      <c r="AY10" s="45"/>
      <c r="AZ10" s="45"/>
      <c r="BA10" s="45"/>
      <c r="BB10" s="45"/>
      <c r="BC10" s="45"/>
      <c r="BD10" s="45"/>
      <c r="BE10" s="45"/>
      <c r="BF10" s="45"/>
      <c r="BG10" s="46"/>
      <c r="BI10" s="28"/>
      <c r="BQ10" s="6" t="s">
        <v>37</v>
      </c>
      <c r="BR10" s="6">
        <v>35550.0</v>
      </c>
      <c r="BS10" s="6">
        <f>VLOOKUP(BQ10,'Item List'!$A$2:$D$300,2,FALSE)</f>
        <v>1</v>
      </c>
      <c r="BT10" s="6">
        <f>VLOOKUP(BQ10,'Item List'!$A$2:$D$300,3,FALSE)</f>
        <v>4</v>
      </c>
      <c r="BU10" s="6">
        <f>VLOOKUP(BQ10,'Item List'!$A$2:$D$300,4,FALSE)</f>
        <v>2</v>
      </c>
      <c r="BY10" s="6">
        <f t="shared" si="1"/>
        <v>384000</v>
      </c>
      <c r="BZ10" s="6">
        <f t="shared" si="2"/>
        <v>1.090909091</v>
      </c>
      <c r="CA10" s="102">
        <f t="shared" si="3"/>
        <v>75.63681825</v>
      </c>
      <c r="CB10" s="102">
        <f t="shared" si="4"/>
        <v>1452.145215</v>
      </c>
      <c r="CC10" s="102">
        <f t="shared" si="5"/>
        <v>45.83333333</v>
      </c>
      <c r="CE10" s="5"/>
      <c r="CF10" s="5"/>
      <c r="CG10" s="107">
        <f>BL57/CF6</f>
        <v>9</v>
      </c>
      <c r="CH10" s="107">
        <f>BM57/CF6</f>
        <v>72</v>
      </c>
      <c r="CI10" s="5"/>
    </row>
    <row r="11">
      <c r="A11" s="29"/>
      <c r="B11" s="50"/>
      <c r="C11" s="51"/>
      <c r="D11" s="52"/>
      <c r="E11" s="52"/>
      <c r="F11" s="52"/>
      <c r="G11" s="43"/>
      <c r="H11" s="52"/>
      <c r="I11" s="52"/>
      <c r="J11" s="52"/>
      <c r="K11" s="52"/>
      <c r="L11" s="52"/>
      <c r="M11" s="52"/>
      <c r="N11" s="52"/>
      <c r="O11" s="52"/>
      <c r="P11" s="52"/>
      <c r="Q11" s="52"/>
      <c r="R11" s="52"/>
      <c r="S11" s="52"/>
      <c r="T11" s="52"/>
      <c r="U11" s="52"/>
      <c r="V11" s="52"/>
      <c r="W11" s="52"/>
      <c r="X11" s="52"/>
      <c r="Y11" s="52"/>
      <c r="Z11" s="52"/>
      <c r="AA11" s="52"/>
      <c r="AB11" s="52"/>
      <c r="AC11" s="52"/>
      <c r="AD11" s="52"/>
      <c r="AE11" s="43"/>
      <c r="AF11" s="52"/>
      <c r="AG11" s="52"/>
      <c r="AH11" s="52"/>
      <c r="AI11" s="52"/>
      <c r="AJ11" s="52"/>
      <c r="AK11" s="52"/>
      <c r="AL11" s="52"/>
      <c r="AM11" s="52"/>
      <c r="AN11" s="52"/>
      <c r="AO11" s="52"/>
      <c r="AP11" s="52"/>
      <c r="AQ11" s="52"/>
      <c r="AR11" s="43"/>
      <c r="AS11" s="52"/>
      <c r="AT11" s="52"/>
      <c r="AU11" s="52"/>
      <c r="AV11" s="52"/>
      <c r="AW11" s="52"/>
      <c r="AX11" s="52"/>
      <c r="AY11" s="52"/>
      <c r="AZ11" s="52"/>
      <c r="BA11" s="52"/>
      <c r="BB11" s="52"/>
      <c r="BC11" s="52"/>
      <c r="BD11" s="52"/>
      <c r="BE11" s="52"/>
      <c r="BF11" s="52"/>
      <c r="BG11" s="53"/>
      <c r="BI11" s="28"/>
      <c r="BQ11" s="6" t="s">
        <v>38</v>
      </c>
      <c r="BR11" s="6">
        <v>33000.0</v>
      </c>
      <c r="BS11" s="6">
        <f>VLOOKUP(BQ11,'Item List'!$A$2:$D$300,2,FALSE)</f>
        <v>1</v>
      </c>
      <c r="BT11" s="6">
        <f>VLOOKUP(BQ11,'Item List'!$A$2:$D$300,3,FALSE)</f>
        <v>3</v>
      </c>
      <c r="BU11" s="6">
        <f>VLOOKUP(BQ11,'Item List'!$A$2:$D$300,4,FALSE)</f>
        <v>2</v>
      </c>
      <c r="BY11" s="6">
        <f t="shared" si="1"/>
        <v>592500</v>
      </c>
      <c r="BZ11" s="6">
        <f t="shared" si="2"/>
        <v>1.683238636</v>
      </c>
      <c r="CA11" s="102">
        <f t="shared" si="3"/>
        <v>49.02031765</v>
      </c>
      <c r="CB11" s="102">
        <f t="shared" si="4"/>
        <v>941.1371517</v>
      </c>
      <c r="CC11" s="102">
        <f t="shared" si="5"/>
        <v>29.70464135</v>
      </c>
    </row>
    <row r="12">
      <c r="A12" s="23"/>
      <c r="B12" s="31" t="s">
        <v>593</v>
      </c>
      <c r="C12" s="54"/>
      <c r="D12" s="45"/>
      <c r="E12" s="45"/>
      <c r="F12" s="47"/>
      <c r="G12" s="35"/>
      <c r="H12" s="55" t="s">
        <v>349</v>
      </c>
      <c r="I12" s="38">
        <f>VLOOKUP(H12,'Machine List'!$A$1:$I$300,9,FALSE)</f>
        <v>4000</v>
      </c>
      <c r="J12" s="38">
        <f>IF(VLOOKUP(H12,'Machine List'!$A$1:$I$300,5,FALSE)="Multi",IF(VLOOKUP(H12,'Machine List'!$A$1:$I$300,6,FALSE)="Yes",AG12*3*10^Z12,AG12*(2*3)*10^(Z12-1)),0)</f>
        <v>6</v>
      </c>
      <c r="K12" s="38">
        <f>J12+IF(ISNUMBER(I12),I12,
  SWITCH(
      I12,
      "1T",1*10^Z12,
      "2T",2*10^Z12,
      "3T",3*10^Z12,
      "4T",4*10^Z12,
      "4000+500(7O-5)",4000+500*(7*I13-5),
      1
  )
)</f>
        <v>4006</v>
      </c>
      <c r="L12" s="38">
        <f>IF(VLOOKUP(H12,'Machine List'!$A$1:$I$300,5,FALSE)="Multi",IF(VLOOKUP(H12,'Machine List'!$A$1:$I$300,6,FALSE)="Yes",AU12*3*10^AT12,AU12*(2*3)*10^(AT12-1)),0)</f>
        <v>6000</v>
      </c>
      <c r="M12" s="38">
        <f>L12+IF(ISNUMBER(I12),I12,
  SWITCH(
      I12,
      "1T",1*10^AT12,
      "2T",2*10^AT12,
      "3T",3*10^AT12,
      "4T",4*10^AT12,
      "4000+500(7O-5)",4000+500*(7*I13-5),
      1
  )
)</f>
        <v>10000</v>
      </c>
      <c r="N12" s="38" t="str">
        <f>VLOOKUP(H12,'Machine List'!$A$1:$I$300,8,FALSE)</f>
        <v>Tier</v>
      </c>
      <c r="O12" s="38">
        <f>IF(ISNUMBER(N12),N12,10^Z12)</f>
        <v>10</v>
      </c>
      <c r="P12" s="38">
        <f>IF(ISNUMBER(N12),N12,10^AT12)</f>
        <v>10000</v>
      </c>
      <c r="Q12" s="38">
        <f>VLOOKUP(H12,'Machine List'!$A$1:$B$138,2,FALSE)</f>
        <v>1</v>
      </c>
      <c r="R12" s="38" t="s">
        <v>594</v>
      </c>
      <c r="S12" s="45">
        <f>IF(ISNUMBER(Q12),Q12,
  SWITCH(
      Q12,
      "1",1,
      "2T",Z12*2,
      "4T",Z12*4,
      "6T",Z12*6,
      "8T",Z12*8,
      "10T",Z12*10,
      "12T",Z12*12,
      "14T",Z12*14,
      "16T",Z12*16,
      "2(T+1)",2*(Z12+1),
      "1T*C",Z12*J14,
      1
  )
)</f>
        <v>1</v>
      </c>
      <c r="T12" s="38" t="s">
        <v>277</v>
      </c>
      <c r="U12" s="38">
        <f>IF(OR(T12="No",T12=""),S12,T12)</f>
        <v>1</v>
      </c>
      <c r="V12" s="38">
        <f>IF(ISNUMBER(Q12),Q12,
  SWITCH(
      Q12,
      "1",1,
      "2T",AT12*2,
      "4T",AT12*4,
      "6T",AT12*6,
      "8T",AT12*8,
      "10T",AT12*10,
      "12T",AT12*12,
      "14T",AT12*14,
      "16T",AT12*16,
      "2(T+1)",2*(AT12+1),
      "1T*C",AT12*J14,
      1
  )
)</f>
        <v>1</v>
      </c>
      <c r="W12" s="38" t="str">
        <f>T12</f>
        <v>No</v>
      </c>
      <c r="X12" s="38">
        <f>IF(OR(W12="No",W12=""),V12,W12)</f>
        <v>1</v>
      </c>
      <c r="Y12" s="38" t="s">
        <v>390</v>
      </c>
      <c r="Z12" s="38">
        <f>VLOOKUP(Y12,'Item Helper Sheet'!$A$2:$B$16,2,FALSE)</f>
        <v>1</v>
      </c>
      <c r="AA12" s="38">
        <v>30.0</v>
      </c>
      <c r="AB12" s="38">
        <f>8*20</f>
        <v>160</v>
      </c>
      <c r="AC12" s="38">
        <f>AB12*I14</f>
        <v>2240</v>
      </c>
      <c r="AD12" s="38">
        <f>AA12*AC12</f>
        <v>67200</v>
      </c>
      <c r="AE12" s="75"/>
      <c r="AF12" s="38" t="str">
        <f>Y12</f>
        <v>01 - LV</v>
      </c>
      <c r="AG12" s="38">
        <v>1.0</v>
      </c>
      <c r="AH12" s="38">
        <v>1.0</v>
      </c>
      <c r="AI12" s="38">
        <f>AH12*8*4^Z12</f>
        <v>32</v>
      </c>
      <c r="AJ12" s="38">
        <f>MIN(ROUNDDOWN(AI12/AL12,0),U12)</f>
        <v>1</v>
      </c>
      <c r="AK12" s="38">
        <f>IF(OR(T12="No",T12=""),AG12*S12,AG12*T12)</f>
        <v>1</v>
      </c>
      <c r="AL12" s="38">
        <f>ROUNDUP(AA12*VLOOKUP(H12,'Machine List'!$A$2:$D$219,4,FALSE),0)</f>
        <v>30</v>
      </c>
      <c r="AM12" s="38">
        <f>AL12*AK12</f>
        <v>30</v>
      </c>
      <c r="AN12" s="38">
        <f>ROUNDUP(AB12*I14,0)</f>
        <v>2240</v>
      </c>
      <c r="AO12" s="38">
        <f>ROUNDUP(AN12/VLOOKUP(H12,'Machine List'!$A$2:$D$219,3,FALSE),0)</f>
        <v>2240</v>
      </c>
      <c r="AP12" s="38">
        <f>ROUNDUP(AO12/AK12,0)</f>
        <v>2240</v>
      </c>
      <c r="AQ12" s="38">
        <f>AM12*AP12</f>
        <v>67200</v>
      </c>
      <c r="AR12" s="75"/>
      <c r="AS12" s="38" t="s">
        <v>401</v>
      </c>
      <c r="AT12" s="38">
        <f>VLOOKUP(AS12,'Item Helper Sheet'!$A$2:$B$16,2,FALSE)</f>
        <v>4</v>
      </c>
      <c r="AU12" s="38">
        <f>AG12</f>
        <v>1</v>
      </c>
      <c r="AV12" s="38">
        <v>1.0</v>
      </c>
      <c r="AW12" s="38">
        <f>AV12*8*4^AT12</f>
        <v>2048</v>
      </c>
      <c r="AX12" s="38">
        <f>MIN(ROUNDDOWN(AW12/AL12,0),X12)</f>
        <v>1</v>
      </c>
      <c r="AY12" s="38">
        <f>AX12*AU12</f>
        <v>1</v>
      </c>
      <c r="AZ12" s="38">
        <f>AL12</f>
        <v>30</v>
      </c>
      <c r="BA12" s="38">
        <f>MIN(AT12-Z12,IF(AW12&gt;=AZ13*4,
IF(AW12&gt;=AZ13*4^2,
IF(AW12&gt;=AZ13*4^3,
IF(AW12&gt;=AZ13*4^4,
IF(AW12&gt;=AZ13*4^5,
IF(AW12&gt;=AZ13*4^6,
IF(AW12&gt;=AZ13*4^7,
IF(AW12&gt;=AZ13*4^8,
IF(AW12&gt;=AZ13*4^9,
IF(AW12&gt;=AZ13*4^10,
9),
8),
7),
6),
5),
4),
3),
2),
1),
0))</f>
        <v>3</v>
      </c>
      <c r="BB12" s="38">
        <f>AZ12*AX12*4^BA12</f>
        <v>1920</v>
      </c>
      <c r="BC12" s="38">
        <f>BB12*AU12</f>
        <v>1920</v>
      </c>
      <c r="BD12" s="45">
        <f>ROUNDUP(IF(R12="Yes",AN12/(2^((BA12)*2)),AN12/(2^(BA12))),0)</f>
        <v>35</v>
      </c>
      <c r="BE12" s="45">
        <f>ROUNDUP(BD12/VLOOKUP(H12,'Machine List'!$A$2:$D$219,3,FALSE),0)</f>
        <v>35</v>
      </c>
      <c r="BF12" s="45">
        <f>ROUNDUP(BE12/AY12,0)</f>
        <v>35</v>
      </c>
      <c r="BG12" s="46">
        <f>BF12*BC12</f>
        <v>67200</v>
      </c>
      <c r="BI12" s="28"/>
      <c r="BQ12" s="6" t="s">
        <v>39</v>
      </c>
      <c r="BR12" s="6">
        <v>-6250.0</v>
      </c>
      <c r="BS12" s="6">
        <f>VLOOKUP(BQ12,'Item List'!$A$2:$D$300,2,FALSE)</f>
        <v>1</v>
      </c>
      <c r="BT12" s="6">
        <f>VLOOKUP(BQ12,'Item List'!$A$2:$D$300,3,FALSE)</f>
        <v>3</v>
      </c>
      <c r="BU12" s="6">
        <f>VLOOKUP(BQ12,'Item List'!$A$2:$D$300,4,FALSE)</f>
        <v>3</v>
      </c>
      <c r="CE12" s="108" t="s">
        <v>595</v>
      </c>
      <c r="CF12" s="108" t="s">
        <v>596</v>
      </c>
    </row>
    <row r="13">
      <c r="A13" s="29"/>
      <c r="B13" s="40"/>
      <c r="C13" s="41" t="s">
        <v>228</v>
      </c>
      <c r="D13" s="38">
        <f>16000*I14</f>
        <v>224000</v>
      </c>
      <c r="E13" s="38" t="s">
        <v>183</v>
      </c>
      <c r="F13" s="42">
        <f>16000*I14</f>
        <v>224000</v>
      </c>
      <c r="G13" s="43"/>
      <c r="H13" s="99" t="s">
        <v>584</v>
      </c>
      <c r="I13" s="45">
        <f t="array" ref="I13">match(TRUE,ISBLANK(F13:F25),0)-1</f>
        <v>2</v>
      </c>
      <c r="J13" s="100" t="s">
        <v>420</v>
      </c>
      <c r="K13" s="100" t="s">
        <v>585</v>
      </c>
      <c r="L13" s="38"/>
      <c r="M13" s="38"/>
      <c r="N13" s="38"/>
      <c r="O13" s="38"/>
      <c r="P13" s="38"/>
      <c r="Q13" s="38"/>
      <c r="R13" s="101"/>
      <c r="S13" s="101"/>
      <c r="T13" s="101"/>
      <c r="U13" s="45"/>
      <c r="V13" s="45"/>
      <c r="W13" s="45"/>
      <c r="X13" s="45"/>
      <c r="Y13" s="45"/>
      <c r="Z13" s="45"/>
      <c r="AA13" s="45"/>
      <c r="AB13" s="45"/>
      <c r="AC13" s="45"/>
      <c r="AD13" s="45"/>
      <c r="AE13" s="79"/>
      <c r="AF13" s="45"/>
      <c r="AG13" s="45"/>
      <c r="AH13" s="45"/>
      <c r="AI13" s="45"/>
      <c r="AJ13" s="45"/>
      <c r="AK13" s="45"/>
      <c r="AL13" s="45"/>
      <c r="AM13" s="45"/>
      <c r="AN13" s="45"/>
      <c r="AO13" s="45"/>
      <c r="AP13" s="45"/>
      <c r="AQ13" s="45"/>
      <c r="AR13" s="79"/>
      <c r="AS13" s="45"/>
      <c r="AT13" s="45"/>
      <c r="AU13" s="45"/>
      <c r="AV13" s="45"/>
      <c r="AW13" s="45"/>
      <c r="AX13" s="45"/>
      <c r="AY13" s="45"/>
      <c r="AZ13" s="45">
        <f>AZ12*AX12</f>
        <v>30</v>
      </c>
      <c r="BA13" s="45"/>
      <c r="BB13" s="45"/>
      <c r="BC13" s="45"/>
      <c r="BD13" s="45"/>
      <c r="BE13" s="45"/>
      <c r="BF13" s="45"/>
      <c r="BG13" s="46"/>
      <c r="BI13" s="28"/>
      <c r="BQ13" s="6" t="s">
        <v>40</v>
      </c>
      <c r="BR13" s="6">
        <v>-10.0</v>
      </c>
      <c r="BS13" s="6">
        <f>VLOOKUP(BQ13,'Item List'!$A$2:$D$300,2,FALSE)</f>
        <v>1</v>
      </c>
      <c r="BT13" s="6">
        <f>VLOOKUP(BQ13,'Item List'!$A$2:$D$300,3,FALSE)</f>
        <v>3</v>
      </c>
      <c r="BU13" s="6">
        <f>VLOOKUP(BQ13,'Item List'!$A$2:$D$300,4,FALSE)</f>
        <v>1</v>
      </c>
      <c r="BY13" s="97" t="s">
        <v>589</v>
      </c>
      <c r="BZ13" s="97" t="s">
        <v>514</v>
      </c>
      <c r="CA13" s="97" t="s">
        <v>590</v>
      </c>
      <c r="CB13" s="97" t="s">
        <v>591</v>
      </c>
      <c r="CC13" s="97" t="s">
        <v>592</v>
      </c>
      <c r="CE13" s="98" t="s">
        <v>597</v>
      </c>
      <c r="CF13" s="98" t="s">
        <v>597</v>
      </c>
    </row>
    <row r="14">
      <c r="A14" s="29"/>
      <c r="B14" s="40"/>
      <c r="C14" s="41" t="s">
        <v>87</v>
      </c>
      <c r="D14" s="38">
        <f>2000*I14</f>
        <v>28000</v>
      </c>
      <c r="E14" s="38" t="s">
        <v>88</v>
      </c>
      <c r="F14" s="42">
        <f>1000*I14</f>
        <v>14000</v>
      </c>
      <c r="G14" s="43"/>
      <c r="H14" s="56" t="s">
        <v>502</v>
      </c>
      <c r="I14" s="57">
        <v>14.0</v>
      </c>
      <c r="J14" s="100" t="s">
        <v>424</v>
      </c>
      <c r="K14" s="100">
        <v>0.0</v>
      </c>
      <c r="L14" s="45"/>
      <c r="M14" s="45"/>
      <c r="N14" s="45"/>
      <c r="O14" s="45"/>
      <c r="P14" s="45"/>
      <c r="Q14" s="45"/>
      <c r="R14" s="45"/>
      <c r="S14" s="101"/>
      <c r="T14" s="101"/>
      <c r="U14" s="45"/>
      <c r="V14" s="45"/>
      <c r="W14" s="45"/>
      <c r="X14" s="45"/>
      <c r="Y14" s="45"/>
      <c r="Z14" s="45"/>
      <c r="AA14" s="45"/>
      <c r="AB14" s="45"/>
      <c r="AC14" s="45"/>
      <c r="AD14" s="45"/>
      <c r="AE14" s="79"/>
      <c r="AF14" s="45"/>
      <c r="AG14" s="45"/>
      <c r="AH14" s="45"/>
      <c r="AI14" s="45"/>
      <c r="AJ14" s="45"/>
      <c r="AK14" s="45"/>
      <c r="AL14" s="45"/>
      <c r="AM14" s="45"/>
      <c r="AN14" s="45"/>
      <c r="AO14" s="45"/>
      <c r="AP14" s="45"/>
      <c r="AQ14" s="45"/>
      <c r="AR14" s="79"/>
      <c r="AS14" s="45"/>
      <c r="AT14" s="45"/>
      <c r="AU14" s="45"/>
      <c r="AV14" s="45"/>
      <c r="AW14" s="45"/>
      <c r="AX14" s="45"/>
      <c r="AY14" s="45"/>
      <c r="AZ14" s="45"/>
      <c r="BA14" s="45"/>
      <c r="BB14" s="45"/>
      <c r="BC14" s="45"/>
      <c r="BD14" s="45"/>
      <c r="BE14" s="45"/>
      <c r="BF14" s="45"/>
      <c r="BG14" s="46"/>
      <c r="BI14" s="28"/>
      <c r="BQ14" s="6" t="s">
        <v>43</v>
      </c>
      <c r="BR14" s="6">
        <v>10000.0</v>
      </c>
      <c r="BS14" s="6">
        <f>VLOOKUP(BQ14,'Item List'!$A$2:$D$300,2,FALSE)</f>
        <v>1</v>
      </c>
      <c r="BT14" s="6">
        <f>VLOOKUP(BQ14,'Item List'!$A$2:$D$300,3,FALSE)</f>
        <v>3</v>
      </c>
      <c r="BU14" s="6">
        <f>VLOOKUP(BQ14,'Item List'!$A$2:$D$300,4,FALSE)</f>
        <v>2</v>
      </c>
      <c r="BY14" s="6">
        <f t="shared" ref="BY14:BY24" si="6">BX14</f>
        <v>94300</v>
      </c>
      <c r="BZ14" s="6">
        <f t="shared" ref="BZ14:BZ24" si="7">BY14/$CF$21</f>
        <v>0.2678977273</v>
      </c>
      <c r="CA14" s="102">
        <f t="shared" ref="CA14:CA24" si="8">1/($CG$8*BZ14)</f>
        <v>308.0014656</v>
      </c>
      <c r="CB14" s="102">
        <f t="shared" ref="CB14:CB24" si="9">1/($CH$8*BZ14)</f>
        <v>5913.295465</v>
      </c>
      <c r="CC14" s="102">
        <f t="shared" ref="CC14:CC24" si="10">1/($CI$8*BZ14)</f>
        <v>186.6383881</v>
      </c>
      <c r="CE14" s="5">
        <f>BO94</f>
        <v>19</v>
      </c>
      <c r="CF14" s="5">
        <f>BO117</f>
        <v>30</v>
      </c>
    </row>
    <row r="15">
      <c r="A15" s="29"/>
      <c r="B15" s="50"/>
      <c r="C15" s="51"/>
      <c r="D15" s="52"/>
      <c r="E15" s="52"/>
      <c r="F15" s="52"/>
      <c r="G15" s="43"/>
      <c r="H15" s="52"/>
      <c r="I15" s="52"/>
      <c r="J15" s="52"/>
      <c r="K15" s="52"/>
      <c r="L15" s="52"/>
      <c r="M15" s="52"/>
      <c r="N15" s="52"/>
      <c r="O15" s="52"/>
      <c r="P15" s="52"/>
      <c r="Q15" s="52"/>
      <c r="R15" s="52"/>
      <c r="S15" s="52"/>
      <c r="T15" s="52"/>
      <c r="U15" s="52"/>
      <c r="V15" s="52"/>
      <c r="W15" s="52"/>
      <c r="X15" s="52"/>
      <c r="Y15" s="52"/>
      <c r="Z15" s="52"/>
      <c r="AA15" s="52"/>
      <c r="AB15" s="52"/>
      <c r="AC15" s="52"/>
      <c r="AD15" s="52"/>
      <c r="AE15" s="43"/>
      <c r="AF15" s="52"/>
      <c r="AG15" s="52"/>
      <c r="AH15" s="52"/>
      <c r="AI15" s="52"/>
      <c r="AJ15" s="52"/>
      <c r="AK15" s="52"/>
      <c r="AL15" s="52"/>
      <c r="AM15" s="52"/>
      <c r="AN15" s="52"/>
      <c r="AO15" s="52"/>
      <c r="AP15" s="52"/>
      <c r="AQ15" s="52"/>
      <c r="AR15" s="43"/>
      <c r="AS15" s="52"/>
      <c r="AT15" s="52"/>
      <c r="AU15" s="52"/>
      <c r="AV15" s="52"/>
      <c r="AW15" s="52"/>
      <c r="AX15" s="52"/>
      <c r="AY15" s="52"/>
      <c r="AZ15" s="52"/>
      <c r="BA15" s="52"/>
      <c r="BB15" s="52"/>
      <c r="BC15" s="52"/>
      <c r="BD15" s="52"/>
      <c r="BE15" s="52"/>
      <c r="BF15" s="52"/>
      <c r="BG15" s="53"/>
      <c r="BI15" s="28"/>
      <c r="BQ15" s="6" t="s">
        <v>44</v>
      </c>
      <c r="BR15" s="6">
        <v>213.29999999999998</v>
      </c>
      <c r="BS15" s="6">
        <f>VLOOKUP(BQ15,'Item List'!$A$2:$D$300,2,FALSE)</f>
        <v>1</v>
      </c>
      <c r="BT15" s="6">
        <f>VLOOKUP(BQ15,'Item List'!$A$2:$D$300,3,FALSE)</f>
        <v>4</v>
      </c>
      <c r="BU15" s="6">
        <f>VLOOKUP(BQ15,'Item List'!$A$2:$D$300,4,FALSE)</f>
        <v>1</v>
      </c>
      <c r="BY15" s="6">
        <f t="shared" si="6"/>
        <v>35550</v>
      </c>
      <c r="BZ15" s="6">
        <f t="shared" si="7"/>
        <v>0.1009943182</v>
      </c>
      <c r="CA15" s="102">
        <f t="shared" si="8"/>
        <v>817.0052942</v>
      </c>
      <c r="CB15" s="102">
        <f t="shared" si="9"/>
        <v>15685.61919</v>
      </c>
      <c r="CC15" s="102">
        <f t="shared" si="10"/>
        <v>495.0773558</v>
      </c>
      <c r="CE15" s="98" t="s">
        <v>598</v>
      </c>
      <c r="CF15" s="98" t="s">
        <v>598</v>
      </c>
    </row>
    <row r="16">
      <c r="A16" s="23"/>
      <c r="B16" s="31" t="s">
        <v>599</v>
      </c>
      <c r="C16" s="54"/>
      <c r="D16" s="45"/>
      <c r="E16" s="45"/>
      <c r="F16" s="47"/>
      <c r="G16" s="35"/>
      <c r="H16" s="55" t="s">
        <v>349</v>
      </c>
      <c r="I16" s="38">
        <f>VLOOKUP(H16,'Machine List'!$A$1:$I$300,9,FALSE)</f>
        <v>4000</v>
      </c>
      <c r="J16" s="38">
        <f>IF(VLOOKUP(H16,'Machine List'!$A$1:$I$300,5,FALSE)="Multi",IF(VLOOKUP(H16,'Machine List'!$A$1:$I$300,6,FALSE)="Yes",AG16*3*10^Z16,AG16*(2*3)*10^(Z16-1)),0)</f>
        <v>6</v>
      </c>
      <c r="K16" s="38">
        <f>J16+IF(ISNUMBER(I16),I16,
  SWITCH(
      I16,
      "1T",1*10^Z16,
      "2T",2*10^Z16,
      "3T",3*10^Z16,
      "4T",4*10^Z16,
      "4000+500(7O-5)",4000+500*(7*I17-5),
      1
  )
)</f>
        <v>4006</v>
      </c>
      <c r="L16" s="38">
        <f>IF(VLOOKUP(H16,'Machine List'!$A$1:$I$300,5,FALSE)="Multi",IF(VLOOKUP(H16,'Machine List'!$A$1:$I$300,6,FALSE)="Yes",AU16*3*10^AT16,AU16*(2*3)*10^(AT16-1)),0)</f>
        <v>6000</v>
      </c>
      <c r="M16" s="38">
        <f>L16+IF(ISNUMBER(I16),I16,
  SWITCH(
      I16,
      "1T",1*10^AT16,
      "2T",2*10^AT16,
      "3T",3*10^AT16,
      "4T",4*10^AT16,
      "4000+500(7O-5)",4000+500*(7*I17-5),
      1
  )
)</f>
        <v>10000</v>
      </c>
      <c r="N16" s="38" t="str">
        <f>VLOOKUP(H16,'Machine List'!$A$1:$I$300,8,FALSE)</f>
        <v>Tier</v>
      </c>
      <c r="O16" s="38">
        <f>IF(ISNUMBER(N16),N16,10^Z16)</f>
        <v>10</v>
      </c>
      <c r="P16" s="38">
        <f>IF(ISNUMBER(N16),N16,10^AT16)</f>
        <v>10000</v>
      </c>
      <c r="Q16" s="38">
        <f>VLOOKUP(H16,'Machine List'!$A$1:$B$138,2,FALSE)</f>
        <v>1</v>
      </c>
      <c r="R16" s="38" t="s">
        <v>594</v>
      </c>
      <c r="S16" s="45">
        <f>IF(ISNUMBER(Q16),Q16,
  SWITCH(
      Q16,
      "1",1,
      "2T",Z16*2,
      "4T",Z16*4,
      "6T",Z16*6,
      "8T",Z16*8,
      "10T",Z16*10,
      "12T",Z16*12,
      "14T",Z16*14,
      "16T",Z16*16,
      "2(T+1)",2*(Z16+1),
      "1T*C",Z16*J18,
      1
  )
)</f>
        <v>1</v>
      </c>
      <c r="T16" s="38" t="s">
        <v>277</v>
      </c>
      <c r="U16" s="38">
        <f>IF(OR(T16="No",T16=""),S16,T16)</f>
        <v>1</v>
      </c>
      <c r="V16" s="38">
        <f>IF(ISNUMBER(Q16),Q16,
  SWITCH(
      Q16,
      "1",1,
      "2T",AT16*2,
      "4T",AT16*4,
      "6T",AT16*6,
      "8T",AT16*8,
      "10T",AT16*10,
      "12T",AT16*12,
      "14T",AT16*14,
      "16T",AT16*16,
      "2(T+1)",2*(AT16+1),
      "1T*C",AT16*J18,
      1
  )
)</f>
        <v>1</v>
      </c>
      <c r="W16" s="38" t="str">
        <f>T16</f>
        <v>No</v>
      </c>
      <c r="X16" s="38">
        <f>IF(OR(W16="No",W16=""),V16,W16)</f>
        <v>1</v>
      </c>
      <c r="Y16" s="38" t="s">
        <v>390</v>
      </c>
      <c r="Z16" s="38">
        <f>VLOOKUP(Y16,'Item Helper Sheet'!$A$2:$B$16,2,FALSE)</f>
        <v>1</v>
      </c>
      <c r="AA16" s="38">
        <v>30.0</v>
      </c>
      <c r="AB16" s="38">
        <f>8*20</f>
        <v>160</v>
      </c>
      <c r="AC16" s="38">
        <f>AB16*I18</f>
        <v>7680</v>
      </c>
      <c r="AD16" s="38">
        <f>AA16*AC16</f>
        <v>230400</v>
      </c>
      <c r="AE16" s="75"/>
      <c r="AF16" s="38" t="str">
        <f>Y16</f>
        <v>01 - LV</v>
      </c>
      <c r="AG16" s="38">
        <v>1.0</v>
      </c>
      <c r="AH16" s="38">
        <v>1.0</v>
      </c>
      <c r="AI16" s="38">
        <f>AH16*8*4^Z16</f>
        <v>32</v>
      </c>
      <c r="AJ16" s="38">
        <f>MIN(ROUNDDOWN(AI16/AL16,0),U16)</f>
        <v>1</v>
      </c>
      <c r="AK16" s="38">
        <f>IF(OR(T16="No",T16=""),AG16*S16,AG16*T16)</f>
        <v>1</v>
      </c>
      <c r="AL16" s="38">
        <f>ROUNDUP(AA16*VLOOKUP(H16,'Machine List'!$A$2:$D$219,4,FALSE),0)</f>
        <v>30</v>
      </c>
      <c r="AM16" s="38">
        <f>AL16*AK16</f>
        <v>30</v>
      </c>
      <c r="AN16" s="38">
        <f>ROUNDUP(AB16*I18,0)</f>
        <v>7680</v>
      </c>
      <c r="AO16" s="38">
        <f>ROUNDUP(AN16/VLOOKUP(H16,'Machine List'!$A$2:$D$219,3,FALSE),0)</f>
        <v>7680</v>
      </c>
      <c r="AP16" s="38">
        <f>ROUNDUP(AO16/AK16,0)</f>
        <v>7680</v>
      </c>
      <c r="AQ16" s="38">
        <f>AM16*AP16</f>
        <v>230400</v>
      </c>
      <c r="AR16" s="75"/>
      <c r="AS16" s="38" t="s">
        <v>401</v>
      </c>
      <c r="AT16" s="38">
        <f>VLOOKUP(AS16,'Item Helper Sheet'!$A$2:$B$16,2,FALSE)</f>
        <v>4</v>
      </c>
      <c r="AU16" s="38">
        <f>AG16</f>
        <v>1</v>
      </c>
      <c r="AV16" s="38">
        <v>1.0</v>
      </c>
      <c r="AW16" s="38">
        <f>AV16*8*4^AT16</f>
        <v>2048</v>
      </c>
      <c r="AX16" s="38">
        <f>MIN(ROUNDDOWN(AW16/AL16,0),X16)</f>
        <v>1</v>
      </c>
      <c r="AY16" s="38">
        <f>AX16*AU16</f>
        <v>1</v>
      </c>
      <c r="AZ16" s="38">
        <f>AL16</f>
        <v>30</v>
      </c>
      <c r="BA16" s="38">
        <f>MIN(AT16-Z16,IF(AW16&gt;=AZ17*4,
IF(AW16&gt;=AZ17*4^2,
IF(AW16&gt;=AZ17*4^3,
IF(AW16&gt;=AZ17*4^4,
IF(AW16&gt;=AZ17*4^5,
IF(AW16&gt;=AZ17*4^6,
IF(AW16&gt;=AZ17*4^7,
IF(AW16&gt;=AZ17*4^8,
IF(AW16&gt;=AZ17*4^9,
IF(AW16&gt;=AZ17*4^10,
9),
8),
7),
6),
5),
4),
3),
2),
1),
0))</f>
        <v>3</v>
      </c>
      <c r="BB16" s="38">
        <f>AZ16*AX16*4^BA16</f>
        <v>1920</v>
      </c>
      <c r="BC16" s="38">
        <f>BB16*AU16</f>
        <v>1920</v>
      </c>
      <c r="BD16" s="45">
        <f>ROUNDUP(IF(R16="Yes",AN16/(2^((BA16)*2)),AN16/(2^(BA16))),0)</f>
        <v>120</v>
      </c>
      <c r="BE16" s="45">
        <f>ROUNDUP(BD16/VLOOKUP(H16,'Machine List'!$A$2:$D$219,3,FALSE),0)</f>
        <v>120</v>
      </c>
      <c r="BF16" s="45">
        <f>ROUNDUP(BE16/AY16,0)</f>
        <v>120</v>
      </c>
      <c r="BG16" s="46">
        <f>BF16*BC16</f>
        <v>230400</v>
      </c>
      <c r="BI16" s="28"/>
      <c r="BQ16" s="6" t="s">
        <v>45</v>
      </c>
      <c r="BR16" s="6">
        <v>-34000.0</v>
      </c>
      <c r="BS16" s="6">
        <f>VLOOKUP(BQ16,'Item List'!$A$2:$D$300,2,FALSE)</f>
        <v>1</v>
      </c>
      <c r="BT16" s="6">
        <f>VLOOKUP(BQ16,'Item List'!$A$2:$D$300,3,FALSE)</f>
        <v>3</v>
      </c>
      <c r="BU16" s="6">
        <f>VLOOKUP(BQ16,'Item List'!$A$2:$D$300,4,FALSE)</f>
        <v>2</v>
      </c>
      <c r="BY16" s="6">
        <f t="shared" si="6"/>
        <v>33000</v>
      </c>
      <c r="BZ16" s="6">
        <f t="shared" si="7"/>
        <v>0.09375</v>
      </c>
      <c r="CA16" s="102">
        <f t="shared" si="8"/>
        <v>880.1375215</v>
      </c>
      <c r="CB16" s="102">
        <f t="shared" si="9"/>
        <v>16897.68977</v>
      </c>
      <c r="CC16" s="102">
        <f t="shared" si="10"/>
        <v>533.3333333</v>
      </c>
      <c r="CE16" s="5">
        <f>SUM(BX28:BX46)</f>
        <v>157710</v>
      </c>
      <c r="CF16" s="5">
        <f>SUM(CB28:CB46)</f>
        <v>2992004</v>
      </c>
    </row>
    <row r="17">
      <c r="A17" s="29"/>
      <c r="B17" s="40"/>
      <c r="C17" s="41" t="s">
        <v>231</v>
      </c>
      <c r="D17" s="38">
        <f>12000*I18</f>
        <v>576000</v>
      </c>
      <c r="E17" s="38" t="s">
        <v>124</v>
      </c>
      <c r="F17" s="42">
        <f>12000*I18</f>
        <v>576000</v>
      </c>
      <c r="G17" s="43"/>
      <c r="H17" s="99" t="s">
        <v>584</v>
      </c>
      <c r="I17" s="45">
        <f t="array" ref="I17">match(TRUE,ISBLANK(F17:F29),0)-1</f>
        <v>2</v>
      </c>
      <c r="J17" s="100" t="s">
        <v>420</v>
      </c>
      <c r="K17" s="100" t="s">
        <v>585</v>
      </c>
      <c r="L17" s="38"/>
      <c r="M17" s="38"/>
      <c r="N17" s="38"/>
      <c r="O17" s="38"/>
      <c r="P17" s="38"/>
      <c r="Q17" s="38"/>
      <c r="R17" s="101"/>
      <c r="S17" s="101"/>
      <c r="T17" s="101"/>
      <c r="U17" s="45"/>
      <c r="V17" s="45"/>
      <c r="W17" s="45"/>
      <c r="X17" s="45"/>
      <c r="Y17" s="45"/>
      <c r="Z17" s="45"/>
      <c r="AA17" s="45"/>
      <c r="AB17" s="45"/>
      <c r="AC17" s="45"/>
      <c r="AD17" s="45"/>
      <c r="AE17" s="79"/>
      <c r="AF17" s="45"/>
      <c r="AG17" s="45"/>
      <c r="AH17" s="45"/>
      <c r="AI17" s="45"/>
      <c r="AJ17" s="45"/>
      <c r="AK17" s="45"/>
      <c r="AL17" s="45"/>
      <c r="AM17" s="45"/>
      <c r="AN17" s="45"/>
      <c r="AO17" s="45"/>
      <c r="AP17" s="45"/>
      <c r="AQ17" s="45"/>
      <c r="AR17" s="79"/>
      <c r="AS17" s="45"/>
      <c r="AT17" s="45"/>
      <c r="AU17" s="45"/>
      <c r="AV17" s="45"/>
      <c r="AW17" s="45"/>
      <c r="AX17" s="45"/>
      <c r="AY17" s="45"/>
      <c r="AZ17" s="45">
        <f>AZ16*AX16</f>
        <v>30</v>
      </c>
      <c r="BA17" s="45"/>
      <c r="BB17" s="45"/>
      <c r="BC17" s="45"/>
      <c r="BD17" s="45"/>
      <c r="BE17" s="45"/>
      <c r="BF17" s="45"/>
      <c r="BG17" s="46"/>
      <c r="BI17" s="28"/>
      <c r="BQ17" s="6" t="s">
        <v>61</v>
      </c>
      <c r="BR17" s="6">
        <v>79215.0</v>
      </c>
      <c r="BS17" s="6">
        <f>VLOOKUP(BQ17,'Item List'!$A$2:$D$300,2,FALSE)</f>
        <v>1</v>
      </c>
      <c r="BT17" s="6">
        <f>VLOOKUP(BQ17,'Item List'!$A$2:$D$300,3,FALSE)</f>
        <v>3</v>
      </c>
      <c r="BU17" s="6">
        <f>VLOOKUP(BQ17,'Item List'!$A$2:$D$300,4,FALSE)</f>
        <v>2</v>
      </c>
      <c r="BY17" s="6">
        <f t="shared" si="6"/>
        <v>79215</v>
      </c>
      <c r="BZ17" s="6">
        <f t="shared" si="7"/>
        <v>0.2250426136</v>
      </c>
      <c r="CA17" s="102">
        <f t="shared" si="8"/>
        <v>366.6545251</v>
      </c>
      <c r="CB17" s="102">
        <f t="shared" si="9"/>
        <v>7039.370856</v>
      </c>
      <c r="CC17" s="102">
        <f t="shared" si="10"/>
        <v>222.1801426</v>
      </c>
      <c r="CE17" s="98" t="s">
        <v>600</v>
      </c>
      <c r="CF17" s="98" t="s">
        <v>600</v>
      </c>
    </row>
    <row r="18">
      <c r="A18" s="29"/>
      <c r="B18" s="40"/>
      <c r="C18" s="41" t="s">
        <v>87</v>
      </c>
      <c r="D18" s="38">
        <f>2000*I18</f>
        <v>96000</v>
      </c>
      <c r="E18" s="38" t="s">
        <v>88</v>
      </c>
      <c r="F18" s="42">
        <f>1000*I18</f>
        <v>48000</v>
      </c>
      <c r="G18" s="43"/>
      <c r="H18" s="56" t="s">
        <v>502</v>
      </c>
      <c r="I18" s="57">
        <v>48.0</v>
      </c>
      <c r="J18" s="100" t="s">
        <v>424</v>
      </c>
      <c r="K18" s="100">
        <v>0.0</v>
      </c>
      <c r="L18" s="45"/>
      <c r="M18" s="45"/>
      <c r="N18" s="45"/>
      <c r="O18" s="45"/>
      <c r="P18" s="45"/>
      <c r="Q18" s="45"/>
      <c r="R18" s="45"/>
      <c r="S18" s="101"/>
      <c r="T18" s="101"/>
      <c r="U18" s="45"/>
      <c r="V18" s="45"/>
      <c r="W18" s="45"/>
      <c r="X18" s="45"/>
      <c r="Y18" s="45"/>
      <c r="Z18" s="45"/>
      <c r="AA18" s="45"/>
      <c r="AB18" s="45"/>
      <c r="AC18" s="45"/>
      <c r="AD18" s="45"/>
      <c r="AE18" s="79"/>
      <c r="AF18" s="45"/>
      <c r="AG18" s="45"/>
      <c r="AH18" s="45"/>
      <c r="AI18" s="45"/>
      <c r="AJ18" s="45"/>
      <c r="AK18" s="45"/>
      <c r="AL18" s="45"/>
      <c r="AM18" s="45"/>
      <c r="AN18" s="45"/>
      <c r="AO18" s="45"/>
      <c r="AP18" s="45"/>
      <c r="AQ18" s="45"/>
      <c r="AR18" s="79"/>
      <c r="AS18" s="45"/>
      <c r="AT18" s="45"/>
      <c r="AU18" s="45"/>
      <c r="AV18" s="45"/>
      <c r="AW18" s="45"/>
      <c r="AX18" s="45"/>
      <c r="AY18" s="45"/>
      <c r="AZ18" s="45"/>
      <c r="BA18" s="45"/>
      <c r="BB18" s="45"/>
      <c r="BC18" s="45"/>
      <c r="BD18" s="45"/>
      <c r="BE18" s="45"/>
      <c r="BF18" s="45"/>
      <c r="BG18" s="46"/>
      <c r="BI18" s="28"/>
      <c r="BQ18" s="6" t="s">
        <v>64</v>
      </c>
      <c r="BR18" s="6">
        <v>315500.0</v>
      </c>
      <c r="BS18" s="6">
        <f>VLOOKUP(BQ18,'Item List'!$A$2:$D$300,2,FALSE)</f>
        <v>1</v>
      </c>
      <c r="BT18" s="6">
        <f>VLOOKUP(BQ18,'Item List'!$A$2:$D$300,3,FALSE)</f>
        <v>5</v>
      </c>
      <c r="BU18" s="6">
        <f>VLOOKUP(BQ18,'Item List'!$A$2:$D$300,4,FALSE)</f>
        <v>2</v>
      </c>
      <c r="BY18" s="6">
        <f t="shared" si="6"/>
        <v>315500</v>
      </c>
      <c r="BZ18" s="6">
        <f t="shared" si="7"/>
        <v>0.8963068182</v>
      </c>
      <c r="CA18" s="102">
        <f t="shared" si="8"/>
        <v>92.05875819</v>
      </c>
      <c r="CB18" s="102">
        <f t="shared" si="9"/>
        <v>1767.428724</v>
      </c>
      <c r="CC18" s="102">
        <f t="shared" si="10"/>
        <v>55.7844691</v>
      </c>
      <c r="CE18" s="5">
        <f>BY48</f>
        <v>1000</v>
      </c>
      <c r="CF18" s="5">
        <f>CC48</f>
        <v>100000</v>
      </c>
    </row>
    <row r="19">
      <c r="A19" s="29"/>
      <c r="B19" s="50"/>
      <c r="C19" s="51"/>
      <c r="D19" s="52"/>
      <c r="E19" s="52"/>
      <c r="F19" s="52"/>
      <c r="G19" s="43"/>
      <c r="H19" s="52"/>
      <c r="I19" s="52"/>
      <c r="J19" s="52"/>
      <c r="K19" s="52"/>
      <c r="L19" s="52"/>
      <c r="M19" s="52"/>
      <c r="N19" s="52"/>
      <c r="O19" s="52"/>
      <c r="P19" s="52"/>
      <c r="Q19" s="52"/>
      <c r="R19" s="52"/>
      <c r="S19" s="52"/>
      <c r="T19" s="52"/>
      <c r="U19" s="52"/>
      <c r="V19" s="52"/>
      <c r="W19" s="52"/>
      <c r="X19" s="52"/>
      <c r="Y19" s="52"/>
      <c r="Z19" s="52"/>
      <c r="AA19" s="52"/>
      <c r="AB19" s="52"/>
      <c r="AC19" s="52"/>
      <c r="AD19" s="52"/>
      <c r="AE19" s="43"/>
      <c r="AF19" s="52"/>
      <c r="AG19" s="52"/>
      <c r="AH19" s="52"/>
      <c r="AI19" s="52"/>
      <c r="AJ19" s="52"/>
      <c r="AK19" s="52"/>
      <c r="AL19" s="52"/>
      <c r="AM19" s="52"/>
      <c r="AN19" s="52"/>
      <c r="AO19" s="52"/>
      <c r="AP19" s="52"/>
      <c r="AQ19" s="52"/>
      <c r="AR19" s="43"/>
      <c r="AS19" s="52"/>
      <c r="AT19" s="52"/>
      <c r="AU19" s="52"/>
      <c r="AV19" s="52"/>
      <c r="AW19" s="52"/>
      <c r="AX19" s="52"/>
      <c r="AY19" s="52"/>
      <c r="AZ19" s="52"/>
      <c r="BA19" s="52"/>
      <c r="BB19" s="52"/>
      <c r="BC19" s="52"/>
      <c r="BD19" s="52"/>
      <c r="BE19" s="52"/>
      <c r="BF19" s="52"/>
      <c r="BG19" s="53"/>
      <c r="BI19" s="28"/>
      <c r="BQ19" s="6" t="s">
        <v>78</v>
      </c>
      <c r="BR19" s="6">
        <v>0.0</v>
      </c>
      <c r="BS19" s="6">
        <f>VLOOKUP(BQ19,'Item List'!$A$2:$D$300,2,FALSE)</f>
        <v>3</v>
      </c>
      <c r="BT19" s="6">
        <f>VLOOKUP(BQ19,'Item List'!$A$2:$D$300,3,FALSE)</f>
        <v>3</v>
      </c>
      <c r="BU19" s="6">
        <f>VLOOKUP(BQ19,'Item List'!$A$2:$D$300,4,FALSE)</f>
        <v>2</v>
      </c>
      <c r="BY19" s="6">
        <f t="shared" si="6"/>
        <v>352000</v>
      </c>
      <c r="BZ19" s="6">
        <f t="shared" si="7"/>
        <v>1</v>
      </c>
      <c r="CA19" s="102">
        <f t="shared" si="8"/>
        <v>82.51289264</v>
      </c>
      <c r="CB19" s="102">
        <f t="shared" si="9"/>
        <v>1584.158416</v>
      </c>
      <c r="CC19" s="102">
        <f t="shared" si="10"/>
        <v>50</v>
      </c>
    </row>
    <row r="20">
      <c r="A20" s="29"/>
      <c r="B20" s="31" t="s">
        <v>601</v>
      </c>
      <c r="C20" s="54"/>
      <c r="D20" s="45"/>
      <c r="E20" s="45"/>
      <c r="F20" s="47"/>
      <c r="G20" s="35"/>
      <c r="H20" s="55" t="s">
        <v>349</v>
      </c>
      <c r="I20" s="38">
        <f>VLOOKUP(H20,'Machine List'!$A$1:$I$300,9,FALSE)</f>
        <v>4000</v>
      </c>
      <c r="J20" s="38">
        <f>IF(VLOOKUP(H20,'Machine List'!$A$1:$I$300,5,FALSE)="Multi",IF(VLOOKUP(H20,'Machine List'!$A$1:$I$300,6,FALSE)="Yes",AG20*3*10^Z20,AG20*(2*3)*10^(Z20-1)),0)</f>
        <v>6</v>
      </c>
      <c r="K20" s="38">
        <f>J20+IF(ISNUMBER(I20),I20,
  SWITCH(
      I20,
      "1T",1*10^Z20,
      "2T",2*10^Z20,
      "3T",3*10^Z20,
      "4T",4*10^Z20,
      "4000+500(7O-5)",4000+500*(7*I21-5),
      1
  )
)</f>
        <v>4006</v>
      </c>
      <c r="L20" s="38">
        <f>IF(VLOOKUP(H20,'Machine List'!$A$1:$I$300,5,FALSE)="Multi",IF(VLOOKUP(H20,'Machine List'!$A$1:$I$300,6,FALSE)="Yes",AU20*3*10^AT20,AU20*(2*3)*10^(AT20-1)),0)</f>
        <v>6000</v>
      </c>
      <c r="M20" s="38">
        <f>L20+IF(ISNUMBER(I20),I20,
  SWITCH(
      I20,
      "1T",1*10^AT20,
      "2T",2*10^AT20,
      "3T",3*10^AT20,
      "4T",4*10^AT20,
      "4000+500(7O-5)",4000+500*(7*I21-5),
      1
  )
)</f>
        <v>10000</v>
      </c>
      <c r="N20" s="38" t="str">
        <f>VLOOKUP(H20,'Machine List'!$A$1:$I$300,8,FALSE)</f>
        <v>Tier</v>
      </c>
      <c r="O20" s="38">
        <f>IF(ISNUMBER(N20),N20,10^Z20)</f>
        <v>10</v>
      </c>
      <c r="P20" s="38">
        <f>IF(ISNUMBER(N20),N20,10^AT20)</f>
        <v>10000</v>
      </c>
      <c r="Q20" s="38">
        <f>VLOOKUP(H20,'Machine List'!$A$1:$B$138,2,FALSE)</f>
        <v>1</v>
      </c>
      <c r="R20" s="38" t="s">
        <v>594</v>
      </c>
      <c r="S20" s="45">
        <f>IF(ISNUMBER(Q20),Q20,
  SWITCH(
      Q20,
      "1",1,
      "2T",Z20*2,
      "4T",Z20*4,
      "6T",Z20*6,
      "8T",Z20*8,
      "10T",Z20*10,
      "12T",Z20*12,
      "14T",Z20*14,
      "16T",Z20*16,
      "2(T+1)",2*(Z20+1),
      "1T*C",Z20*J22,
      1
  )
)</f>
        <v>1</v>
      </c>
      <c r="T20" s="38" t="s">
        <v>277</v>
      </c>
      <c r="U20" s="38">
        <f>IF(OR(T20="No",T20=""),S20,T20)</f>
        <v>1</v>
      </c>
      <c r="V20" s="38">
        <f>IF(ISNUMBER(Q20),Q20,
  SWITCH(
      Q20,
      "1",1,
      "2T",AT20*2,
      "4T",AT20*4,
      "6T",AT20*6,
      "8T",AT20*8,
      "10T",AT20*10,
      "12T",AT20*12,
      "14T",AT20*14,
      "16T",AT20*16,
      "2(T+1)",2*(AT20+1),
      "1T*C",AT20*J22,
      1
  )
)</f>
        <v>1</v>
      </c>
      <c r="W20" s="38" t="str">
        <f>T20</f>
        <v>No</v>
      </c>
      <c r="X20" s="38">
        <f>IF(OR(W20="No",W20=""),V20,W20)</f>
        <v>1</v>
      </c>
      <c r="Y20" s="38" t="s">
        <v>390</v>
      </c>
      <c r="Z20" s="38">
        <f>VLOOKUP(Y20,'Item Helper Sheet'!$A$2:$B$16,2,FALSE)</f>
        <v>1</v>
      </c>
      <c r="AA20" s="38">
        <v>30.0</v>
      </c>
      <c r="AB20" s="38">
        <f>8*20</f>
        <v>160</v>
      </c>
      <c r="AC20" s="38">
        <f>AB20*I22</f>
        <v>2560</v>
      </c>
      <c r="AD20" s="38">
        <f>AA20*AC20</f>
        <v>76800</v>
      </c>
      <c r="AE20" s="75"/>
      <c r="AF20" s="38" t="str">
        <f>Y20</f>
        <v>01 - LV</v>
      </c>
      <c r="AG20" s="38">
        <v>1.0</v>
      </c>
      <c r="AH20" s="38">
        <v>1.0</v>
      </c>
      <c r="AI20" s="38">
        <f>AH20*8*4^Z20</f>
        <v>32</v>
      </c>
      <c r="AJ20" s="38">
        <f>MIN(ROUNDDOWN(AI20/AL20,0),U20)</f>
        <v>1</v>
      </c>
      <c r="AK20" s="38">
        <f>IF(OR(T20="No",T20=""),AG20*S20,AG20*T20)</f>
        <v>1</v>
      </c>
      <c r="AL20" s="38">
        <f>ROUNDUP(AA20*VLOOKUP(H20,'Machine List'!$A$2:$D$219,4,FALSE),0)</f>
        <v>30</v>
      </c>
      <c r="AM20" s="38">
        <f>AL20*AK20</f>
        <v>30</v>
      </c>
      <c r="AN20" s="38">
        <f>ROUNDUP(AB20*I22,0)</f>
        <v>2560</v>
      </c>
      <c r="AO20" s="38">
        <f>ROUNDUP(AN20/VLOOKUP(H20,'Machine List'!$A$2:$D$219,3,FALSE),0)</f>
        <v>2560</v>
      </c>
      <c r="AP20" s="38">
        <f>ROUNDUP(AO20/AK20,0)</f>
        <v>2560</v>
      </c>
      <c r="AQ20" s="38">
        <f>AM20*AP20</f>
        <v>76800</v>
      </c>
      <c r="AR20" s="75"/>
      <c r="AS20" s="38" t="s">
        <v>401</v>
      </c>
      <c r="AT20" s="38">
        <f>VLOOKUP(AS20,'Item Helper Sheet'!$A$2:$B$16,2,FALSE)</f>
        <v>4</v>
      </c>
      <c r="AU20" s="38">
        <f>AG20</f>
        <v>1</v>
      </c>
      <c r="AV20" s="38">
        <v>1.0</v>
      </c>
      <c r="AW20" s="38">
        <f>AV20*8*4^AT20</f>
        <v>2048</v>
      </c>
      <c r="AX20" s="38">
        <f>MIN(ROUNDDOWN(AW20/AL20,0),X20)</f>
        <v>1</v>
      </c>
      <c r="AY20" s="38">
        <f>AX20*AU20</f>
        <v>1</v>
      </c>
      <c r="AZ20" s="38">
        <f>AL20</f>
        <v>30</v>
      </c>
      <c r="BA20" s="38">
        <f>MIN(AT20-Z20,IF(AW20&gt;=AZ21*4,
IF(AW20&gt;=AZ21*4^2,
IF(AW20&gt;=AZ21*4^3,
IF(AW20&gt;=AZ21*4^4,
IF(AW20&gt;=AZ21*4^5,
IF(AW20&gt;=AZ21*4^6,
IF(AW20&gt;=AZ21*4^7,
IF(AW20&gt;=AZ21*4^8,
IF(AW20&gt;=AZ21*4^9,
IF(AW20&gt;=AZ21*4^10,
9),
8),
7),
6),
5),
4),
3),
2),
1),
0))</f>
        <v>3</v>
      </c>
      <c r="BB20" s="38">
        <f>AZ20*AX20*4^BA20</f>
        <v>1920</v>
      </c>
      <c r="BC20" s="38">
        <f>BB20*AU20</f>
        <v>1920</v>
      </c>
      <c r="BD20" s="45">
        <f>ROUNDUP(IF(R20="Yes",AN20/(2^((BA20)*2)),AN20/(2^(BA20))),0)</f>
        <v>40</v>
      </c>
      <c r="BE20" s="45">
        <f>ROUNDUP(BD20/VLOOKUP(H20,'Machine List'!$A$2:$D$219,3,FALSE),0)</f>
        <v>40</v>
      </c>
      <c r="BF20" s="45">
        <f>ROUNDUP(BE20/AY20,0)</f>
        <v>40</v>
      </c>
      <c r="BG20" s="46">
        <f>BF20*BC20</f>
        <v>76800</v>
      </c>
      <c r="BI20" s="28"/>
      <c r="BQ20" s="6" t="s">
        <v>81</v>
      </c>
      <c r="BR20" s="6">
        <v>-225.0</v>
      </c>
      <c r="BS20" s="6">
        <f>VLOOKUP(BQ20,'Item List'!$A$2:$D$300,2,FALSE)</f>
        <v>1</v>
      </c>
      <c r="BT20" s="6">
        <f>VLOOKUP(BQ20,'Item List'!$A$2:$D$300,3,FALSE)</f>
        <v>4</v>
      </c>
      <c r="BU20" s="6">
        <f>VLOOKUP(BQ20,'Item List'!$A$2:$D$300,4,FALSE)</f>
        <v>2</v>
      </c>
      <c r="BY20" s="6">
        <f t="shared" si="6"/>
        <v>83000</v>
      </c>
      <c r="BZ20" s="6">
        <f t="shared" si="7"/>
        <v>0.2357954545</v>
      </c>
      <c r="CA20" s="102">
        <f t="shared" si="8"/>
        <v>349.9341953</v>
      </c>
      <c r="CB20" s="102">
        <f t="shared" si="9"/>
        <v>6718.358583</v>
      </c>
      <c r="CC20" s="102">
        <f t="shared" si="10"/>
        <v>212.0481928</v>
      </c>
      <c r="CE20" s="98" t="s">
        <v>602</v>
      </c>
      <c r="CF20" s="98" t="s">
        <v>583</v>
      </c>
      <c r="CG20" s="98" t="s">
        <v>603</v>
      </c>
      <c r="CH20" s="98" t="s">
        <v>604</v>
      </c>
    </row>
    <row r="21">
      <c r="A21" s="29"/>
      <c r="B21" s="40"/>
      <c r="C21" s="41" t="s">
        <v>230</v>
      </c>
      <c r="D21" s="38">
        <f>12000*I22</f>
        <v>192000</v>
      </c>
      <c r="E21" s="38" t="s">
        <v>106</v>
      </c>
      <c r="F21" s="42">
        <f>12000*I22</f>
        <v>192000</v>
      </c>
      <c r="G21" s="43"/>
      <c r="H21" s="99" t="s">
        <v>584</v>
      </c>
      <c r="I21" s="45">
        <f t="array" ref="I21">match(TRUE,ISBLANK(F21:F33),0)-1</f>
        <v>2</v>
      </c>
      <c r="J21" s="100" t="s">
        <v>420</v>
      </c>
      <c r="K21" s="100" t="s">
        <v>585</v>
      </c>
      <c r="L21" s="38"/>
      <c r="M21" s="38"/>
      <c r="N21" s="38"/>
      <c r="O21" s="38"/>
      <c r="P21" s="38"/>
      <c r="Q21" s="38"/>
      <c r="R21" s="101"/>
      <c r="S21" s="101"/>
      <c r="T21" s="101"/>
      <c r="U21" s="45"/>
      <c r="V21" s="45"/>
      <c r="W21" s="45"/>
      <c r="X21" s="45"/>
      <c r="Y21" s="45"/>
      <c r="Z21" s="45"/>
      <c r="AA21" s="45"/>
      <c r="AB21" s="45"/>
      <c r="AC21" s="45"/>
      <c r="AD21" s="45"/>
      <c r="AE21" s="79"/>
      <c r="AF21" s="45"/>
      <c r="AG21" s="45"/>
      <c r="AH21" s="45"/>
      <c r="AI21" s="45"/>
      <c r="AJ21" s="45"/>
      <c r="AK21" s="45"/>
      <c r="AL21" s="45"/>
      <c r="AM21" s="45"/>
      <c r="AN21" s="45"/>
      <c r="AO21" s="45"/>
      <c r="AP21" s="45"/>
      <c r="AQ21" s="45"/>
      <c r="AR21" s="79"/>
      <c r="AS21" s="45"/>
      <c r="AT21" s="45"/>
      <c r="AU21" s="45"/>
      <c r="AV21" s="45"/>
      <c r="AW21" s="45"/>
      <c r="AX21" s="45"/>
      <c r="AY21" s="45"/>
      <c r="AZ21" s="45">
        <f>AZ20*AX20</f>
        <v>30</v>
      </c>
      <c r="BA21" s="45"/>
      <c r="BB21" s="45"/>
      <c r="BC21" s="45"/>
      <c r="BD21" s="45"/>
      <c r="BE21" s="45"/>
      <c r="BF21" s="45"/>
      <c r="BG21" s="46"/>
      <c r="BI21" s="28"/>
      <c r="BQ21" s="6" t="s">
        <v>83</v>
      </c>
      <c r="BR21" s="6">
        <v>352000.0</v>
      </c>
      <c r="BS21" s="6">
        <f>VLOOKUP(BQ21,'Item List'!$A$2:$D$300,2,FALSE)</f>
        <v>4</v>
      </c>
      <c r="BT21" s="6">
        <f>VLOOKUP(BQ21,'Item List'!$A$2:$D$300,3,FALSE)</f>
        <v>3</v>
      </c>
      <c r="BU21" s="6">
        <f>VLOOKUP(BQ21,'Item List'!$A$2:$D$300,4,FALSE)</f>
        <v>3</v>
      </c>
      <c r="BY21" s="6">
        <f t="shared" si="6"/>
        <v>383000</v>
      </c>
      <c r="BZ21" s="6">
        <f t="shared" si="7"/>
        <v>1.088068182</v>
      </c>
      <c r="CA21" s="102">
        <f t="shared" si="8"/>
        <v>75.83430342</v>
      </c>
      <c r="CB21" s="102">
        <f t="shared" si="9"/>
        <v>1455.936716</v>
      </c>
      <c r="CC21" s="102">
        <f t="shared" si="10"/>
        <v>45.95300261</v>
      </c>
      <c r="CE21" s="5" t="str">
        <f t="shared" ref="CE21:CF21" si="11">CE6</f>
        <v>High Octane Gasoline</v>
      </c>
      <c r="CF21" s="5">
        <f t="shared" si="11"/>
        <v>352000</v>
      </c>
      <c r="CG21" s="4">
        <v>2500.0</v>
      </c>
      <c r="CH21" s="109">
        <v>1.5</v>
      </c>
    </row>
    <row r="22">
      <c r="A22" s="29"/>
      <c r="B22" s="40"/>
      <c r="C22" s="41" t="s">
        <v>87</v>
      </c>
      <c r="D22" s="38">
        <f>2000*I22</f>
        <v>32000</v>
      </c>
      <c r="E22" s="38" t="s">
        <v>88</v>
      </c>
      <c r="F22" s="42">
        <f>1000*I22</f>
        <v>16000</v>
      </c>
      <c r="G22" s="43"/>
      <c r="H22" s="56" t="s">
        <v>502</v>
      </c>
      <c r="I22" s="57">
        <v>16.0</v>
      </c>
      <c r="J22" s="100" t="s">
        <v>424</v>
      </c>
      <c r="K22" s="100">
        <v>0.0</v>
      </c>
      <c r="L22" s="45"/>
      <c r="M22" s="45"/>
      <c r="N22" s="45"/>
      <c r="O22" s="45"/>
      <c r="P22" s="45"/>
      <c r="Q22" s="45"/>
      <c r="R22" s="45"/>
      <c r="S22" s="101"/>
      <c r="T22" s="101"/>
      <c r="U22" s="45"/>
      <c r="V22" s="45"/>
      <c r="W22" s="45"/>
      <c r="X22" s="45"/>
      <c r="Y22" s="45"/>
      <c r="Z22" s="45"/>
      <c r="AA22" s="45"/>
      <c r="AB22" s="45"/>
      <c r="AC22" s="45"/>
      <c r="AD22" s="45"/>
      <c r="AE22" s="79"/>
      <c r="AF22" s="45"/>
      <c r="AG22" s="45"/>
      <c r="AH22" s="45"/>
      <c r="AI22" s="45"/>
      <c r="AJ22" s="45"/>
      <c r="AK22" s="45"/>
      <c r="AL22" s="45"/>
      <c r="AM22" s="45"/>
      <c r="AN22" s="45"/>
      <c r="AO22" s="45"/>
      <c r="AP22" s="45"/>
      <c r="AQ22" s="45"/>
      <c r="AR22" s="79"/>
      <c r="AS22" s="45"/>
      <c r="AT22" s="45"/>
      <c r="AU22" s="45"/>
      <c r="AV22" s="45"/>
      <c r="AW22" s="45"/>
      <c r="AX22" s="45"/>
      <c r="AY22" s="45"/>
      <c r="AZ22" s="45"/>
      <c r="BA22" s="45"/>
      <c r="BB22" s="45"/>
      <c r="BC22" s="45"/>
      <c r="BD22" s="45"/>
      <c r="BE22" s="45"/>
      <c r="BF22" s="45"/>
      <c r="BG22" s="46"/>
      <c r="BI22" s="28"/>
      <c r="BQ22" s="6" t="s">
        <v>87</v>
      </c>
      <c r="BR22" s="6">
        <v>-794000.0</v>
      </c>
      <c r="BS22" s="6">
        <f>VLOOKUP(BQ22,'Item List'!$A$2:$D$300,2,FALSE)</f>
        <v>1</v>
      </c>
      <c r="BT22" s="6">
        <f>VLOOKUP(BQ22,'Item List'!$A$2:$D$300,3,FALSE)</f>
        <v>4</v>
      </c>
      <c r="BU22" s="6">
        <f>VLOOKUP(BQ22,'Item List'!$A$2:$D$300,4,FALSE)</f>
        <v>1</v>
      </c>
      <c r="BY22" s="6">
        <f t="shared" si="6"/>
        <v>54665</v>
      </c>
      <c r="BZ22" s="6">
        <f t="shared" si="7"/>
        <v>0.1552982955</v>
      </c>
      <c r="CA22" s="102">
        <f t="shared" si="8"/>
        <v>531.318727</v>
      </c>
      <c r="CB22" s="102">
        <f t="shared" si="9"/>
        <v>10200.74568</v>
      </c>
      <c r="CC22" s="102">
        <f t="shared" si="10"/>
        <v>321.9610354</v>
      </c>
      <c r="CD22" s="102"/>
      <c r="CH22" s="5"/>
    </row>
    <row r="23">
      <c r="A23" s="29"/>
      <c r="B23" s="50"/>
      <c r="C23" s="51"/>
      <c r="D23" s="52"/>
      <c r="E23" s="52"/>
      <c r="F23" s="52"/>
      <c r="G23" s="43"/>
      <c r="H23" s="52"/>
      <c r="I23" s="52"/>
      <c r="J23" s="52"/>
      <c r="K23" s="52"/>
      <c r="L23" s="52"/>
      <c r="M23" s="52"/>
      <c r="N23" s="52"/>
      <c r="O23" s="52"/>
      <c r="P23" s="52"/>
      <c r="Q23" s="52"/>
      <c r="R23" s="52"/>
      <c r="S23" s="52"/>
      <c r="T23" s="52"/>
      <c r="U23" s="52"/>
      <c r="V23" s="52"/>
      <c r="W23" s="52"/>
      <c r="X23" s="52"/>
      <c r="Y23" s="52"/>
      <c r="Z23" s="52"/>
      <c r="AA23" s="52"/>
      <c r="AB23" s="52"/>
      <c r="AC23" s="52"/>
      <c r="AD23" s="52"/>
      <c r="AE23" s="43"/>
      <c r="AF23" s="52"/>
      <c r="AG23" s="52"/>
      <c r="AH23" s="52"/>
      <c r="AI23" s="52"/>
      <c r="AJ23" s="52"/>
      <c r="AK23" s="52"/>
      <c r="AL23" s="52"/>
      <c r="AM23" s="52"/>
      <c r="AN23" s="52"/>
      <c r="AO23" s="52"/>
      <c r="AP23" s="52"/>
      <c r="AQ23" s="52"/>
      <c r="AR23" s="43"/>
      <c r="AS23" s="52"/>
      <c r="AT23" s="52"/>
      <c r="AU23" s="52"/>
      <c r="AV23" s="52"/>
      <c r="AW23" s="52"/>
      <c r="AX23" s="52"/>
      <c r="AY23" s="52"/>
      <c r="AZ23" s="52"/>
      <c r="BA23" s="52"/>
      <c r="BB23" s="52"/>
      <c r="BC23" s="52"/>
      <c r="BD23" s="52"/>
      <c r="BE23" s="52"/>
      <c r="BF23" s="52"/>
      <c r="BG23" s="53"/>
      <c r="BI23" s="28"/>
      <c r="BQ23" s="6" t="s">
        <v>88</v>
      </c>
      <c r="BR23" s="6">
        <v>83000.0</v>
      </c>
      <c r="BS23" s="6">
        <f>VLOOKUP(BQ23,'Item List'!$A$2:$D$300,2,FALSE)</f>
        <v>1</v>
      </c>
      <c r="BT23" s="6">
        <f>VLOOKUP(BQ23,'Item List'!$A$2:$D$300,3,FALSE)</f>
        <v>4</v>
      </c>
      <c r="BU23" s="6">
        <f>VLOOKUP(BQ23,'Item List'!$A$2:$D$300,4,FALSE)</f>
        <v>2</v>
      </c>
      <c r="BY23" s="6">
        <f t="shared" si="6"/>
        <v>213300</v>
      </c>
      <c r="BZ23" s="6">
        <f t="shared" si="7"/>
        <v>0.6059659091</v>
      </c>
      <c r="CA23" s="102">
        <f t="shared" si="8"/>
        <v>136.167549</v>
      </c>
      <c r="CB23" s="102">
        <f t="shared" si="9"/>
        <v>2614.269866</v>
      </c>
      <c r="CC23" s="102">
        <f t="shared" si="10"/>
        <v>82.51289264</v>
      </c>
      <c r="CE23" s="98" t="s">
        <v>608</v>
      </c>
      <c r="CF23" s="98" t="s">
        <v>609</v>
      </c>
      <c r="CG23" s="98" t="s">
        <v>610</v>
      </c>
      <c r="CH23" s="5"/>
    </row>
    <row r="24">
      <c r="A24" s="29"/>
      <c r="B24" s="31" t="s">
        <v>611</v>
      </c>
      <c r="C24" s="54"/>
      <c r="D24" s="45"/>
      <c r="E24" s="45"/>
      <c r="F24" s="47"/>
      <c r="G24" s="35"/>
      <c r="H24" s="55" t="s">
        <v>349</v>
      </c>
      <c r="I24" s="38">
        <f>VLOOKUP(H24,'Machine List'!$A$1:$I$300,9,FALSE)</f>
        <v>4000</v>
      </c>
      <c r="J24" s="38">
        <f>IF(VLOOKUP(H24,'Machine List'!$A$1:$I$300,5,FALSE)="Multi",IF(VLOOKUP(H24,'Machine List'!$A$1:$I$300,6,FALSE)="Yes",AG24*3*10^Z24,AG24*(2*3)*10^(Z24-1)),0)</f>
        <v>6</v>
      </c>
      <c r="K24" s="38">
        <f>J24+IF(ISNUMBER(I24),I24,
  SWITCH(
      I24,
      "1T",1*10^Z24,
      "2T",2*10^Z24,
      "3T",3*10^Z24,
      "4T",4*10^Z24,
      "4000+500(7O-5)",4000+500*(7*I25-5),
      1
  )
)</f>
        <v>4006</v>
      </c>
      <c r="L24" s="38">
        <f>IF(VLOOKUP(H24,'Machine List'!$A$1:$I$300,5,FALSE)="Multi",IF(VLOOKUP(H24,'Machine List'!$A$1:$I$300,6,FALSE)="Yes",AU24*3*10^AT24,AU24*(2*3)*10^(AT24-1)),0)</f>
        <v>6000</v>
      </c>
      <c r="M24" s="38">
        <f>L24+IF(ISNUMBER(I24),I24,
  SWITCH(
      I24,
      "1T",1*10^AT24,
      "2T",2*10^AT24,
      "3T",3*10^AT24,
      "4T",4*10^AT24,
      "4000+500(7O-5)",4000+500*(7*I25-5),
      1
  )
)</f>
        <v>10000</v>
      </c>
      <c r="N24" s="38" t="str">
        <f>VLOOKUP(H24,'Machine List'!$A$1:$I$300,8,FALSE)</f>
        <v>Tier</v>
      </c>
      <c r="O24" s="38">
        <f>IF(ISNUMBER(N24),N24,10^Z24)</f>
        <v>10</v>
      </c>
      <c r="P24" s="38">
        <f>IF(ISNUMBER(N24),N24,10^AT24)</f>
        <v>10000</v>
      </c>
      <c r="Q24" s="38">
        <f>VLOOKUP(H24,'Machine List'!$A$1:$B$138,2,FALSE)</f>
        <v>1</v>
      </c>
      <c r="R24" s="38" t="s">
        <v>594</v>
      </c>
      <c r="S24" s="45">
        <f>IF(ISNUMBER(Q24),Q24,
  SWITCH(
      Q24,
      "1",1,
      "2T",Z24*2,
      "4T",Z24*4,
      "6T",Z24*6,
      "8T",Z24*8,
      "10T",Z24*10,
      "12T",Z24*12,
      "14T",Z24*14,
      "16T",Z24*16,
      "2(T+1)",2*(Z24+1),
      "1T*C",Z24*J26,
      1
  )
)</f>
        <v>1</v>
      </c>
      <c r="T24" s="38" t="s">
        <v>277</v>
      </c>
      <c r="U24" s="38">
        <f>IF(OR(T24="No",T24=""),S24,T24)</f>
        <v>1</v>
      </c>
      <c r="V24" s="38">
        <f>IF(ISNUMBER(Q24),Q24,
  SWITCH(
      Q24,
      "1",1,
      "2T",AT24*2,
      "4T",AT24*4,
      "6T",AT24*6,
      "8T",AT24*8,
      "10T",AT24*10,
      "12T",AT24*12,
      "14T",AT24*14,
      "16T",AT24*16,
      "2(T+1)",2*(AT24+1),
      "1T*C",AT24*J26,
      1
  )
)</f>
        <v>1</v>
      </c>
      <c r="W24" s="38" t="str">
        <f>T24</f>
        <v>No</v>
      </c>
      <c r="X24" s="38">
        <f>IF(OR(W24="No",W24=""),V24,W24)</f>
        <v>1</v>
      </c>
      <c r="Y24" s="38" t="s">
        <v>390</v>
      </c>
      <c r="Z24" s="38">
        <f>VLOOKUP(Y24,'Item Helper Sheet'!$A$2:$B$16,2,FALSE)</f>
        <v>1</v>
      </c>
      <c r="AA24" s="38">
        <v>30.0</v>
      </c>
      <c r="AB24" s="38">
        <f>8*20</f>
        <v>160</v>
      </c>
      <c r="AC24" s="38">
        <f>AB24*I26</f>
        <v>800</v>
      </c>
      <c r="AD24" s="38">
        <f>AA24*AC24</f>
        <v>24000</v>
      </c>
      <c r="AE24" s="75"/>
      <c r="AF24" s="38" t="str">
        <f>Y24</f>
        <v>01 - LV</v>
      </c>
      <c r="AG24" s="38">
        <v>1.0</v>
      </c>
      <c r="AH24" s="38">
        <v>1.0</v>
      </c>
      <c r="AI24" s="38">
        <f>AH24*8*4^Z24</f>
        <v>32</v>
      </c>
      <c r="AJ24" s="38">
        <f>MIN(ROUNDDOWN(AI24/AL24,0),U24)</f>
        <v>1</v>
      </c>
      <c r="AK24" s="38">
        <f>IF(OR(T24="No",T24=""),AG24*S24,AG24*T24)</f>
        <v>1</v>
      </c>
      <c r="AL24" s="38">
        <f>ROUNDUP(AA24*VLOOKUP(H24,'Machine List'!$A$2:$D$219,4,FALSE),0)</f>
        <v>30</v>
      </c>
      <c r="AM24" s="38">
        <f>AL24*AK24</f>
        <v>30</v>
      </c>
      <c r="AN24" s="38">
        <f>ROUNDUP(AB24*I26,0)</f>
        <v>800</v>
      </c>
      <c r="AO24" s="38">
        <f>ROUNDUP(AN24/VLOOKUP(H24,'Machine List'!$A$2:$D$219,3,FALSE),0)</f>
        <v>800</v>
      </c>
      <c r="AP24" s="38">
        <f>ROUNDUP(AO24/AK24,0)</f>
        <v>800</v>
      </c>
      <c r="AQ24" s="38">
        <f>AM24*AP24</f>
        <v>24000</v>
      </c>
      <c r="AR24" s="75"/>
      <c r="AS24" s="38" t="s">
        <v>401</v>
      </c>
      <c r="AT24" s="38">
        <f>VLOOKUP(AS24,'Item Helper Sheet'!$A$2:$B$16,2,FALSE)</f>
        <v>4</v>
      </c>
      <c r="AU24" s="38">
        <f>AG24</f>
        <v>1</v>
      </c>
      <c r="AV24" s="38">
        <v>1.0</v>
      </c>
      <c r="AW24" s="38">
        <f>AV24*8*4^AT24</f>
        <v>2048</v>
      </c>
      <c r="AX24" s="38">
        <f>MIN(ROUNDDOWN(AW24/AL24,0),X24)</f>
        <v>1</v>
      </c>
      <c r="AY24" s="38">
        <f>AX24*AU24</f>
        <v>1</v>
      </c>
      <c r="AZ24" s="38">
        <f>AL24</f>
        <v>30</v>
      </c>
      <c r="BA24" s="38">
        <f>MIN(AT24-Z24,IF(AW24&gt;=AZ25*4,
IF(AW24&gt;=AZ25*4^2,
IF(AW24&gt;=AZ25*4^3,
IF(AW24&gt;=AZ25*4^4,
IF(AW24&gt;=AZ25*4^5,
IF(AW24&gt;=AZ25*4^6,
IF(AW24&gt;=AZ25*4^7,
IF(AW24&gt;=AZ25*4^8,
IF(AW24&gt;=AZ25*4^9,
IF(AW24&gt;=AZ25*4^10,
9),
8),
7),
6),
5),
4),
3),
2),
1),
0))</f>
        <v>3</v>
      </c>
      <c r="BB24" s="38">
        <f>AZ24*AX24*4^BA24</f>
        <v>1920</v>
      </c>
      <c r="BC24" s="38">
        <f>BB24*AU24</f>
        <v>1920</v>
      </c>
      <c r="BD24" s="45">
        <f>ROUNDUP(IF(R24="Yes",AN24/(2^((BA24)*2)),AN24/(2^(BA24))),0)</f>
        <v>13</v>
      </c>
      <c r="BE24" s="45">
        <f>ROUNDUP(BD24/VLOOKUP(H24,'Machine List'!$A$2:$D$219,3,FALSE),0)</f>
        <v>13</v>
      </c>
      <c r="BF24" s="45">
        <f>ROUNDUP(BE24/AY24,0)</f>
        <v>13</v>
      </c>
      <c r="BG24" s="46">
        <f>BF24*BC24</f>
        <v>24960</v>
      </c>
      <c r="BI24" s="28"/>
      <c r="BQ24" s="6" t="s">
        <v>104</v>
      </c>
      <c r="BR24" s="6">
        <v>0.0</v>
      </c>
      <c r="BS24" s="6">
        <f>VLOOKUP(BQ24,'Item List'!$A$2:$D$300,2,FALSE)</f>
        <v>1</v>
      </c>
      <c r="BT24" s="6">
        <f>VLOOKUP(BQ24,'Item List'!$A$2:$D$300,3,FALSE)</f>
        <v>3</v>
      </c>
      <c r="BU24" s="6">
        <f>VLOOKUP(BQ24,'Item List'!$A$2:$D$300,4,FALSE)</f>
        <v>2</v>
      </c>
      <c r="BY24" s="6">
        <f t="shared" si="6"/>
        <v>204000</v>
      </c>
      <c r="BZ24" s="6">
        <f t="shared" si="7"/>
        <v>0.5795454545</v>
      </c>
      <c r="CA24" s="102">
        <f t="shared" si="8"/>
        <v>142.3751873</v>
      </c>
      <c r="CB24" s="102">
        <f t="shared" si="9"/>
        <v>2733.449816</v>
      </c>
      <c r="CC24" s="102">
        <f t="shared" si="10"/>
        <v>86.2745098</v>
      </c>
      <c r="CE24" s="5">
        <f>CF21*CG21*CH21</f>
        <v>1320000000</v>
      </c>
      <c r="CF24" s="5">
        <f>BM70</f>
        <v>171138048</v>
      </c>
      <c r="CG24" s="110">
        <f>1-(CF24/CE24)</f>
        <v>0.8703499636</v>
      </c>
      <c r="CH24" s="5"/>
    </row>
    <row r="25">
      <c r="A25" s="29"/>
      <c r="B25" s="40"/>
      <c r="C25" s="41" t="s">
        <v>229</v>
      </c>
      <c r="D25" s="38">
        <f>8000*I26</f>
        <v>40000</v>
      </c>
      <c r="E25" s="38" t="s">
        <v>81</v>
      </c>
      <c r="F25" s="42">
        <f>8000*I26</f>
        <v>40000</v>
      </c>
      <c r="G25" s="43"/>
      <c r="H25" s="99" t="s">
        <v>584</v>
      </c>
      <c r="I25" s="45">
        <f t="array" ref="I25">match(TRUE,ISBLANK(F25:F37),0)-1</f>
        <v>2</v>
      </c>
      <c r="J25" s="100" t="s">
        <v>420</v>
      </c>
      <c r="K25" s="100" t="s">
        <v>585</v>
      </c>
      <c r="L25" s="38"/>
      <c r="M25" s="38"/>
      <c r="N25" s="38"/>
      <c r="O25" s="38"/>
      <c r="P25" s="38"/>
      <c r="Q25" s="38"/>
      <c r="R25" s="101"/>
      <c r="S25" s="101"/>
      <c r="T25" s="101"/>
      <c r="U25" s="45"/>
      <c r="V25" s="45"/>
      <c r="W25" s="45"/>
      <c r="X25" s="45"/>
      <c r="Y25" s="45"/>
      <c r="Z25" s="45"/>
      <c r="AA25" s="45"/>
      <c r="AB25" s="45"/>
      <c r="AC25" s="45"/>
      <c r="AD25" s="45"/>
      <c r="AE25" s="79"/>
      <c r="AF25" s="45"/>
      <c r="AG25" s="45"/>
      <c r="AH25" s="45"/>
      <c r="AI25" s="45"/>
      <c r="AJ25" s="45"/>
      <c r="AK25" s="45"/>
      <c r="AL25" s="45"/>
      <c r="AM25" s="45"/>
      <c r="AN25" s="45"/>
      <c r="AO25" s="45"/>
      <c r="AP25" s="45"/>
      <c r="AQ25" s="45"/>
      <c r="AR25" s="79"/>
      <c r="AS25" s="45"/>
      <c r="AT25" s="45"/>
      <c r="AU25" s="45"/>
      <c r="AV25" s="45"/>
      <c r="AW25" s="45"/>
      <c r="AX25" s="45"/>
      <c r="AY25" s="45"/>
      <c r="AZ25" s="45">
        <f>AZ24*AX24</f>
        <v>30</v>
      </c>
      <c r="BA25" s="45"/>
      <c r="BB25" s="45"/>
      <c r="BC25" s="45"/>
      <c r="BD25" s="45"/>
      <c r="BE25" s="45"/>
      <c r="BF25" s="45"/>
      <c r="BG25" s="46"/>
      <c r="BI25" s="28"/>
      <c r="BQ25" s="6" t="s">
        <v>106</v>
      </c>
      <c r="BR25" s="6">
        <v>7550.0</v>
      </c>
      <c r="BS25" s="6">
        <f>VLOOKUP(BQ25,'Item List'!$A$2:$D$300,2,FALSE)</f>
        <v>1</v>
      </c>
      <c r="BT25" s="6">
        <f>VLOOKUP(BQ25,'Item List'!$A$2:$D$300,3,FALSE)</f>
        <v>4</v>
      </c>
      <c r="BU25" s="6">
        <f>VLOOKUP(BQ25,'Item List'!$A$2:$D$300,4,FALSE)</f>
        <v>2</v>
      </c>
      <c r="CH25" s="5"/>
    </row>
    <row r="26">
      <c r="A26" s="29"/>
      <c r="B26" s="40"/>
      <c r="C26" s="41" t="s">
        <v>87</v>
      </c>
      <c r="D26" s="38">
        <f>2000*I26</f>
        <v>10000</v>
      </c>
      <c r="E26" s="38" t="s">
        <v>88</v>
      </c>
      <c r="F26" s="42">
        <f>1000*I26</f>
        <v>5000</v>
      </c>
      <c r="G26" s="43"/>
      <c r="H26" s="56" t="s">
        <v>502</v>
      </c>
      <c r="I26" s="57">
        <v>5.0</v>
      </c>
      <c r="J26" s="100" t="s">
        <v>424</v>
      </c>
      <c r="K26" s="100">
        <v>0.0</v>
      </c>
      <c r="L26" s="45"/>
      <c r="M26" s="45"/>
      <c r="N26" s="45"/>
      <c r="O26" s="45"/>
      <c r="P26" s="45"/>
      <c r="Q26" s="45"/>
      <c r="R26" s="45"/>
      <c r="S26" s="101"/>
      <c r="T26" s="101"/>
      <c r="U26" s="45"/>
      <c r="V26" s="45"/>
      <c r="W26" s="45"/>
      <c r="X26" s="45"/>
      <c r="Y26" s="45"/>
      <c r="Z26" s="45"/>
      <c r="AA26" s="45"/>
      <c r="AB26" s="45"/>
      <c r="AC26" s="45"/>
      <c r="AD26" s="45"/>
      <c r="AE26" s="79"/>
      <c r="AF26" s="45"/>
      <c r="AG26" s="45"/>
      <c r="AH26" s="45"/>
      <c r="AI26" s="45"/>
      <c r="AJ26" s="45"/>
      <c r="AK26" s="45"/>
      <c r="AL26" s="45"/>
      <c r="AM26" s="45"/>
      <c r="AN26" s="45"/>
      <c r="AO26" s="45"/>
      <c r="AP26" s="45"/>
      <c r="AQ26" s="45"/>
      <c r="AR26" s="79"/>
      <c r="AS26" s="45"/>
      <c r="AT26" s="45"/>
      <c r="AU26" s="45"/>
      <c r="AV26" s="45"/>
      <c r="AW26" s="45"/>
      <c r="AX26" s="45"/>
      <c r="AY26" s="45"/>
      <c r="AZ26" s="45"/>
      <c r="BA26" s="45"/>
      <c r="BB26" s="45"/>
      <c r="BC26" s="45"/>
      <c r="BD26" s="45"/>
      <c r="BE26" s="45"/>
      <c r="BF26" s="45"/>
      <c r="BG26" s="46"/>
      <c r="BI26" s="28"/>
      <c r="BQ26" s="6" t="s">
        <v>118</v>
      </c>
      <c r="BR26" s="6">
        <v>383000.0</v>
      </c>
      <c r="BS26" s="6">
        <f>VLOOKUP(BQ26,'Item List'!$A$2:$D$300,2,FALSE)</f>
        <v>1</v>
      </c>
      <c r="BT26" s="6">
        <f>VLOOKUP(BQ26,'Item List'!$A$2:$D$300,3,FALSE)</f>
        <v>4</v>
      </c>
      <c r="BU26" s="6">
        <f>VLOOKUP(BQ26,'Item List'!$A$2:$D$300,4,FALSE)</f>
        <v>2</v>
      </c>
      <c r="CE26" s="98" t="s">
        <v>612</v>
      </c>
      <c r="CF26" s="98" t="s">
        <v>613</v>
      </c>
      <c r="CG26" s="98" t="s">
        <v>614</v>
      </c>
    </row>
    <row r="27">
      <c r="B27" s="50"/>
      <c r="C27" s="51"/>
      <c r="D27" s="52"/>
      <c r="E27" s="52"/>
      <c r="F27" s="52"/>
      <c r="G27" s="43"/>
      <c r="H27" s="52"/>
      <c r="I27" s="52"/>
      <c r="J27" s="52"/>
      <c r="K27" s="52"/>
      <c r="L27" s="52"/>
      <c r="M27" s="52"/>
      <c r="N27" s="52"/>
      <c r="O27" s="52"/>
      <c r="P27" s="52"/>
      <c r="Q27" s="52"/>
      <c r="R27" s="52"/>
      <c r="S27" s="52"/>
      <c r="T27" s="52"/>
      <c r="U27" s="52"/>
      <c r="V27" s="52"/>
      <c r="W27" s="52"/>
      <c r="X27" s="52"/>
      <c r="Y27" s="52"/>
      <c r="Z27" s="52"/>
      <c r="AA27" s="52"/>
      <c r="AB27" s="52"/>
      <c r="AC27" s="52"/>
      <c r="AD27" s="52"/>
      <c r="AE27" s="43"/>
      <c r="AF27" s="52"/>
      <c r="AG27" s="52"/>
      <c r="AH27" s="52"/>
      <c r="AI27" s="52"/>
      <c r="AJ27" s="52"/>
      <c r="AK27" s="52"/>
      <c r="AL27" s="52"/>
      <c r="AM27" s="52"/>
      <c r="AN27" s="52"/>
      <c r="AO27" s="52"/>
      <c r="AP27" s="52"/>
      <c r="AQ27" s="52"/>
      <c r="AR27" s="43"/>
      <c r="AS27" s="52"/>
      <c r="AT27" s="52"/>
      <c r="AU27" s="52"/>
      <c r="AV27" s="52"/>
      <c r="AW27" s="52"/>
      <c r="AX27" s="52"/>
      <c r="AY27" s="52"/>
      <c r="AZ27" s="52"/>
      <c r="BA27" s="52"/>
      <c r="BB27" s="52"/>
      <c r="BC27" s="52"/>
      <c r="BD27" s="52"/>
      <c r="BE27" s="52"/>
      <c r="BF27" s="52"/>
      <c r="BG27" s="53"/>
      <c r="BI27" s="28"/>
      <c r="BQ27" s="6" t="s">
        <v>119</v>
      </c>
      <c r="BR27" s="6">
        <v>-19500.0</v>
      </c>
      <c r="BS27" s="6">
        <f>VLOOKUP(BQ27,'Item List'!$A$2:$D$300,2,FALSE)</f>
        <v>1</v>
      </c>
      <c r="BT27" s="6">
        <f>VLOOKUP(BQ27,'Item List'!$A$2:$D$300,3,FALSE)</f>
        <v>3</v>
      </c>
      <c r="BU27" s="6">
        <f>VLOOKUP(BQ27,'Item List'!$A$2:$D$300,4,FALSE)</f>
        <v>2</v>
      </c>
      <c r="BW27" s="6" t="s">
        <v>457</v>
      </c>
      <c r="BX27" s="6" t="s">
        <v>607</v>
      </c>
      <c r="BY27" s="6" t="s">
        <v>545</v>
      </c>
      <c r="CA27" s="6" t="s">
        <v>457</v>
      </c>
      <c r="CB27" s="6" t="s">
        <v>620</v>
      </c>
      <c r="CC27" s="6" t="s">
        <v>546</v>
      </c>
      <c r="CE27" s="5">
        <f>CE24-CF24</f>
        <v>1148861952</v>
      </c>
      <c r="CF27" s="5">
        <f>BP71</f>
        <v>4444</v>
      </c>
      <c r="CG27" s="5">
        <f>CE27/CF27</f>
        <v>258519.7912</v>
      </c>
    </row>
    <row r="28">
      <c r="B28" s="31" t="s">
        <v>658</v>
      </c>
      <c r="C28" s="54"/>
      <c r="D28" s="45"/>
      <c r="E28" s="45"/>
      <c r="F28" s="47"/>
      <c r="G28" s="35"/>
      <c r="H28" s="55" t="s">
        <v>357</v>
      </c>
      <c r="I28" s="38" t="str">
        <f>VLOOKUP(H28,'Machine List'!$A$1:$I$300,9,FALSE)</f>
        <v>13500 + 16C</v>
      </c>
      <c r="J28" s="38">
        <f>IF(VLOOKUP(H28,'Machine List'!$A$1:$I$300,5,FALSE)="Multi",IF(VLOOKUP(H28,'Machine List'!$A$1:$I$300,6,FALSE)="Yes",AG28*3*10^Z28,AG28*(2*3)*10^(Z28-1)),0)</f>
        <v>6</v>
      </c>
      <c r="K28" s="38">
        <f>J28+IF(ISNUMBER(I28),I28,
  SWITCH(
      I28,
      "1T",1*10^Z28,
      "2T",2*10^Z28,
      "3T",3*10^Z28,
      "4T",4*10^Z28,
      "4000+500(7O-5)",4000+500*(7*I29-5),
      1
  )
)</f>
        <v>7</v>
      </c>
      <c r="L28" s="38">
        <f>IF(VLOOKUP(H28,'Machine List'!$A$1:$I$300,5,FALSE)="Multi",IF(VLOOKUP(H28,'Machine List'!$A$1:$I$300,6,FALSE)="Yes",AU28*3*10^AT28,AU28*(2*3)*10^(AT28-1)),0)</f>
        <v>120000</v>
      </c>
      <c r="M28" s="38">
        <f>L28+IF(ISNUMBER(I28),I28,
  SWITCH(
      I28,
      "1T",1*10^AT28,
      "2T",2*10^AT28,
      "3T",3*10^AT28,
      "4T",4*10^AT28,
      "4000+500(7O-5)",4000+500*(7*I29-5),
      1
  )
)</f>
        <v>120001</v>
      </c>
      <c r="N28" s="38" t="str">
        <f>VLOOKUP(H28,'Machine List'!$A$1:$I$300,8,FALSE)</f>
        <v>Tier</v>
      </c>
      <c r="O28" s="38">
        <f>IF(ISNUMBER(N28),N28,10^Z28)</f>
        <v>10</v>
      </c>
      <c r="P28" s="38">
        <f>IF(ISNUMBER(N28),N28,10^AT28)</f>
        <v>100000</v>
      </c>
      <c r="Q28" s="38">
        <f>VLOOKUP(H28,'Machine List'!$A$1:$B$138,2,FALSE)</f>
        <v>1</v>
      </c>
      <c r="R28" s="38" t="s">
        <v>277</v>
      </c>
      <c r="S28" s="45">
        <f>IF(ISNUMBER(Q28),Q28,
  SWITCH(
      Q28,
      "1",1,
      "2T",Z28*2,
      "4T",Z28*4,
      "6T",Z28*6,
      "8T",Z28*8,
      "10T",Z28*10,
      "12T",Z28*12,
      "14T",Z28*14,
      "16T",Z28*16,
      "2(T+1)",2*(Z28+1),
      "1T*C",Z28*J30,
      1
  )
)</f>
        <v>1</v>
      </c>
      <c r="T28" s="38" t="s">
        <v>277</v>
      </c>
      <c r="U28" s="38">
        <f>IF(OR(T28="No",T28=""),S28,T28)</f>
        <v>1</v>
      </c>
      <c r="V28" s="38">
        <f>IF(ISNUMBER(Q28),Q28,
  SWITCH(
      Q28,
      "1",1,
      "2T",AT28*2,
      "4T",AT28*4,
      "6T",AT28*6,
      "8T",AT28*8,
      "10T",AT28*10,
      "12T",AT28*12,
      "14T",AT28*14,
      "16T",AT28*16,
      "2(T+1)",2*(AT28+1),
      "1T*C",AT28*J30,
      1
  )
)</f>
        <v>1</v>
      </c>
      <c r="W28" s="38" t="str">
        <f>T28</f>
        <v>No</v>
      </c>
      <c r="X28" s="38">
        <f>IF(OR(W28="No",W28=""),V28,W28)</f>
        <v>1</v>
      </c>
      <c r="Y28" s="38" t="s">
        <v>390</v>
      </c>
      <c r="Z28" s="38">
        <f>VLOOKUP(Y28,'Item Helper Sheet'!$A$2:$B$16,2,FALSE)</f>
        <v>1</v>
      </c>
      <c r="AA28" s="38">
        <v>240.0</v>
      </c>
      <c r="AB28" s="38">
        <f>1*20</f>
        <v>20</v>
      </c>
      <c r="AC28" s="38">
        <f>AB28*I30</f>
        <v>4400</v>
      </c>
      <c r="AD28" s="38">
        <f>AA28*AC28</f>
        <v>1056000</v>
      </c>
      <c r="AE28" s="75"/>
      <c r="AF28" s="38" t="str">
        <f>Y28</f>
        <v>01 - LV</v>
      </c>
      <c r="AG28" s="38">
        <v>1.0</v>
      </c>
      <c r="AH28" s="38">
        <v>1.0</v>
      </c>
      <c r="AI28" s="38">
        <f>AH28*8*4^Z28</f>
        <v>32</v>
      </c>
      <c r="AJ28" s="38">
        <f>MIN(ROUNDDOWN(AI28/AL28,0),U28)</f>
        <v>0</v>
      </c>
      <c r="AK28" s="38">
        <f>IF(OR(T28="No",T28=""),AG28*S28,AG28*T28)</f>
        <v>1</v>
      </c>
      <c r="AL28" s="38">
        <f>ROUNDUP(AA28*VLOOKUP(H28,'Machine List'!$A$2:$D$219,4,FALSE),0)</f>
        <v>240</v>
      </c>
      <c r="AM28" s="38">
        <f>AL28*AK28</f>
        <v>240</v>
      </c>
      <c r="AN28" s="38">
        <f>ROUNDUP(AB28*I30,0)</f>
        <v>4400</v>
      </c>
      <c r="AO28" s="38">
        <f>ROUNDUP(AN28/VLOOKUP(H28,'Machine List'!$A$2:$D$219,3,FALSE),0)</f>
        <v>4400</v>
      </c>
      <c r="AP28" s="38">
        <f>ROUNDUP(AO28/AK28,0)</f>
        <v>4400</v>
      </c>
      <c r="AQ28" s="38">
        <f>AM28*AP28</f>
        <v>1056000</v>
      </c>
      <c r="AR28" s="75"/>
      <c r="AS28" s="38" t="s">
        <v>405</v>
      </c>
      <c r="AT28" s="38">
        <f>VLOOKUP(AS28,'Item Helper Sheet'!$A$2:$B$16,2,FALSE)</f>
        <v>5</v>
      </c>
      <c r="AU28" s="38">
        <v>2.0</v>
      </c>
      <c r="AV28" s="38">
        <v>1.0</v>
      </c>
      <c r="AW28" s="38">
        <f>AV28*8*4^AT28</f>
        <v>8192</v>
      </c>
      <c r="AX28" s="38">
        <f>MIN(ROUNDDOWN(AW28/AL28,0),X28)</f>
        <v>1</v>
      </c>
      <c r="AY28" s="38">
        <f>AX28*AU28</f>
        <v>2</v>
      </c>
      <c r="AZ28" s="38">
        <f>AL28</f>
        <v>240</v>
      </c>
      <c r="BA28" s="38">
        <f>MIN(AT28-Z28,IF(AW28&gt;=AZ29*4,
IF(AW28&gt;=AZ29*4^2,
IF(AW28&gt;=AZ29*4^3,
IF(AW28&gt;=AZ29*4^4,
IF(AW28&gt;=AZ29*4^5,
IF(AW28&gt;=AZ29*4^6,
IF(AW28&gt;=AZ29*4^7,
IF(AW28&gt;=AZ29*4^8,
IF(AW28&gt;=AZ29*4^9,
IF(AW28&gt;=AZ29*4^10,
9),
8),
7),
6),
5),
4),
3),
2),
1),
0))</f>
        <v>2</v>
      </c>
      <c r="BB28" s="38">
        <f>AZ28*AX28*4^BA28</f>
        <v>3840</v>
      </c>
      <c r="BC28" s="38">
        <f>BB28*AU28</f>
        <v>7680</v>
      </c>
      <c r="BD28" s="45">
        <f>ROUNDUP(IF(R28="Yes",AN28/(2^((BA28)*2)),AN28/(2^(BA28))),0)</f>
        <v>1100</v>
      </c>
      <c r="BE28" s="45">
        <f>ROUNDUP(BD28/VLOOKUP(H28,'Machine List'!$A$2:$D$219,3,FALSE),0)</f>
        <v>1100</v>
      </c>
      <c r="BF28" s="45">
        <f>ROUNDUP(BE28/AY28,0)</f>
        <v>550</v>
      </c>
      <c r="BG28" s="46">
        <f>BF28*BC28</f>
        <v>4224000</v>
      </c>
      <c r="BI28" s="28"/>
      <c r="BQ28" s="6" t="s">
        <v>121</v>
      </c>
      <c r="BR28" s="6">
        <v>300.0</v>
      </c>
      <c r="BS28" s="6">
        <f>VLOOKUP(BQ28,'Item List'!$A$2:$D$300,2,FALSE)</f>
        <v>3</v>
      </c>
      <c r="BT28" s="6">
        <f>VLOOKUP(BQ28,'Item List'!$A$2:$D$300,3,FALSE)</f>
        <v>3</v>
      </c>
      <c r="BU28" s="6">
        <f>VLOOKUP(BQ28,'Item List'!$A$2:$D$300,4,FALSE)</f>
        <v>3</v>
      </c>
      <c r="BW28" s="6" t="s">
        <v>657</v>
      </c>
      <c r="BX28" s="6">
        <v>19600.0</v>
      </c>
      <c r="BY28" s="6">
        <v>1000.0</v>
      </c>
      <c r="CA28" s="6" t="s">
        <v>657</v>
      </c>
      <c r="CB28" s="6">
        <v>172000.0</v>
      </c>
      <c r="CC28" s="6">
        <v>10000.0</v>
      </c>
    </row>
    <row r="29">
      <c r="B29" s="40"/>
      <c r="C29" s="41" t="s">
        <v>106</v>
      </c>
      <c r="D29" s="38">
        <f>1000*I30</f>
        <v>220000</v>
      </c>
      <c r="E29" s="38" t="s">
        <v>104</v>
      </c>
      <c r="F29" s="42">
        <f>1000*I30</f>
        <v>220000</v>
      </c>
      <c r="G29" s="43"/>
      <c r="H29" s="99" t="s">
        <v>584</v>
      </c>
      <c r="I29" s="45">
        <f t="array" ref="I29">match(TRUE,ISBLANK(F29:F41),0)-1</f>
        <v>1</v>
      </c>
      <c r="J29" s="100" t="s">
        <v>420</v>
      </c>
      <c r="K29" s="100" t="s">
        <v>585</v>
      </c>
      <c r="L29" s="38"/>
      <c r="M29" s="38"/>
      <c r="N29" s="38"/>
      <c r="O29" s="38"/>
      <c r="P29" s="38"/>
      <c r="Q29" s="38"/>
      <c r="R29" s="101"/>
      <c r="S29" s="101"/>
      <c r="T29" s="101"/>
      <c r="U29" s="45"/>
      <c r="V29" s="45"/>
      <c r="W29" s="45"/>
      <c r="X29" s="45"/>
      <c r="Y29" s="45"/>
      <c r="Z29" s="45"/>
      <c r="AA29" s="45"/>
      <c r="AB29" s="45"/>
      <c r="AC29" s="45"/>
      <c r="AD29" s="45"/>
      <c r="AE29" s="79"/>
      <c r="AF29" s="45"/>
      <c r="AG29" s="45"/>
      <c r="AH29" s="45"/>
      <c r="AI29" s="45"/>
      <c r="AJ29" s="45"/>
      <c r="AK29" s="45"/>
      <c r="AL29" s="45"/>
      <c r="AM29" s="45"/>
      <c r="AN29" s="45"/>
      <c r="AO29" s="45"/>
      <c r="AP29" s="45"/>
      <c r="AQ29" s="45"/>
      <c r="AR29" s="79"/>
      <c r="AS29" s="45"/>
      <c r="AT29" s="45"/>
      <c r="AU29" s="45"/>
      <c r="AV29" s="45"/>
      <c r="AW29" s="45"/>
      <c r="AX29" s="45"/>
      <c r="AY29" s="45"/>
      <c r="AZ29" s="45">
        <f>AZ28*AX28</f>
        <v>240</v>
      </c>
      <c r="BA29" s="45"/>
      <c r="BB29" s="45"/>
      <c r="BC29" s="45"/>
      <c r="BD29" s="45"/>
      <c r="BE29" s="45"/>
      <c r="BF29" s="45"/>
      <c r="BG29" s="46"/>
      <c r="BI29" s="28"/>
      <c r="BQ29" s="6" t="s">
        <v>124</v>
      </c>
      <c r="BR29" s="6">
        <v>-500.0</v>
      </c>
      <c r="BS29" s="6">
        <f>VLOOKUP(BQ29,'Item List'!$A$2:$D$300,2,FALSE)</f>
        <v>1</v>
      </c>
      <c r="BT29" s="6">
        <f>VLOOKUP(BQ29,'Item List'!$A$2:$D$300,3,FALSE)</f>
        <v>4</v>
      </c>
      <c r="BU29" s="6">
        <f>VLOOKUP(BQ29,'Item List'!$A$2:$D$300,4,FALSE)</f>
        <v>2</v>
      </c>
      <c r="BW29" s="6" t="s">
        <v>593</v>
      </c>
      <c r="BX29" s="6">
        <v>4006.0</v>
      </c>
      <c r="BY29" s="6">
        <v>10.0</v>
      </c>
      <c r="CA29" s="6" t="s">
        <v>593</v>
      </c>
      <c r="CB29" s="6">
        <v>10000.0</v>
      </c>
      <c r="CC29" s="6">
        <v>10000.0</v>
      </c>
    </row>
    <row r="30">
      <c r="B30" s="40"/>
      <c r="C30" s="41" t="s">
        <v>87</v>
      </c>
      <c r="D30" s="38">
        <f>1600*I30</f>
        <v>352000</v>
      </c>
      <c r="E30" s="38"/>
      <c r="F30" s="42"/>
      <c r="G30" s="43"/>
      <c r="H30" s="56" t="s">
        <v>502</v>
      </c>
      <c r="I30" s="57">
        <v>220.0</v>
      </c>
      <c r="J30" s="100" t="s">
        <v>427</v>
      </c>
      <c r="K30" s="100">
        <v>0.0</v>
      </c>
      <c r="L30" s="45"/>
      <c r="M30" s="45"/>
      <c r="N30" s="45"/>
      <c r="O30" s="45"/>
      <c r="P30" s="45"/>
      <c r="Q30" s="45"/>
      <c r="R30" s="45"/>
      <c r="S30" s="101"/>
      <c r="T30" s="101"/>
      <c r="U30" s="45"/>
      <c r="V30" s="45"/>
      <c r="W30" s="45"/>
      <c r="X30" s="45"/>
      <c r="Y30" s="45"/>
      <c r="Z30" s="45"/>
      <c r="AA30" s="45"/>
      <c r="AB30" s="45"/>
      <c r="AC30" s="45"/>
      <c r="AD30" s="45"/>
      <c r="AE30" s="79"/>
      <c r="AF30" s="45"/>
      <c r="AG30" s="45"/>
      <c r="AH30" s="45"/>
      <c r="AI30" s="45"/>
      <c r="AJ30" s="45"/>
      <c r="AK30" s="45"/>
      <c r="AL30" s="45"/>
      <c r="AM30" s="45"/>
      <c r="AN30" s="45"/>
      <c r="AO30" s="45"/>
      <c r="AP30" s="45"/>
      <c r="AQ30" s="45"/>
      <c r="AR30" s="79"/>
      <c r="AS30" s="45"/>
      <c r="AT30" s="45"/>
      <c r="AU30" s="45"/>
      <c r="AV30" s="45"/>
      <c r="AW30" s="45"/>
      <c r="AX30" s="45"/>
      <c r="AY30" s="45"/>
      <c r="AZ30" s="45"/>
      <c r="BA30" s="45"/>
      <c r="BB30" s="45"/>
      <c r="BC30" s="45"/>
      <c r="BD30" s="45"/>
      <c r="BE30" s="45"/>
      <c r="BF30" s="45"/>
      <c r="BG30" s="46"/>
      <c r="BI30" s="28"/>
      <c r="BQ30" s="6" t="s">
        <v>125</v>
      </c>
      <c r="BR30" s="6">
        <v>9600.0</v>
      </c>
      <c r="BS30" s="6">
        <f>VLOOKUP(BQ30,'Item List'!$A$2:$D$300,2,FALSE)</f>
        <v>3</v>
      </c>
      <c r="BT30" s="6">
        <f>VLOOKUP(BQ30,'Item List'!$A$2:$D$300,3,FALSE)</f>
        <v>2</v>
      </c>
      <c r="BU30" s="6">
        <f>VLOOKUP(BQ30,'Item List'!$A$2:$D$300,4,FALSE)</f>
        <v>2</v>
      </c>
      <c r="BW30" s="6" t="s">
        <v>599</v>
      </c>
      <c r="BX30" s="6">
        <v>4006.0</v>
      </c>
      <c r="BY30" s="6">
        <v>10.0</v>
      </c>
      <c r="CA30" s="6" t="s">
        <v>599</v>
      </c>
      <c r="CB30" s="6">
        <v>10000.0</v>
      </c>
      <c r="CC30" s="6">
        <v>10000.0</v>
      </c>
    </row>
    <row r="31">
      <c r="B31" s="50"/>
      <c r="C31" s="51"/>
      <c r="D31" s="52"/>
      <c r="E31" s="52"/>
      <c r="F31" s="52"/>
      <c r="G31" s="43"/>
      <c r="H31" s="52"/>
      <c r="I31" s="52"/>
      <c r="J31" s="52"/>
      <c r="K31" s="52"/>
      <c r="L31" s="52"/>
      <c r="M31" s="52"/>
      <c r="N31" s="52"/>
      <c r="O31" s="52"/>
      <c r="P31" s="52"/>
      <c r="Q31" s="52"/>
      <c r="R31" s="52"/>
      <c r="S31" s="52"/>
      <c r="T31" s="52"/>
      <c r="U31" s="52"/>
      <c r="V31" s="52"/>
      <c r="W31" s="52"/>
      <c r="X31" s="52"/>
      <c r="Y31" s="52"/>
      <c r="Z31" s="52"/>
      <c r="AA31" s="52"/>
      <c r="AB31" s="52"/>
      <c r="AC31" s="52"/>
      <c r="AD31" s="52"/>
      <c r="AE31" s="43"/>
      <c r="AF31" s="52"/>
      <c r="AG31" s="52"/>
      <c r="AH31" s="52"/>
      <c r="AI31" s="52"/>
      <c r="AJ31" s="52"/>
      <c r="AK31" s="52"/>
      <c r="AL31" s="52"/>
      <c r="AM31" s="52"/>
      <c r="AN31" s="52"/>
      <c r="AO31" s="52"/>
      <c r="AP31" s="52"/>
      <c r="AQ31" s="52"/>
      <c r="AR31" s="43"/>
      <c r="AS31" s="52"/>
      <c r="AT31" s="52"/>
      <c r="AU31" s="52"/>
      <c r="AV31" s="52"/>
      <c r="AW31" s="52"/>
      <c r="AX31" s="52"/>
      <c r="AY31" s="52"/>
      <c r="AZ31" s="52"/>
      <c r="BA31" s="52"/>
      <c r="BB31" s="52"/>
      <c r="BC31" s="52"/>
      <c r="BD31" s="52"/>
      <c r="BE31" s="52"/>
      <c r="BF31" s="52"/>
      <c r="BG31" s="53"/>
      <c r="BI31" s="28"/>
      <c r="BQ31" s="6" t="s">
        <v>134</v>
      </c>
      <c r="BR31" s="6">
        <v>4000.0</v>
      </c>
      <c r="BS31" s="6">
        <f>VLOOKUP(BQ31,'Item List'!$A$2:$D$300,2,FALSE)</f>
        <v>3</v>
      </c>
      <c r="BT31" s="6">
        <f>VLOOKUP(BQ31,'Item List'!$A$2:$D$300,3,FALSE)</f>
        <v>3</v>
      </c>
      <c r="BU31" s="6">
        <f>VLOOKUP(BQ31,'Item List'!$A$2:$D$300,4,FALSE)</f>
        <v>2</v>
      </c>
      <c r="BW31" s="6" t="s">
        <v>601</v>
      </c>
      <c r="BX31" s="6">
        <v>4006.0</v>
      </c>
      <c r="BY31" s="6">
        <v>10.0</v>
      </c>
      <c r="CA31" s="6" t="s">
        <v>601</v>
      </c>
      <c r="CB31" s="6">
        <v>10000.0</v>
      </c>
      <c r="CC31" s="6">
        <v>10000.0</v>
      </c>
    </row>
    <row r="32">
      <c r="B32" s="31" t="s">
        <v>659</v>
      </c>
      <c r="C32" s="54"/>
      <c r="D32" s="45"/>
      <c r="E32" s="45"/>
      <c r="F32" s="47"/>
      <c r="G32" s="35"/>
      <c r="H32" s="55" t="s">
        <v>298</v>
      </c>
      <c r="I32" s="38" t="str">
        <f>VLOOKUP(H32,'Machine List'!$A$1:$I$300,9,FALSE)</f>
        <v>4000+500(7O-5)</v>
      </c>
      <c r="J32" s="38">
        <f>IF(VLOOKUP(H32,'Machine List'!$A$1:$I$300,5,FALSE)="Multi",IF(VLOOKUP(H32,'Machine List'!$A$1:$I$300,6,FALSE)="Yes",AG32*3*10^Z32,AG32*(2*3)*10^(Z32-1)),0)</f>
        <v>6</v>
      </c>
      <c r="K32" s="38">
        <f>J32+IF(ISNUMBER(I32),I32,
  SWITCH(
      I32,
      "1T",1*10^Z32,
      "2T",2*10^Z32,
      "3T",3*10^Z32,
      "4T",4*10^Z32,
      "4000+500(7O-5)",4000+500*(7*I33-5),
      1
  )
)</f>
        <v>22506</v>
      </c>
      <c r="L32" s="38">
        <f>IF(VLOOKUP(H32,'Machine List'!$A$1:$I$300,5,FALSE)="Multi",IF(VLOOKUP(H32,'Machine List'!$A$1:$I$300,6,FALSE)="Yes",AU32*3*10^AT32,AU32*(2*3)*10^(AT32-1)),0)</f>
        <v>240000</v>
      </c>
      <c r="M32" s="38">
        <f>L32+IF(ISNUMBER(I32),I32,
  SWITCH(
      I32,
      "1T",1*10^AT32,
      "2T",2*10^AT32,
      "3T",3*10^AT32,
      "4T",4*10^AT32,
      "4000+500(7O-5)",4000+500*(7*I33-5),
      1
  )
)</f>
        <v>262500</v>
      </c>
      <c r="N32" s="38" t="str">
        <f>VLOOKUP(H32,'Machine List'!$A$1:$I$300,8,FALSE)</f>
        <v>Tier</v>
      </c>
      <c r="O32" s="38">
        <f>IF(ISNUMBER(N32),N32,10^Z32)</f>
        <v>10</v>
      </c>
      <c r="P32" s="38">
        <f>IF(ISNUMBER(N32),N32,10^AT32)</f>
        <v>100000</v>
      </c>
      <c r="Q32" s="38">
        <f>VLOOKUP(H32,'Machine List'!$A$1:$B$138,2,FALSE)</f>
        <v>1</v>
      </c>
      <c r="R32" s="38" t="s">
        <v>277</v>
      </c>
      <c r="S32" s="45">
        <f>IF(ISNUMBER(Q32),Q32,
  SWITCH(
      Q32,
      "1",1,
      "2T",Z32*2,
      "4T",Z32*4,
      "6T",Z32*6,
      "8T",Z32*8,
      "10T",Z32*10,
      "12T",Z32*12,
      "14T",Z32*14,
      "16T",Z32*16,
      "2(T+1)",2*(Z32+1),
      "1T*C",Z32*J34,
      1
  )
)</f>
        <v>1</v>
      </c>
      <c r="T32" s="38" t="s">
        <v>277</v>
      </c>
      <c r="U32" s="38">
        <f>IF(OR(T32="No",T32=""),S32,T32)</f>
        <v>1</v>
      </c>
      <c r="V32" s="38">
        <f>IF(ISNUMBER(Q32),Q32,
  SWITCH(
      Q32,
      "1",1,
      "2T",AT32*2,
      "4T",AT32*4,
      "6T",AT32*6,
      "8T",AT32*8,
      "10T",AT32*10,
      "12T",AT32*12,
      "14T",AT32*14,
      "16T",AT32*16,
      "2(T+1)",2*(AT32+1),
      "1T*C",AT32*J34,
      1
  )
)</f>
        <v>1</v>
      </c>
      <c r="W32" s="38" t="str">
        <f>T32</f>
        <v>No</v>
      </c>
      <c r="X32" s="38">
        <f>IF(OR(W32="No",W32=""),V32,W32)</f>
        <v>1</v>
      </c>
      <c r="Y32" s="38" t="s">
        <v>390</v>
      </c>
      <c r="Z32" s="38">
        <f>VLOOKUP(Y32,'Item Helper Sheet'!$A$2:$B$16,2,FALSE)</f>
        <v>1</v>
      </c>
      <c r="AA32" s="38">
        <v>120.0</v>
      </c>
      <c r="AB32" s="38">
        <f>6*20</f>
        <v>120</v>
      </c>
      <c r="AC32" s="38">
        <f>AB32*I34</f>
        <v>26400</v>
      </c>
      <c r="AD32" s="38">
        <f>AA32*AC32</f>
        <v>3168000</v>
      </c>
      <c r="AE32" s="75"/>
      <c r="AF32" s="38" t="str">
        <f>Y32</f>
        <v>01 - LV</v>
      </c>
      <c r="AG32" s="38">
        <v>1.0</v>
      </c>
      <c r="AH32" s="38">
        <v>1.0</v>
      </c>
      <c r="AI32" s="38">
        <f>AH32*8*4^Z32</f>
        <v>32</v>
      </c>
      <c r="AJ32" s="38">
        <f>MIN(ROUNDDOWN(AI32/AL32,0),U32)</f>
        <v>0</v>
      </c>
      <c r="AK32" s="38">
        <f>IF(OR(T32="No",T32=""),AG32*S32,AG32*T32)</f>
        <v>1</v>
      </c>
      <c r="AL32" s="38">
        <f>ROUNDUP(AA32*VLOOKUP(H32,'Machine List'!$A$2:$D$219,4,FALSE),0)</f>
        <v>120</v>
      </c>
      <c r="AM32" s="38">
        <f>AL32*AK32</f>
        <v>120</v>
      </c>
      <c r="AN32" s="38">
        <f>ROUNDUP(AB32*I34,0)</f>
        <v>26400</v>
      </c>
      <c r="AO32" s="38">
        <f>ROUNDUP(AN32/VLOOKUP(H32,'Machine List'!$A$2:$D$219,3,FALSE),0)</f>
        <v>26400</v>
      </c>
      <c r="AP32" s="38">
        <f>ROUNDUP(AO32/AK32,0)</f>
        <v>26400</v>
      </c>
      <c r="AQ32" s="38">
        <f>AM32*AP32</f>
        <v>3168000</v>
      </c>
      <c r="AR32" s="75"/>
      <c r="AS32" s="38" t="s">
        <v>405</v>
      </c>
      <c r="AT32" s="38">
        <f>VLOOKUP(AS32,'Item Helper Sheet'!$A$2:$B$16,2,FALSE)</f>
        <v>5</v>
      </c>
      <c r="AU32" s="38">
        <v>4.0</v>
      </c>
      <c r="AV32" s="38">
        <v>1.0</v>
      </c>
      <c r="AW32" s="38">
        <f>AV32*8*4^AT32</f>
        <v>8192</v>
      </c>
      <c r="AX32" s="38">
        <f>MIN(ROUNDDOWN(AW32/AL32,0),X32)</f>
        <v>1</v>
      </c>
      <c r="AY32" s="38">
        <f>AX32*AU32</f>
        <v>4</v>
      </c>
      <c r="AZ32" s="38">
        <f>AL32</f>
        <v>120</v>
      </c>
      <c r="BA32" s="38">
        <f>MIN(AT32-Z32,IF(AW32&gt;=AZ33*4,
IF(AW32&gt;=AZ33*4^2,
IF(AW32&gt;=AZ33*4^3,
IF(AW32&gt;=AZ33*4^4,
IF(AW32&gt;=AZ33*4^5,
IF(AW32&gt;=AZ33*4^6,
IF(AW32&gt;=AZ33*4^7,
IF(AW32&gt;=AZ33*4^8,
IF(AW32&gt;=AZ33*4^9,
IF(AW32&gt;=AZ33*4^10,
9),
8),
7),
6),
5),
4),
3),
2),
1),
0))</f>
        <v>3</v>
      </c>
      <c r="BB32" s="38">
        <f>AZ32*AX32*4^BA32</f>
        <v>7680</v>
      </c>
      <c r="BC32" s="38">
        <f>BB32*AU32</f>
        <v>30720</v>
      </c>
      <c r="BD32" s="45">
        <f>ROUNDUP(IF(R32="Yes",AN32/(2^((BA32)*2)),AN32/(2^(BA32))),0)</f>
        <v>3300</v>
      </c>
      <c r="BE32" s="45">
        <f>ROUNDUP(BD32/VLOOKUP(H32,'Machine List'!$A$2:$D$219,3,FALSE),0)</f>
        <v>3300</v>
      </c>
      <c r="BF32" s="45">
        <f>ROUNDUP(BE32/AY32,0)</f>
        <v>825</v>
      </c>
      <c r="BG32" s="46">
        <f>BF32*BC32</f>
        <v>25344000</v>
      </c>
      <c r="BI32" s="28"/>
      <c r="BQ32" s="6" t="s">
        <v>137</v>
      </c>
      <c r="BR32" s="6">
        <v>0.0</v>
      </c>
      <c r="BS32" s="6">
        <f>VLOOKUP(BQ32,'Item List'!$A$2:$D$300,2,FALSE)</f>
        <v>1</v>
      </c>
      <c r="BT32" s="6">
        <f>VLOOKUP(BQ32,'Item List'!$A$2:$D$300,3,FALSE)</f>
        <v>3</v>
      </c>
      <c r="BU32" s="6">
        <f>VLOOKUP(BQ32,'Item List'!$A$2:$D$300,4,FALSE)</f>
        <v>2</v>
      </c>
      <c r="BW32" s="6" t="s">
        <v>611</v>
      </c>
      <c r="BX32" s="6">
        <v>4006.0</v>
      </c>
      <c r="BY32" s="6">
        <v>10.0</v>
      </c>
      <c r="CA32" s="6" t="s">
        <v>611</v>
      </c>
      <c r="CB32" s="6">
        <v>10000.0</v>
      </c>
      <c r="CC32" s="6">
        <v>10000.0</v>
      </c>
    </row>
    <row r="33">
      <c r="B33" s="40"/>
      <c r="C33" s="41" t="s">
        <v>104</v>
      </c>
      <c r="D33" s="38">
        <f>1000*I34</f>
        <v>220000</v>
      </c>
      <c r="E33" s="38" t="s">
        <v>118</v>
      </c>
      <c r="F33" s="42">
        <f>125*I34</f>
        <v>27500</v>
      </c>
      <c r="G33" s="43"/>
      <c r="H33" s="99" t="s">
        <v>584</v>
      </c>
      <c r="I33" s="45">
        <f t="array" ref="I33">match(TRUE,ISBLANK(F33:F45),0)-1</f>
        <v>6</v>
      </c>
      <c r="J33" s="100" t="s">
        <v>420</v>
      </c>
      <c r="K33" s="100" t="s">
        <v>585</v>
      </c>
      <c r="L33" s="38"/>
      <c r="M33" s="38"/>
      <c r="N33" s="38"/>
      <c r="O33" s="38"/>
      <c r="P33" s="38"/>
      <c r="Q33" s="38"/>
      <c r="R33" s="101"/>
      <c r="S33" s="101"/>
      <c r="T33" s="101"/>
      <c r="U33" s="45"/>
      <c r="V33" s="45"/>
      <c r="W33" s="45"/>
      <c r="X33" s="45"/>
      <c r="Y33" s="45"/>
      <c r="Z33" s="45"/>
      <c r="AA33" s="45"/>
      <c r="AB33" s="45"/>
      <c r="AC33" s="45"/>
      <c r="AD33" s="45"/>
      <c r="AE33" s="79"/>
      <c r="AF33" s="45"/>
      <c r="AG33" s="45"/>
      <c r="AH33" s="45"/>
      <c r="AI33" s="45"/>
      <c r="AJ33" s="45"/>
      <c r="AK33" s="45"/>
      <c r="AL33" s="45"/>
      <c r="AM33" s="45"/>
      <c r="AN33" s="45"/>
      <c r="AO33" s="45"/>
      <c r="AP33" s="45"/>
      <c r="AQ33" s="45"/>
      <c r="AR33" s="79"/>
      <c r="AS33" s="45"/>
      <c r="AT33" s="45"/>
      <c r="AU33" s="45"/>
      <c r="AV33" s="45"/>
      <c r="AW33" s="45"/>
      <c r="AX33" s="45"/>
      <c r="AY33" s="45"/>
      <c r="AZ33" s="45">
        <f>AZ32*AX32</f>
        <v>120</v>
      </c>
      <c r="BA33" s="45"/>
      <c r="BB33" s="45"/>
      <c r="BC33" s="45"/>
      <c r="BD33" s="45"/>
      <c r="BE33" s="45"/>
      <c r="BF33" s="45"/>
      <c r="BG33" s="46"/>
      <c r="BI33" s="28"/>
      <c r="BQ33" s="6" t="s">
        <v>142</v>
      </c>
      <c r="BR33" s="6">
        <v>-90000.0</v>
      </c>
      <c r="BS33" s="6">
        <f>VLOOKUP(BQ33,'Item List'!$A$2:$D$300,2,FALSE)</f>
        <v>1</v>
      </c>
      <c r="BT33" s="6">
        <f>VLOOKUP(BQ33,'Item List'!$A$2:$D$300,3,FALSE)</f>
        <v>5</v>
      </c>
      <c r="BU33" s="6">
        <f>VLOOKUP(BQ33,'Item List'!$A$2:$D$300,4,FALSE)</f>
        <v>1</v>
      </c>
      <c r="BW33" s="6" t="s">
        <v>658</v>
      </c>
      <c r="BX33" s="6">
        <v>7.0</v>
      </c>
      <c r="BY33" s="6">
        <v>10.0</v>
      </c>
      <c r="CA33" s="6" t="s">
        <v>658</v>
      </c>
      <c r="CB33" s="6">
        <v>240002.0</v>
      </c>
      <c r="CC33" s="6">
        <v>100000.0</v>
      </c>
    </row>
    <row r="34">
      <c r="B34" s="40"/>
      <c r="C34" s="41"/>
      <c r="D34" s="38"/>
      <c r="E34" s="38" t="s">
        <v>61</v>
      </c>
      <c r="F34" s="42">
        <f>150*I34</f>
        <v>33000</v>
      </c>
      <c r="G34" s="43"/>
      <c r="H34" s="56" t="s">
        <v>502</v>
      </c>
      <c r="I34" s="57">
        <v>220.0</v>
      </c>
      <c r="J34" s="100" t="s">
        <v>424</v>
      </c>
      <c r="K34" s="100">
        <v>0.0</v>
      </c>
      <c r="L34" s="45"/>
      <c r="M34" s="45"/>
      <c r="N34" s="45"/>
      <c r="O34" s="45"/>
      <c r="P34" s="45"/>
      <c r="Q34" s="45"/>
      <c r="R34" s="45"/>
      <c r="S34" s="101"/>
      <c r="T34" s="101"/>
      <c r="U34" s="45"/>
      <c r="V34" s="45"/>
      <c r="W34" s="45"/>
      <c r="X34" s="45"/>
      <c r="Y34" s="45"/>
      <c r="Z34" s="45"/>
      <c r="AA34" s="45"/>
      <c r="AB34" s="45"/>
      <c r="AC34" s="45"/>
      <c r="AD34" s="45"/>
      <c r="AE34" s="79"/>
      <c r="AF34" s="45"/>
      <c r="AG34" s="45"/>
      <c r="AH34" s="45"/>
      <c r="AI34" s="45"/>
      <c r="AJ34" s="45"/>
      <c r="AK34" s="45"/>
      <c r="AL34" s="45"/>
      <c r="AM34" s="45"/>
      <c r="AN34" s="45"/>
      <c r="AO34" s="45"/>
      <c r="AP34" s="45"/>
      <c r="AQ34" s="45"/>
      <c r="AR34" s="79"/>
      <c r="AS34" s="45"/>
      <c r="AT34" s="45"/>
      <c r="AU34" s="45"/>
      <c r="AV34" s="45"/>
      <c r="AW34" s="45"/>
      <c r="AX34" s="45"/>
      <c r="AY34" s="45"/>
      <c r="AZ34" s="45"/>
      <c r="BA34" s="45"/>
      <c r="BB34" s="45"/>
      <c r="BC34" s="45"/>
      <c r="BD34" s="45"/>
      <c r="BE34" s="45"/>
      <c r="BF34" s="45"/>
      <c r="BG34" s="46"/>
      <c r="BI34" s="28"/>
      <c r="BQ34" s="6" t="s">
        <v>147</v>
      </c>
      <c r="BR34" s="6">
        <v>14500.0</v>
      </c>
      <c r="BS34" s="6">
        <f>VLOOKUP(BQ34,'Item List'!$A$2:$D$300,2,FALSE)</f>
        <v>1</v>
      </c>
      <c r="BT34" s="6">
        <f>VLOOKUP(BQ34,'Item List'!$A$2:$D$300,3,FALSE)</f>
        <v>5</v>
      </c>
      <c r="BU34" s="6">
        <f>VLOOKUP(BQ34,'Item List'!$A$2:$D$300,4,FALSE)</f>
        <v>2</v>
      </c>
      <c r="BW34" s="6" t="s">
        <v>659</v>
      </c>
      <c r="BX34" s="102">
        <v>22506.0</v>
      </c>
      <c r="BY34" s="6">
        <v>10.0</v>
      </c>
      <c r="CA34" s="6" t="s">
        <v>659</v>
      </c>
      <c r="CB34" s="102">
        <v>1050000.0</v>
      </c>
      <c r="CC34" s="6">
        <v>100000.0</v>
      </c>
    </row>
    <row r="35">
      <c r="B35" s="40"/>
      <c r="C35" s="41"/>
      <c r="D35" s="38"/>
      <c r="E35" s="38" t="s">
        <v>161</v>
      </c>
      <c r="F35" s="42">
        <f>200*I34</f>
        <v>44000</v>
      </c>
      <c r="G35" s="43"/>
      <c r="H35" s="123"/>
      <c r="I35" s="101"/>
      <c r="J35" s="101"/>
      <c r="K35" s="101"/>
      <c r="L35" s="101"/>
      <c r="M35" s="101"/>
      <c r="N35" s="101"/>
      <c r="O35" s="101"/>
      <c r="P35" s="101"/>
      <c r="Q35" s="101"/>
      <c r="R35" s="101"/>
      <c r="S35" s="101"/>
      <c r="T35" s="101"/>
      <c r="U35" s="101"/>
      <c r="V35" s="101"/>
      <c r="W35" s="101"/>
      <c r="X35" s="101"/>
      <c r="Y35" s="101"/>
      <c r="Z35" s="101"/>
      <c r="AA35" s="101"/>
      <c r="AB35" s="101"/>
      <c r="AC35" s="101"/>
      <c r="AD35" s="101"/>
      <c r="AE35" s="79"/>
      <c r="AF35" s="101"/>
      <c r="AG35" s="101"/>
      <c r="AH35" s="101"/>
      <c r="AI35" s="101"/>
      <c r="AJ35" s="101"/>
      <c r="AK35" s="101"/>
      <c r="AL35" s="101"/>
      <c r="AM35" s="101"/>
      <c r="AN35" s="101"/>
      <c r="AO35" s="101"/>
      <c r="AP35" s="101"/>
      <c r="AQ35" s="101"/>
      <c r="AR35" s="79"/>
      <c r="AS35" s="101"/>
      <c r="AT35" s="101"/>
      <c r="AU35" s="101"/>
      <c r="AV35" s="101"/>
      <c r="AW35" s="101"/>
      <c r="AX35" s="101"/>
      <c r="AY35" s="101"/>
      <c r="AZ35" s="101"/>
      <c r="BA35" s="101"/>
      <c r="BB35" s="101"/>
      <c r="BC35" s="101"/>
      <c r="BD35" s="101"/>
      <c r="BE35" s="101"/>
      <c r="BF35" s="101"/>
      <c r="BG35" s="124"/>
      <c r="BI35" s="28"/>
      <c r="BQ35" s="6" t="s">
        <v>161</v>
      </c>
      <c r="BR35" s="6">
        <v>54665.0</v>
      </c>
      <c r="BS35" s="6">
        <f>VLOOKUP(BQ35,'Item List'!$A$2:$D$300,2,FALSE)</f>
        <v>1</v>
      </c>
      <c r="BT35" s="6">
        <f>VLOOKUP(BQ35,'Item List'!$A$2:$D$300,3,FALSE)</f>
        <v>3</v>
      </c>
      <c r="BU35" s="6">
        <f>VLOOKUP(BQ35,'Item List'!$A$2:$D$300,4,FALSE)</f>
        <v>2</v>
      </c>
      <c r="BW35" s="6" t="s">
        <v>660</v>
      </c>
      <c r="BX35" s="6">
        <v>7.0</v>
      </c>
      <c r="BY35" s="6">
        <v>10.0</v>
      </c>
      <c r="CA35" s="6" t="s">
        <v>660</v>
      </c>
      <c r="CB35" s="6">
        <v>240002.0</v>
      </c>
      <c r="CC35" s="6">
        <v>100000.0</v>
      </c>
    </row>
    <row r="36">
      <c r="B36" s="40"/>
      <c r="C36" s="41"/>
      <c r="D36" s="38"/>
      <c r="E36" s="38" t="s">
        <v>38</v>
      </c>
      <c r="F36" s="42">
        <f>150*I34</f>
        <v>33000</v>
      </c>
      <c r="G36" s="35"/>
      <c r="H36" s="131"/>
      <c r="I36" s="132"/>
      <c r="J36" s="132"/>
      <c r="K36" s="132"/>
      <c r="L36" s="132"/>
      <c r="M36" s="132"/>
      <c r="N36" s="132"/>
      <c r="O36" s="132"/>
      <c r="P36" s="132"/>
      <c r="Q36" s="132"/>
      <c r="R36" s="132"/>
      <c r="S36" s="101"/>
      <c r="T36" s="132"/>
      <c r="U36" s="132"/>
      <c r="V36" s="132"/>
      <c r="W36" s="132"/>
      <c r="X36" s="132"/>
      <c r="Y36" s="132"/>
      <c r="Z36" s="132"/>
      <c r="AA36" s="132"/>
      <c r="AB36" s="132"/>
      <c r="AC36" s="132"/>
      <c r="AD36" s="132"/>
      <c r="AE36" s="79"/>
      <c r="AF36" s="132"/>
      <c r="AG36" s="132"/>
      <c r="AH36" s="132"/>
      <c r="AI36" s="132"/>
      <c r="AJ36" s="132"/>
      <c r="AK36" s="132"/>
      <c r="AL36" s="132"/>
      <c r="AM36" s="132"/>
      <c r="AN36" s="132"/>
      <c r="AO36" s="132"/>
      <c r="AP36" s="132"/>
      <c r="AQ36" s="132"/>
      <c r="AR36" s="79"/>
      <c r="AS36" s="132"/>
      <c r="AT36" s="132"/>
      <c r="AU36" s="132"/>
      <c r="AV36" s="132"/>
      <c r="AW36" s="132"/>
      <c r="AX36" s="132"/>
      <c r="AY36" s="132"/>
      <c r="AZ36" s="132"/>
      <c r="BA36" s="132"/>
      <c r="BB36" s="132"/>
      <c r="BC36" s="132"/>
      <c r="BD36" s="101"/>
      <c r="BE36" s="101"/>
      <c r="BF36" s="101"/>
      <c r="BG36" s="124"/>
      <c r="BI36" s="28"/>
      <c r="BQ36" s="6" t="s">
        <v>162</v>
      </c>
      <c r="BR36" s="6">
        <v>213300.0</v>
      </c>
      <c r="BS36" s="6">
        <f>VLOOKUP(BQ36,'Item List'!$A$2:$D$300,2,FALSE)</f>
        <v>1</v>
      </c>
      <c r="BT36" s="6">
        <f>VLOOKUP(BQ36,'Item List'!$A$2:$D$300,3,FALSE)</f>
        <v>4</v>
      </c>
      <c r="BU36" s="6">
        <f>VLOOKUP(BQ36,'Item List'!$A$2:$D$300,4,FALSE)</f>
        <v>2</v>
      </c>
      <c r="BW36" s="6" t="s">
        <v>661</v>
      </c>
      <c r="BX36" s="6">
        <v>43506.0</v>
      </c>
      <c r="BY36" s="6">
        <v>10.0</v>
      </c>
      <c r="CA36" s="6" t="s">
        <v>661</v>
      </c>
      <c r="CB36" s="6">
        <v>1134000.0</v>
      </c>
      <c r="CC36" s="6">
        <v>100000.0</v>
      </c>
    </row>
    <row r="37">
      <c r="B37" s="40"/>
      <c r="C37" s="41"/>
      <c r="D37" s="38"/>
      <c r="E37" s="38" t="s">
        <v>137</v>
      </c>
      <c r="F37" s="42">
        <f>100*I34</f>
        <v>22000</v>
      </c>
      <c r="G37" s="43"/>
      <c r="H37" s="131"/>
      <c r="I37" s="101"/>
      <c r="J37" s="132"/>
      <c r="K37" s="132"/>
      <c r="L37" s="132"/>
      <c r="M37" s="132"/>
      <c r="N37" s="132"/>
      <c r="O37" s="132"/>
      <c r="P37" s="132"/>
      <c r="Q37" s="132"/>
      <c r="R37" s="101"/>
      <c r="S37" s="101"/>
      <c r="T37" s="101"/>
      <c r="U37" s="101"/>
      <c r="V37" s="101"/>
      <c r="W37" s="101"/>
      <c r="X37" s="101"/>
      <c r="Y37" s="101"/>
      <c r="Z37" s="101"/>
      <c r="AA37" s="101"/>
      <c r="AB37" s="101"/>
      <c r="AC37" s="101"/>
      <c r="AD37" s="101"/>
      <c r="AE37" s="79"/>
      <c r="AF37" s="101"/>
      <c r="AG37" s="101"/>
      <c r="AH37" s="101"/>
      <c r="AI37" s="101"/>
      <c r="AJ37" s="101"/>
      <c r="AK37" s="101"/>
      <c r="AL37" s="101"/>
      <c r="AM37" s="101"/>
      <c r="AN37" s="101"/>
      <c r="AO37" s="101"/>
      <c r="AP37" s="101"/>
      <c r="AQ37" s="101"/>
      <c r="AR37" s="79"/>
      <c r="AS37" s="101"/>
      <c r="AT37" s="101"/>
      <c r="AU37" s="101"/>
      <c r="AV37" s="101"/>
      <c r="AW37" s="101"/>
      <c r="AX37" s="101"/>
      <c r="AY37" s="101"/>
      <c r="AZ37" s="101"/>
      <c r="BA37" s="101"/>
      <c r="BB37" s="101"/>
      <c r="BC37" s="101"/>
      <c r="BD37" s="101"/>
      <c r="BE37" s="101"/>
      <c r="BF37" s="101"/>
      <c r="BG37" s="124"/>
      <c r="BI37" s="28"/>
      <c r="BQ37" s="6" t="s">
        <v>179</v>
      </c>
      <c r="BR37" s="6">
        <v>0.0</v>
      </c>
      <c r="BS37" s="6">
        <f>VLOOKUP(BQ37,'Item List'!$A$2:$D$300,2,FALSE)</f>
        <v>3</v>
      </c>
      <c r="BT37" s="6">
        <f>VLOOKUP(BQ37,'Item List'!$A$2:$D$300,3,FALSE)</f>
        <v>3</v>
      </c>
      <c r="BU37" s="6">
        <f>VLOOKUP(BQ37,'Item List'!$A$2:$D$300,4,FALSE)</f>
        <v>2</v>
      </c>
      <c r="BW37" s="6" t="s">
        <v>662</v>
      </c>
      <c r="BX37" s="6">
        <v>12006.0</v>
      </c>
      <c r="BY37" s="6">
        <v>10.0</v>
      </c>
      <c r="CA37" s="6" t="s">
        <v>662</v>
      </c>
      <c r="CB37" s="6">
        <v>18000.0</v>
      </c>
      <c r="CC37" s="6">
        <v>10000.0</v>
      </c>
    </row>
    <row r="38">
      <c r="B38" s="40"/>
      <c r="C38" s="41"/>
      <c r="D38" s="38"/>
      <c r="E38" s="38" t="s">
        <v>124</v>
      </c>
      <c r="F38" s="42">
        <f>800*I34</f>
        <v>176000</v>
      </c>
      <c r="G38" s="43"/>
      <c r="H38" s="131"/>
      <c r="I38" s="132"/>
      <c r="J38" s="132"/>
      <c r="K38" s="132"/>
      <c r="L38" s="101"/>
      <c r="M38" s="101"/>
      <c r="N38" s="101"/>
      <c r="O38" s="101"/>
      <c r="P38" s="101"/>
      <c r="Q38" s="101"/>
      <c r="R38" s="101"/>
      <c r="S38" s="101"/>
      <c r="T38" s="101"/>
      <c r="U38" s="101"/>
      <c r="V38" s="101"/>
      <c r="W38" s="101"/>
      <c r="X38" s="101"/>
      <c r="Y38" s="101"/>
      <c r="Z38" s="101"/>
      <c r="AA38" s="101"/>
      <c r="AB38" s="101"/>
      <c r="AC38" s="101"/>
      <c r="AD38" s="101"/>
      <c r="AE38" s="79"/>
      <c r="AF38" s="101"/>
      <c r="AG38" s="101"/>
      <c r="AH38" s="101"/>
      <c r="AI38" s="101"/>
      <c r="AJ38" s="101"/>
      <c r="AK38" s="101"/>
      <c r="AL38" s="101"/>
      <c r="AM38" s="101"/>
      <c r="AN38" s="101"/>
      <c r="AO38" s="101"/>
      <c r="AP38" s="101"/>
      <c r="AQ38" s="101"/>
      <c r="AR38" s="79"/>
      <c r="AS38" s="101"/>
      <c r="AT38" s="101"/>
      <c r="AU38" s="101"/>
      <c r="AV38" s="101"/>
      <c r="AW38" s="101"/>
      <c r="AX38" s="101"/>
      <c r="AY38" s="101"/>
      <c r="AZ38" s="101"/>
      <c r="BA38" s="101"/>
      <c r="BB38" s="101"/>
      <c r="BC38" s="101"/>
      <c r="BD38" s="101"/>
      <c r="BE38" s="101"/>
      <c r="BF38" s="101"/>
      <c r="BG38" s="124"/>
      <c r="BI38" s="28"/>
      <c r="BQ38" s="6" t="s">
        <v>180</v>
      </c>
      <c r="BR38" s="6">
        <v>-384000.0</v>
      </c>
      <c r="BS38" s="6">
        <f>VLOOKUP(BQ38,'Item List'!$A$2:$D$300,2,FALSE)</f>
        <v>1</v>
      </c>
      <c r="BT38" s="6">
        <f>VLOOKUP(BQ38,'Item List'!$A$2:$D$300,3,FALSE)</f>
        <v>4</v>
      </c>
      <c r="BU38" s="6">
        <f>VLOOKUP(BQ38,'Item List'!$A$2:$D$300,4,FALSE)</f>
        <v>1</v>
      </c>
      <c r="BW38" s="6" t="s">
        <v>663</v>
      </c>
      <c r="BX38" s="6">
        <v>4006.0</v>
      </c>
      <c r="BY38" s="6">
        <v>10.0</v>
      </c>
      <c r="CA38" s="6" t="s">
        <v>663</v>
      </c>
      <c r="CB38" s="6">
        <v>10000.0</v>
      </c>
      <c r="CC38" s="6">
        <v>10000.0</v>
      </c>
    </row>
    <row r="39">
      <c r="B39" s="50"/>
      <c r="C39" s="51"/>
      <c r="D39" s="52"/>
      <c r="E39" s="52"/>
      <c r="F39" s="52"/>
      <c r="G39" s="112"/>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2"/>
      <c r="AF39" s="113"/>
      <c r="AG39" s="113"/>
      <c r="AH39" s="113"/>
      <c r="AI39" s="113"/>
      <c r="AJ39" s="113"/>
      <c r="AK39" s="113"/>
      <c r="AL39" s="113"/>
      <c r="AM39" s="113"/>
      <c r="AN39" s="113"/>
      <c r="AO39" s="113"/>
      <c r="AP39" s="113"/>
      <c r="AQ39" s="113"/>
      <c r="AR39" s="112"/>
      <c r="AS39" s="113"/>
      <c r="AT39" s="113"/>
      <c r="AU39" s="113"/>
      <c r="AV39" s="113"/>
      <c r="AW39" s="113"/>
      <c r="AX39" s="113"/>
      <c r="AY39" s="113"/>
      <c r="AZ39" s="113"/>
      <c r="BA39" s="113"/>
      <c r="BB39" s="113"/>
      <c r="BC39" s="113"/>
      <c r="BD39" s="113"/>
      <c r="BE39" s="113"/>
      <c r="BF39" s="113"/>
      <c r="BG39" s="114"/>
      <c r="BI39" s="28"/>
      <c r="BQ39" s="6" t="s">
        <v>183</v>
      </c>
      <c r="BR39" s="6">
        <v>204000.0</v>
      </c>
      <c r="BS39" s="6">
        <f>VLOOKUP(BQ39,'Item List'!$A$2:$D$300,2,FALSE)</f>
        <v>1</v>
      </c>
      <c r="BT39" s="6">
        <f>VLOOKUP(BQ39,'Item List'!$A$2:$D$300,3,FALSE)</f>
        <v>4</v>
      </c>
      <c r="BU39" s="6">
        <f>VLOOKUP(BQ39,'Item List'!$A$2:$D$300,4,FALSE)</f>
        <v>2</v>
      </c>
      <c r="BW39" s="6" t="s">
        <v>664</v>
      </c>
      <c r="BX39" s="6">
        <v>4006.0</v>
      </c>
      <c r="BY39" s="6">
        <v>10.0</v>
      </c>
      <c r="CA39" s="6" t="s">
        <v>664</v>
      </c>
      <c r="CB39" s="6">
        <v>10000.0</v>
      </c>
      <c r="CC39" s="6">
        <v>10000.0</v>
      </c>
    </row>
    <row r="40">
      <c r="B40" s="31" t="s">
        <v>660</v>
      </c>
      <c r="C40" s="54"/>
      <c r="D40" s="45"/>
      <c r="E40" s="45"/>
      <c r="F40" s="47"/>
      <c r="G40" s="112"/>
      <c r="H40" s="55" t="s">
        <v>357</v>
      </c>
      <c r="I40" s="38" t="str">
        <f>VLOOKUP(H40,'Machine List'!$A$1:$I$300,9,FALSE)</f>
        <v>13500 + 16C</v>
      </c>
      <c r="J40" s="38">
        <f>IF(VLOOKUP(H40,'Machine List'!$A$1:$I$300,5,FALSE)="Multi",IF(VLOOKUP(H40,'Machine List'!$A$1:$I$300,6,FALSE)="Yes",AG40*3*10^Z40,AG40*(2*3)*10^(Z40-1)),0)</f>
        <v>6</v>
      </c>
      <c r="K40" s="38">
        <f>J40+IF(ISNUMBER(I40),I40,
  SWITCH(
      I40,
      "1T",1*10^Z40,
      "2T",2*10^Z40,
      "3T",3*10^Z40,
      "4T",4*10^Z40,
      "4000+500(7O-5)",4000+500*(7*I41-5),
      1
  )
)</f>
        <v>7</v>
      </c>
      <c r="L40" s="38">
        <f>IF(VLOOKUP(H40,'Machine List'!$A$1:$I$300,5,FALSE)="Multi",IF(VLOOKUP(H40,'Machine List'!$A$1:$I$300,6,FALSE)="Yes",AU40*3*10^AT40,AU40*(2*3)*10^(AT40-1)),0)</f>
        <v>120000</v>
      </c>
      <c r="M40" s="38">
        <f>L40+IF(ISNUMBER(I40),I40,
  SWITCH(
      I40,
      "1T",1*10^AT40,
      "2T",2*10^AT40,
      "3T",3*10^AT40,
      "4T",4*10^AT40,
      "4000+500(7O-5)",4000+500*(7*I41-5),
      1
  )
)</f>
        <v>120001</v>
      </c>
      <c r="N40" s="38" t="str">
        <f>VLOOKUP(H40,'Machine List'!$A$1:$I$300,8,FALSE)</f>
        <v>Tier</v>
      </c>
      <c r="O40" s="38">
        <f>IF(ISNUMBER(N40),N40,10^Z40)</f>
        <v>10</v>
      </c>
      <c r="P40" s="38">
        <f>IF(ISNUMBER(N40),N40,10^AT40)</f>
        <v>100000</v>
      </c>
      <c r="Q40" s="38">
        <f>VLOOKUP(H40,'Machine List'!$A$1:$B$138,2,FALSE)</f>
        <v>1</v>
      </c>
      <c r="R40" s="38" t="s">
        <v>277</v>
      </c>
      <c r="S40" s="45">
        <f>IF(ISNUMBER(Q40),Q40,
  SWITCH(
      Q40,
      "1",1,
      "2T",Z40*2,
      "4T",Z40*4,
      "6T",Z40*6,
      "8T",Z40*8,
      "10T",Z40*10,
      "12T",Z40*12,
      "14T",Z40*14,
      "16T",Z40*16,
      "2(T+1)",2*(Z40+1),
      "1T*C",Z40*J42,
      1
  )
)</f>
        <v>1</v>
      </c>
      <c r="T40" s="38" t="s">
        <v>277</v>
      </c>
      <c r="U40" s="38">
        <f>IF(OR(T40="No",T40=""),S40,T40)</f>
        <v>1</v>
      </c>
      <c r="V40" s="38">
        <f>IF(ISNUMBER(Q40),Q40,
  SWITCH(
      Q40,
      "1",1,
      "2T",AT40*2,
      "4T",AT40*4,
      "6T",AT40*6,
      "8T",AT40*8,
      "10T",AT40*10,
      "12T",AT40*12,
      "14T",AT40*14,
      "16T",AT40*16,
      "2(T+1)",2*(AT40+1),
      "1T*C",AT40*J42,
      1
  )
)</f>
        <v>1</v>
      </c>
      <c r="W40" s="38" t="str">
        <f>T40</f>
        <v>No</v>
      </c>
      <c r="X40" s="38">
        <f>IF(OR(W40="No",W40=""),V40,W40)</f>
        <v>1</v>
      </c>
      <c r="Y40" s="38" t="s">
        <v>390</v>
      </c>
      <c r="Z40" s="38">
        <f>VLOOKUP(Y40,'Item Helper Sheet'!$A$2:$B$16,2,FALSE)</f>
        <v>1</v>
      </c>
      <c r="AA40" s="38">
        <v>240.0</v>
      </c>
      <c r="AB40" s="38">
        <f>1.5*20</f>
        <v>30</v>
      </c>
      <c r="AC40" s="38">
        <f>AB40*I42</f>
        <v>35550</v>
      </c>
      <c r="AD40" s="38">
        <f>AA40*AC40</f>
        <v>8532000</v>
      </c>
      <c r="AE40" s="75"/>
      <c r="AF40" s="38" t="str">
        <f>Y40</f>
        <v>01 - LV</v>
      </c>
      <c r="AG40" s="38">
        <v>1.0</v>
      </c>
      <c r="AH40" s="38">
        <v>1.0</v>
      </c>
      <c r="AI40" s="38">
        <f>AH40*8*4^Z40</f>
        <v>32</v>
      </c>
      <c r="AJ40" s="38">
        <f>MIN(ROUNDDOWN(AI40/AL40,0),U40)</f>
        <v>0</v>
      </c>
      <c r="AK40" s="38">
        <f>IF(OR(T40="No",T40=""),AG40*S40,AG40*T40)</f>
        <v>1</v>
      </c>
      <c r="AL40" s="38">
        <f>ROUNDUP(AA40*VLOOKUP(H40,'Machine List'!$A$2:$D$219,4,FALSE),0)</f>
        <v>240</v>
      </c>
      <c r="AM40" s="38">
        <f>AL40*AK40</f>
        <v>240</v>
      </c>
      <c r="AN40" s="38">
        <f>ROUNDUP(AB40*I42,0)</f>
        <v>35550</v>
      </c>
      <c r="AO40" s="38">
        <f>ROUNDUP(AN40/VLOOKUP(H40,'Machine List'!$A$2:$D$219,3,FALSE),0)</f>
        <v>35550</v>
      </c>
      <c r="AP40" s="38">
        <f>ROUNDUP(AO40/AK40,0)</f>
        <v>35550</v>
      </c>
      <c r="AQ40" s="38">
        <f>AM40*AP40</f>
        <v>8532000</v>
      </c>
      <c r="AR40" s="75"/>
      <c r="AS40" s="38" t="s">
        <v>405</v>
      </c>
      <c r="AT40" s="38">
        <f>VLOOKUP(AS40,'Item Helper Sheet'!$A$2:$B$16,2,FALSE)</f>
        <v>5</v>
      </c>
      <c r="AU40" s="38">
        <v>2.0</v>
      </c>
      <c r="AV40" s="38">
        <v>1.0</v>
      </c>
      <c r="AW40" s="38">
        <f>AV40*8*4^AT40</f>
        <v>8192</v>
      </c>
      <c r="AX40" s="38">
        <f>MIN(ROUNDDOWN(AW40/AL40,0),X40)</f>
        <v>1</v>
      </c>
      <c r="AY40" s="38">
        <f>AX40*AU40</f>
        <v>2</v>
      </c>
      <c r="AZ40" s="38">
        <f>AL40</f>
        <v>240</v>
      </c>
      <c r="BA40" s="38">
        <f>MIN(AT40-Z40,IF(AW40&gt;=AZ41*4,
IF(AW40&gt;=AZ41*4^2,
IF(AW40&gt;=AZ41*4^3,
IF(AW40&gt;=AZ41*4^4,
IF(AW40&gt;=AZ41*4^5,
IF(AW40&gt;=AZ41*4^6,
IF(AW40&gt;=AZ41*4^7,
IF(AW40&gt;=AZ41*4^8,
IF(AW40&gt;=AZ41*4^9,
IF(AW40&gt;=AZ41*4^10,
9),
8),
7),
6),
5),
4),
3),
2),
1),
0))</f>
        <v>2</v>
      </c>
      <c r="BB40" s="38">
        <f>AZ40*AX40*4^BA40</f>
        <v>3840</v>
      </c>
      <c r="BC40" s="38">
        <f>BB40*AU40</f>
        <v>7680</v>
      </c>
      <c r="BD40" s="45">
        <f>ROUNDUP(IF(R40="Yes",AN40/(2^((BA40)*2)),AN40/(2^(BA40))),0)</f>
        <v>8888</v>
      </c>
      <c r="BE40" s="45">
        <f>ROUNDUP(BD40/VLOOKUP(H40,'Machine List'!$A$2:$D$219,3,FALSE),0)</f>
        <v>8888</v>
      </c>
      <c r="BF40" s="45">
        <f>ROUNDUP(BE40/AY40,0)</f>
        <v>4444</v>
      </c>
      <c r="BG40" s="46">
        <f>BF40*BC40</f>
        <v>34129920</v>
      </c>
      <c r="BI40" s="28"/>
      <c r="BQ40" s="6" t="s">
        <v>223</v>
      </c>
      <c r="BR40" s="6">
        <v>0.0</v>
      </c>
      <c r="BS40" s="6">
        <f>VLOOKUP(BQ40,'Item List'!$A$2:$D$300,2,FALSE)</f>
        <v>1</v>
      </c>
      <c r="BT40" s="6">
        <f>VLOOKUP(BQ40,'Item List'!$A$2:$D$300,3,FALSE)</f>
        <v>4</v>
      </c>
      <c r="BU40" s="6">
        <f>VLOOKUP(BQ40,'Item List'!$A$2:$D$300,4,FALSE)</f>
        <v>2</v>
      </c>
      <c r="BW40" s="6" t="s">
        <v>665</v>
      </c>
      <c r="BX40" s="6">
        <v>12006.0</v>
      </c>
      <c r="BY40" s="6">
        <v>10.0</v>
      </c>
      <c r="CA40" s="6" t="s">
        <v>665</v>
      </c>
      <c r="CB40" s="6">
        <v>18000.0</v>
      </c>
      <c r="CC40" s="6">
        <v>10000.0</v>
      </c>
    </row>
    <row r="41">
      <c r="B41" s="40"/>
      <c r="C41" s="41" t="s">
        <v>124</v>
      </c>
      <c r="D41" s="38">
        <f>500*I42</f>
        <v>592500</v>
      </c>
      <c r="E41" s="38" t="s">
        <v>223</v>
      </c>
      <c r="F41" s="42">
        <f>600*I42</f>
        <v>711000</v>
      </c>
      <c r="G41" s="112"/>
      <c r="H41" s="99" t="s">
        <v>584</v>
      </c>
      <c r="I41" s="45">
        <f t="array" ref="I41">match(TRUE,ISBLANK(F41:F53),0)-1</f>
        <v>1</v>
      </c>
      <c r="J41" s="120" t="s">
        <v>420</v>
      </c>
      <c r="K41" s="120" t="s">
        <v>585</v>
      </c>
      <c r="L41" s="121"/>
      <c r="M41" s="121"/>
      <c r="N41" s="121"/>
      <c r="O41" s="121"/>
      <c r="P41" s="121"/>
      <c r="Q41" s="121"/>
      <c r="R41" s="121"/>
      <c r="S41" s="121"/>
      <c r="T41" s="121"/>
      <c r="U41" s="121"/>
      <c r="V41" s="121"/>
      <c r="W41" s="121"/>
      <c r="X41" s="121"/>
      <c r="Y41" s="121"/>
      <c r="Z41" s="121"/>
      <c r="AA41" s="121"/>
      <c r="AB41" s="121"/>
      <c r="AC41" s="121"/>
      <c r="AD41" s="121"/>
      <c r="AE41" s="118"/>
      <c r="AF41" s="121"/>
      <c r="AG41" s="121"/>
      <c r="AH41" s="121"/>
      <c r="AI41" s="121"/>
      <c r="AJ41" s="121"/>
      <c r="AK41" s="121"/>
      <c r="AL41" s="121"/>
      <c r="AM41" s="121"/>
      <c r="AN41" s="121"/>
      <c r="AO41" s="121"/>
      <c r="AP41" s="121"/>
      <c r="AQ41" s="121"/>
      <c r="AR41" s="118"/>
      <c r="AS41" s="121"/>
      <c r="AT41" s="121"/>
      <c r="AU41" s="121"/>
      <c r="AV41" s="121"/>
      <c r="AW41" s="121"/>
      <c r="AX41" s="121"/>
      <c r="AY41" s="121"/>
      <c r="AZ41" s="116">
        <f>AZ40*AX40</f>
        <v>240</v>
      </c>
      <c r="BA41" s="121"/>
      <c r="BB41" s="121"/>
      <c r="BC41" s="121"/>
      <c r="BD41" s="121"/>
      <c r="BE41" s="121"/>
      <c r="BF41" s="121"/>
      <c r="BG41" s="122"/>
      <c r="BI41" s="28"/>
      <c r="BQ41" s="6" t="s">
        <v>226</v>
      </c>
      <c r="BR41" s="6">
        <v>-592500.0</v>
      </c>
      <c r="BS41" s="6">
        <f>VLOOKUP(BQ41,'Item List'!$A$2:$D$300,2,FALSE)</f>
        <v>0</v>
      </c>
      <c r="BT41" s="6">
        <f>VLOOKUP(BQ41,'Item List'!$A$2:$D$300,3,FALSE)</f>
        <v>5</v>
      </c>
      <c r="BU41" s="6">
        <f>VLOOKUP(BQ41,'Item List'!$A$2:$D$300,4,FALSE)</f>
        <v>1</v>
      </c>
      <c r="BW41" s="6" t="s">
        <v>666</v>
      </c>
      <c r="BX41" s="6">
        <v>4006.0</v>
      </c>
      <c r="BY41" s="6">
        <v>10.0</v>
      </c>
      <c r="CA41" s="6" t="s">
        <v>666</v>
      </c>
      <c r="CB41" s="6">
        <v>10000.0</v>
      </c>
      <c r="CC41" s="6">
        <v>10000.0</v>
      </c>
    </row>
    <row r="42">
      <c r="B42" s="40"/>
      <c r="C42" s="41" t="s">
        <v>226</v>
      </c>
      <c r="D42" s="38">
        <f>500*I42</f>
        <v>592500</v>
      </c>
      <c r="E42" s="38"/>
      <c r="F42" s="42"/>
      <c r="G42" s="112"/>
      <c r="H42" s="56" t="s">
        <v>502</v>
      </c>
      <c r="I42" s="57">
        <v>1185.0</v>
      </c>
      <c r="J42" s="100" t="s">
        <v>427</v>
      </c>
      <c r="K42" s="120">
        <v>0.0</v>
      </c>
      <c r="L42" s="121"/>
      <c r="M42" s="121"/>
      <c r="N42" s="121"/>
      <c r="O42" s="121"/>
      <c r="P42" s="121"/>
      <c r="Q42" s="121"/>
      <c r="R42" s="121"/>
      <c r="S42" s="121"/>
      <c r="T42" s="121"/>
      <c r="U42" s="121"/>
      <c r="V42" s="121"/>
      <c r="W42" s="121"/>
      <c r="X42" s="121"/>
      <c r="Y42" s="121"/>
      <c r="Z42" s="121"/>
      <c r="AA42" s="121"/>
      <c r="AB42" s="121"/>
      <c r="AC42" s="121"/>
      <c r="AD42" s="121"/>
      <c r="AE42" s="118"/>
      <c r="AF42" s="121"/>
      <c r="AG42" s="121"/>
      <c r="AH42" s="121"/>
      <c r="AI42" s="121"/>
      <c r="AJ42" s="121"/>
      <c r="AK42" s="121"/>
      <c r="AL42" s="121"/>
      <c r="AM42" s="121"/>
      <c r="AN42" s="121"/>
      <c r="AO42" s="121"/>
      <c r="AP42" s="121"/>
      <c r="AQ42" s="121"/>
      <c r="AR42" s="118"/>
      <c r="AS42" s="121"/>
      <c r="AT42" s="121"/>
      <c r="AU42" s="121"/>
      <c r="AV42" s="121"/>
      <c r="AW42" s="121"/>
      <c r="AX42" s="121"/>
      <c r="AY42" s="121"/>
      <c r="AZ42" s="121"/>
      <c r="BA42" s="121"/>
      <c r="BB42" s="121"/>
      <c r="BC42" s="121"/>
      <c r="BD42" s="121"/>
      <c r="BE42" s="121"/>
      <c r="BF42" s="121"/>
      <c r="BG42" s="122"/>
      <c r="BI42" s="28"/>
      <c r="BQ42" s="6" t="s">
        <v>228</v>
      </c>
      <c r="BR42" s="6">
        <v>6400.0</v>
      </c>
      <c r="BS42" s="6">
        <f>VLOOKUP(BQ42,'Item List'!$A$2:$D$300,2,FALSE)</f>
        <v>1</v>
      </c>
      <c r="BT42" s="6">
        <f>VLOOKUP(BQ42,'Item List'!$A$2:$D$300,3,FALSE)</f>
        <v>4</v>
      </c>
      <c r="BU42" s="6">
        <f>VLOOKUP(BQ42,'Item List'!$A$2:$D$300,4,FALSE)</f>
        <v>2</v>
      </c>
      <c r="BW42" s="6" t="s">
        <v>667</v>
      </c>
      <c r="BX42" s="6">
        <v>4006.0</v>
      </c>
      <c r="BY42" s="6">
        <v>10.0</v>
      </c>
      <c r="CA42" s="6" t="s">
        <v>667</v>
      </c>
      <c r="CB42" s="6">
        <v>10000.0</v>
      </c>
      <c r="CC42" s="6">
        <v>10000.0</v>
      </c>
    </row>
    <row r="43">
      <c r="B43" s="50"/>
      <c r="C43" s="51"/>
      <c r="D43" s="52"/>
      <c r="E43" s="52"/>
      <c r="F43" s="52"/>
      <c r="G43" s="112"/>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2"/>
      <c r="AF43" s="113"/>
      <c r="AG43" s="113"/>
      <c r="AH43" s="113"/>
      <c r="AI43" s="113"/>
      <c r="AJ43" s="113"/>
      <c r="AK43" s="113"/>
      <c r="AL43" s="113"/>
      <c r="AM43" s="113"/>
      <c r="AN43" s="113"/>
      <c r="AO43" s="113"/>
      <c r="AP43" s="113"/>
      <c r="AQ43" s="113"/>
      <c r="AR43" s="112"/>
      <c r="AS43" s="113"/>
      <c r="AT43" s="113"/>
      <c r="AU43" s="113"/>
      <c r="AV43" s="113"/>
      <c r="AW43" s="113"/>
      <c r="AX43" s="113"/>
      <c r="AY43" s="113"/>
      <c r="AZ43" s="113"/>
      <c r="BA43" s="113"/>
      <c r="BB43" s="113"/>
      <c r="BC43" s="113"/>
      <c r="BD43" s="113"/>
      <c r="BE43" s="113"/>
      <c r="BF43" s="113"/>
      <c r="BG43" s="114"/>
      <c r="BI43" s="28"/>
      <c r="BQ43" s="6" t="s">
        <v>229</v>
      </c>
      <c r="BR43" s="6">
        <v>-1600.0</v>
      </c>
      <c r="BS43" s="6">
        <f>VLOOKUP(BQ43,'Item List'!$A$2:$D$300,2,FALSE)</f>
        <v>1</v>
      </c>
      <c r="BT43" s="6">
        <f>VLOOKUP(BQ43,'Item List'!$A$2:$D$300,3,FALSE)</f>
        <v>4</v>
      </c>
      <c r="BU43" s="6">
        <f>VLOOKUP(BQ43,'Item List'!$A$2:$D$300,4,FALSE)</f>
        <v>2</v>
      </c>
      <c r="BW43" s="6" t="s">
        <v>668</v>
      </c>
      <c r="BX43" s="6">
        <v>4006.0</v>
      </c>
      <c r="BY43" s="6">
        <v>10.0</v>
      </c>
      <c r="CA43" s="6" t="s">
        <v>668</v>
      </c>
      <c r="CB43" s="6">
        <v>10000.0</v>
      </c>
      <c r="CC43" s="6">
        <v>10000.0</v>
      </c>
    </row>
    <row r="44">
      <c r="B44" s="31" t="s">
        <v>661</v>
      </c>
      <c r="C44" s="54"/>
      <c r="D44" s="45"/>
      <c r="E44" s="45"/>
      <c r="F44" s="47"/>
      <c r="G44" s="112"/>
      <c r="H44" s="55" t="s">
        <v>298</v>
      </c>
      <c r="I44" s="38" t="str">
        <f>VLOOKUP(H44,'Machine List'!$A$1:$I$300,9,FALSE)</f>
        <v>4000+500(7O-5)</v>
      </c>
      <c r="J44" s="38">
        <f>IF(VLOOKUP(H44,'Machine List'!$A$1:$I$300,5,FALSE)="Multi",IF(VLOOKUP(H44,'Machine List'!$A$1:$I$300,6,FALSE)="Yes",AG44*3*10^Z44,AG44*(2*3)*10^(Z44-1)),0)</f>
        <v>6</v>
      </c>
      <c r="K44" s="38">
        <f>J44+IF(ISNUMBER(I44),I44,
  SWITCH(
      I44,
      "1T",1*10^Z44,
      "2T",2*10^Z44,
      "3T",3*10^Z44,
      "4T",4*10^Z44,
      "4000+500(7O-5)",4000+500*(7*I45-5),
      1
  )
)</f>
        <v>43506</v>
      </c>
      <c r="L44" s="38">
        <f>IF(VLOOKUP(H44,'Machine List'!$A$1:$I$300,5,FALSE)="Multi",IF(VLOOKUP(H44,'Machine List'!$A$1:$I$300,6,FALSE)="Yes",AU44*3*10^AT44,AU44*(2*3)*10^(AT44-1)),0)</f>
        <v>240000</v>
      </c>
      <c r="M44" s="38">
        <f>L44+IF(ISNUMBER(I44),I44,
  SWITCH(
      I44,
      "1T",1*10^AT44,
      "2T",2*10^AT44,
      "3T",3*10^AT44,
      "4T",4*10^AT44,
      "4000+500(7O-5)",4000+500*(7*I45-5),
      1
  )
)</f>
        <v>283500</v>
      </c>
      <c r="N44" s="38" t="str">
        <f>VLOOKUP(H44,'Machine List'!$A$1:$I$300,8,FALSE)</f>
        <v>Tier</v>
      </c>
      <c r="O44" s="38">
        <f>IF(ISNUMBER(N44),N44,10^Z44)</f>
        <v>10</v>
      </c>
      <c r="P44" s="38">
        <f>IF(ISNUMBER(N44),N44,10^AT44)</f>
        <v>100000</v>
      </c>
      <c r="Q44" s="38">
        <f>VLOOKUP(H44,'Machine List'!$A$1:$B$138,2,FALSE)</f>
        <v>1</v>
      </c>
      <c r="R44" s="38" t="s">
        <v>277</v>
      </c>
      <c r="S44" s="45">
        <f>IF(ISNUMBER(Q44),Q44,
  SWITCH(
      Q44,
      "1",1,
      "2T",Z44*2,
      "4T",Z44*4,
      "6T",Z44*6,
      "8T",Z44*8,
      "10T",Z44*10,
      "12T",Z44*12,
      "14T",Z44*14,
      "16T",Z44*16,
      "2(T+1)",2*(Z44+1),
      "1T*C",Z44*J46,
      1
  )
)</f>
        <v>1</v>
      </c>
      <c r="T44" s="38" t="s">
        <v>277</v>
      </c>
      <c r="U44" s="38">
        <f>IF(OR(T44="No",T44=""),S44,T44)</f>
        <v>1</v>
      </c>
      <c r="V44" s="38">
        <f>IF(ISNUMBER(Q44),Q44,
  SWITCH(
      Q44,
      "1",1,
      "2T",AT44*2,
      "4T",AT44*4,
      "6T",AT44*6,
      "8T",AT44*8,
      "10T",AT44*10,
      "12T",AT44*12,
      "14T",AT44*14,
      "16T",AT44*16,
      "2(T+1)",2*(AT44+1),
      "1T*C",AT44*J46,
      1
  )
)</f>
        <v>1</v>
      </c>
      <c r="W44" s="38" t="str">
        <f>T44</f>
        <v>No</v>
      </c>
      <c r="X44" s="38">
        <f>IF(OR(W44="No",W44=""),V44,W44)</f>
        <v>1</v>
      </c>
      <c r="Y44" s="38" t="s">
        <v>390</v>
      </c>
      <c r="Z44" s="38">
        <f>VLOOKUP(Y44,'Item Helper Sheet'!$A$2:$B$16,2,FALSE)</f>
        <v>1</v>
      </c>
      <c r="AA44" s="38">
        <v>120.0</v>
      </c>
      <c r="AB44" s="38">
        <f>6*20</f>
        <v>120</v>
      </c>
      <c r="AC44" s="38">
        <f>AB44*I46</f>
        <v>85320</v>
      </c>
      <c r="AD44" s="38">
        <f>AA44*AC44</f>
        <v>10238400</v>
      </c>
      <c r="AE44" s="75"/>
      <c r="AF44" s="38" t="str">
        <f>Y44</f>
        <v>01 - LV</v>
      </c>
      <c r="AG44" s="38">
        <v>1.0</v>
      </c>
      <c r="AH44" s="38">
        <v>1.0</v>
      </c>
      <c r="AI44" s="38">
        <f>AH44*8*4^Z44</f>
        <v>32</v>
      </c>
      <c r="AJ44" s="38">
        <f>MIN(ROUNDDOWN(AI44/AL44,0),U44)</f>
        <v>0</v>
      </c>
      <c r="AK44" s="38">
        <f>IF(OR(T44="No",T44=""),AG44*S44,AG44*T44)</f>
        <v>1</v>
      </c>
      <c r="AL44" s="38">
        <f>ROUNDUP(AA44*VLOOKUP(H44,'Machine List'!$A$2:$D$219,4,FALSE),0)</f>
        <v>120</v>
      </c>
      <c r="AM44" s="38">
        <f>AL44*AK44</f>
        <v>120</v>
      </c>
      <c r="AN44" s="38">
        <f>ROUNDUP(AB44*I46,0)</f>
        <v>85320</v>
      </c>
      <c r="AO44" s="38">
        <f>ROUNDUP(AN44/VLOOKUP(H44,'Machine List'!$A$2:$D$219,3,FALSE),0)</f>
        <v>85320</v>
      </c>
      <c r="AP44" s="38">
        <f>ROUNDUP(AO44/AK44,0)</f>
        <v>85320</v>
      </c>
      <c r="AQ44" s="38">
        <f>AM44*AP44</f>
        <v>10238400</v>
      </c>
      <c r="AR44" s="75"/>
      <c r="AS44" s="38" t="s">
        <v>405</v>
      </c>
      <c r="AT44" s="38">
        <f>VLOOKUP(AS44,'Item Helper Sheet'!$A$2:$B$16,2,FALSE)</f>
        <v>5</v>
      </c>
      <c r="AU44" s="38">
        <v>4.0</v>
      </c>
      <c r="AV44" s="38">
        <v>1.0</v>
      </c>
      <c r="AW44" s="38">
        <f>AV44*8*4^AT44</f>
        <v>8192</v>
      </c>
      <c r="AX44" s="38">
        <f>MIN(ROUNDDOWN(AW44/AL44,0),X44)</f>
        <v>1</v>
      </c>
      <c r="AY44" s="38">
        <f>AX44*AU44</f>
        <v>4</v>
      </c>
      <c r="AZ44" s="38">
        <f>AL44</f>
        <v>120</v>
      </c>
      <c r="BA44" s="38">
        <f>MIN(AT44-Z44,IF(AW44&gt;=AZ45*4,
IF(AW44&gt;=AZ45*4^2,
IF(AW44&gt;=AZ45*4^3,
IF(AW44&gt;=AZ45*4^4,
IF(AW44&gt;=AZ45*4^5,
IF(AW44&gt;=AZ45*4^6,
IF(AW44&gt;=AZ45*4^7,
IF(AW44&gt;=AZ45*4^8,
IF(AW44&gt;=AZ45*4^9,
IF(AW44&gt;=AZ45*4^10,
9),
8),
7),
6),
5),
4),
3),
2),
1),
0))</f>
        <v>3</v>
      </c>
      <c r="BB44" s="38">
        <f>AZ44*AX44*4^BA44</f>
        <v>7680</v>
      </c>
      <c r="BC44" s="38">
        <f>BB44*AU44</f>
        <v>30720</v>
      </c>
      <c r="BD44" s="45">
        <f>ROUNDUP(IF(R44="Yes",AN44/(2^((BA44)*2)),AN44/(2^(BA44))),0)</f>
        <v>10665</v>
      </c>
      <c r="BE44" s="45">
        <f>ROUNDUP(BD44/VLOOKUP(H44,'Machine List'!$A$2:$D$219,3,FALSE),0)</f>
        <v>10665</v>
      </c>
      <c r="BF44" s="45">
        <f>ROUNDUP(BE44/AY44,0)</f>
        <v>2667</v>
      </c>
      <c r="BG44" s="46">
        <f>BF44*BC44</f>
        <v>81930240</v>
      </c>
      <c r="BI44" s="28"/>
      <c r="BQ44" s="6" t="s">
        <v>230</v>
      </c>
      <c r="BR44" s="6">
        <v>0.0</v>
      </c>
      <c r="BS44" s="6">
        <f>VLOOKUP(BQ44,'Item List'!$A$2:$D$300,2,FALSE)</f>
        <v>1</v>
      </c>
      <c r="BT44" s="6">
        <f>VLOOKUP(BQ44,'Item List'!$A$2:$D$300,3,FALSE)</f>
        <v>4</v>
      </c>
      <c r="BU44" s="6">
        <f>VLOOKUP(BQ44,'Item List'!$A$2:$D$300,4,FALSE)</f>
        <v>2</v>
      </c>
      <c r="BW44" s="6" t="s">
        <v>669</v>
      </c>
      <c r="BX44" s="6">
        <v>4006.0</v>
      </c>
      <c r="BY44" s="6">
        <v>10.0</v>
      </c>
      <c r="CA44" s="6" t="s">
        <v>669</v>
      </c>
      <c r="CB44" s="6">
        <v>10000.0</v>
      </c>
      <c r="CC44" s="6">
        <v>10000.0</v>
      </c>
    </row>
    <row r="45">
      <c r="B45" s="40"/>
      <c r="C45" s="41" t="s">
        <v>223</v>
      </c>
      <c r="D45" s="38">
        <f>1000*I46</f>
        <v>711000</v>
      </c>
      <c r="E45" s="38" t="s">
        <v>118</v>
      </c>
      <c r="F45" s="42">
        <f>500*I46</f>
        <v>355500</v>
      </c>
      <c r="G45" s="112"/>
      <c r="H45" s="99" t="s">
        <v>584</v>
      </c>
      <c r="I45" s="45">
        <f t="array" ref="I45">match(TRUE,ISBLANK(F45:F57),0)-1</f>
        <v>12</v>
      </c>
      <c r="J45" s="120" t="s">
        <v>420</v>
      </c>
      <c r="K45" s="120" t="s">
        <v>585</v>
      </c>
      <c r="L45" s="121"/>
      <c r="M45" s="121"/>
      <c r="N45" s="121"/>
      <c r="O45" s="121"/>
      <c r="P45" s="121"/>
      <c r="Q45" s="121"/>
      <c r="R45" s="121"/>
      <c r="S45" s="121"/>
      <c r="T45" s="121"/>
      <c r="U45" s="121"/>
      <c r="V45" s="121"/>
      <c r="W45" s="121"/>
      <c r="X45" s="121"/>
      <c r="Y45" s="121"/>
      <c r="Z45" s="121"/>
      <c r="AA45" s="121"/>
      <c r="AB45" s="121"/>
      <c r="AC45" s="121"/>
      <c r="AD45" s="121"/>
      <c r="AE45" s="118"/>
      <c r="AF45" s="121"/>
      <c r="AG45" s="121"/>
      <c r="AH45" s="121"/>
      <c r="AI45" s="121"/>
      <c r="AJ45" s="121"/>
      <c r="AK45" s="121"/>
      <c r="AL45" s="121"/>
      <c r="AM45" s="121"/>
      <c r="AN45" s="121"/>
      <c r="AO45" s="121"/>
      <c r="AP45" s="121"/>
      <c r="AQ45" s="121"/>
      <c r="AR45" s="118"/>
      <c r="AS45" s="121"/>
      <c r="AT45" s="121"/>
      <c r="AU45" s="121"/>
      <c r="AV45" s="121"/>
      <c r="AW45" s="121"/>
      <c r="AX45" s="121"/>
      <c r="AY45" s="121"/>
      <c r="AZ45" s="116">
        <f>AZ44*AX44</f>
        <v>120</v>
      </c>
      <c r="BA45" s="121"/>
      <c r="BB45" s="121"/>
      <c r="BC45" s="121"/>
      <c r="BD45" s="121"/>
      <c r="BE45" s="121"/>
      <c r="BF45" s="121"/>
      <c r="BG45" s="122"/>
      <c r="BI45" s="28"/>
      <c r="BQ45" s="6" t="s">
        <v>231</v>
      </c>
      <c r="BR45" s="6">
        <v>0.0</v>
      </c>
      <c r="BS45" s="6">
        <f>VLOOKUP(BQ45,'Item List'!$A$2:$D$300,2,FALSE)</f>
        <v>1</v>
      </c>
      <c r="BT45" s="6">
        <f>VLOOKUP(BQ45,'Item List'!$A$2:$D$300,3,FALSE)</f>
        <v>4</v>
      </c>
      <c r="BU45" s="6">
        <f>VLOOKUP(BQ45,'Item List'!$A$2:$D$300,4,FALSE)</f>
        <v>2</v>
      </c>
      <c r="BW45" s="6" t="s">
        <v>670</v>
      </c>
      <c r="BX45" s="6">
        <v>4006.0</v>
      </c>
      <c r="BY45" s="6">
        <v>10.0</v>
      </c>
      <c r="CA45" s="6" t="s">
        <v>670</v>
      </c>
      <c r="CB45" s="6">
        <v>10000.0</v>
      </c>
      <c r="CC45" s="6">
        <v>10000.0</v>
      </c>
    </row>
    <row r="46">
      <c r="B46" s="40"/>
      <c r="C46" s="41"/>
      <c r="D46" s="38"/>
      <c r="E46" s="38" t="s">
        <v>64</v>
      </c>
      <c r="F46" s="42">
        <f>500*I46</f>
        <v>355500</v>
      </c>
      <c r="G46" s="112"/>
      <c r="H46" s="48" t="s">
        <v>502</v>
      </c>
      <c r="I46" s="49">
        <v>711.0</v>
      </c>
      <c r="J46" s="100" t="s">
        <v>424</v>
      </c>
      <c r="K46" s="120">
        <v>0.0</v>
      </c>
      <c r="L46" s="121"/>
      <c r="M46" s="121"/>
      <c r="N46" s="121"/>
      <c r="O46" s="121"/>
      <c r="P46" s="121"/>
      <c r="Q46" s="121"/>
      <c r="R46" s="121"/>
      <c r="S46" s="121"/>
      <c r="T46" s="121"/>
      <c r="U46" s="121"/>
      <c r="V46" s="121"/>
      <c r="W46" s="121"/>
      <c r="X46" s="121"/>
      <c r="Y46" s="121"/>
      <c r="Z46" s="121"/>
      <c r="AA46" s="121"/>
      <c r="AB46" s="121"/>
      <c r="AC46" s="121"/>
      <c r="AD46" s="121"/>
      <c r="AE46" s="118"/>
      <c r="AF46" s="121"/>
      <c r="AG46" s="121"/>
      <c r="AH46" s="121"/>
      <c r="AI46" s="121"/>
      <c r="AJ46" s="121"/>
      <c r="AK46" s="121"/>
      <c r="AL46" s="121"/>
      <c r="AM46" s="121"/>
      <c r="AN46" s="121"/>
      <c r="AO46" s="121"/>
      <c r="AP46" s="121"/>
      <c r="AQ46" s="121"/>
      <c r="AR46" s="118"/>
      <c r="AS46" s="121"/>
      <c r="AT46" s="121"/>
      <c r="AU46" s="121"/>
      <c r="AV46" s="121"/>
      <c r="AW46" s="121"/>
      <c r="AX46" s="121"/>
      <c r="AY46" s="121"/>
      <c r="AZ46" s="121"/>
      <c r="BA46" s="121"/>
      <c r="BB46" s="121"/>
      <c r="BC46" s="121"/>
      <c r="BD46" s="121"/>
      <c r="BE46" s="121"/>
      <c r="BF46" s="121"/>
      <c r="BG46" s="122"/>
      <c r="BI46" s="28"/>
      <c r="BQ46" s="6" t="s">
        <v>238</v>
      </c>
      <c r="BR46" s="6">
        <v>6420.0</v>
      </c>
      <c r="BS46" s="6">
        <f>VLOOKUP(BQ46,'Item List'!$A$2:$D$300,2,FALSE)</f>
        <v>1</v>
      </c>
      <c r="BT46" s="6">
        <f>VLOOKUP(BQ46,'Item List'!$A$2:$D$300,3,FALSE)</f>
        <v>5</v>
      </c>
      <c r="BU46" s="6">
        <f>VLOOKUP(BQ46,'Item List'!$A$2:$D$300,4,FALSE)</f>
        <v>2</v>
      </c>
      <c r="BW46" s="6" t="s">
        <v>671</v>
      </c>
      <c r="BX46" s="6">
        <v>4006.0</v>
      </c>
      <c r="BY46" s="6">
        <v>10.0</v>
      </c>
      <c r="CA46" s="6" t="s">
        <v>671</v>
      </c>
      <c r="CB46" s="6">
        <v>10000.0</v>
      </c>
      <c r="CC46" s="6">
        <v>10000.0</v>
      </c>
    </row>
    <row r="47">
      <c r="B47" s="40"/>
      <c r="C47" s="41"/>
      <c r="D47" s="38"/>
      <c r="E47" s="38" t="s">
        <v>61</v>
      </c>
      <c r="F47" s="42">
        <f>65*I46</f>
        <v>46215</v>
      </c>
      <c r="G47" s="112"/>
      <c r="H47" s="123"/>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8"/>
      <c r="AF47" s="101"/>
      <c r="AG47" s="101"/>
      <c r="AH47" s="101"/>
      <c r="AI47" s="101"/>
      <c r="AJ47" s="101"/>
      <c r="AK47" s="101"/>
      <c r="AL47" s="101"/>
      <c r="AM47" s="101"/>
      <c r="AN47" s="101"/>
      <c r="AO47" s="101"/>
      <c r="AP47" s="101"/>
      <c r="AQ47" s="101"/>
      <c r="AR47" s="118"/>
      <c r="AS47" s="101"/>
      <c r="AT47" s="101"/>
      <c r="AU47" s="101"/>
      <c r="AV47" s="101"/>
      <c r="AW47" s="101"/>
      <c r="AX47" s="101"/>
      <c r="AY47" s="101"/>
      <c r="AZ47" s="101"/>
      <c r="BA47" s="101"/>
      <c r="BB47" s="101"/>
      <c r="BC47" s="101"/>
      <c r="BD47" s="101"/>
      <c r="BE47" s="101"/>
      <c r="BF47" s="101"/>
      <c r="BG47" s="124"/>
      <c r="BI47" s="28"/>
      <c r="BQ47" s="6" t="s">
        <v>248</v>
      </c>
      <c r="BR47" s="6">
        <v>10000.0</v>
      </c>
      <c r="BS47" s="6">
        <f>VLOOKUP(BQ47,'Item List'!$A$2:$D$300,2,FALSE)</f>
        <v>0</v>
      </c>
      <c r="BT47" s="6">
        <f>VLOOKUP(BQ47,'Item List'!$A$2:$D$300,3,FALSE)</f>
        <v>5</v>
      </c>
      <c r="BU47" s="6">
        <f>VLOOKUP(BQ47,'Item List'!$A$2:$D$300,4,FALSE)</f>
        <v>0</v>
      </c>
    </row>
    <row r="48">
      <c r="B48" s="40"/>
      <c r="C48" s="41"/>
      <c r="D48" s="38"/>
      <c r="E48" s="38" t="s">
        <v>162</v>
      </c>
      <c r="F48" s="42">
        <f>300*I46</f>
        <v>213300</v>
      </c>
      <c r="G48" s="112"/>
      <c r="H48" s="123"/>
      <c r="I48" s="101"/>
      <c r="J48" s="101"/>
      <c r="K48" s="132"/>
      <c r="L48" s="132"/>
      <c r="M48" s="132"/>
      <c r="N48" s="101"/>
      <c r="O48" s="101"/>
      <c r="P48" s="101"/>
      <c r="Q48" s="101"/>
      <c r="R48" s="101"/>
      <c r="S48" s="101"/>
      <c r="T48" s="101"/>
      <c r="U48" s="101"/>
      <c r="V48" s="101"/>
      <c r="W48" s="101"/>
      <c r="X48" s="101"/>
      <c r="Y48" s="132"/>
      <c r="Z48" s="101"/>
      <c r="AA48" s="132"/>
      <c r="AB48" s="101"/>
      <c r="AC48" s="101"/>
      <c r="AD48" s="101"/>
      <c r="AE48" s="118"/>
      <c r="AF48" s="101"/>
      <c r="AG48" s="101"/>
      <c r="AH48" s="101"/>
      <c r="AI48" s="101"/>
      <c r="AJ48" s="101"/>
      <c r="AK48" s="101"/>
      <c r="AL48" s="101"/>
      <c r="AM48" s="101"/>
      <c r="AN48" s="101"/>
      <c r="AO48" s="101"/>
      <c r="AP48" s="101"/>
      <c r="AQ48" s="101"/>
      <c r="AR48" s="118"/>
      <c r="AS48" s="101"/>
      <c r="AT48" s="101"/>
      <c r="AU48" s="101"/>
      <c r="AV48" s="101"/>
      <c r="AW48" s="101"/>
      <c r="AX48" s="101"/>
      <c r="AY48" s="101"/>
      <c r="AZ48" s="101"/>
      <c r="BA48" s="101"/>
      <c r="BB48" s="101"/>
      <c r="BC48" s="101"/>
      <c r="BD48" s="101"/>
      <c r="BE48" s="101"/>
      <c r="BF48" s="101"/>
      <c r="BG48" s="124"/>
      <c r="BI48" s="28"/>
    </row>
    <row r="49">
      <c r="B49" s="40"/>
      <c r="C49" s="41"/>
      <c r="D49" s="38"/>
      <c r="E49" s="38" t="s">
        <v>161</v>
      </c>
      <c r="F49" s="42">
        <f>15*I46</f>
        <v>10665</v>
      </c>
      <c r="G49" s="112"/>
      <c r="H49" s="13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8"/>
      <c r="AF49" s="101"/>
      <c r="AG49" s="101"/>
      <c r="AH49" s="101"/>
      <c r="AI49" s="101"/>
      <c r="AJ49" s="101"/>
      <c r="AK49" s="101"/>
      <c r="AL49" s="101"/>
      <c r="AM49" s="101"/>
      <c r="AN49" s="101"/>
      <c r="AO49" s="101"/>
      <c r="AP49" s="101"/>
      <c r="AQ49" s="101"/>
      <c r="AR49" s="118"/>
      <c r="AS49" s="101"/>
      <c r="AT49" s="101"/>
      <c r="AU49" s="101"/>
      <c r="AV49" s="101"/>
      <c r="AW49" s="101"/>
      <c r="AX49" s="101"/>
      <c r="AY49" s="101"/>
      <c r="AZ49" s="101"/>
      <c r="BA49" s="101"/>
      <c r="BB49" s="101"/>
      <c r="BC49" s="101"/>
      <c r="BD49" s="101"/>
      <c r="BE49" s="101"/>
      <c r="BF49" s="101"/>
      <c r="BG49" s="124"/>
      <c r="BI49" s="28"/>
    </row>
    <row r="50">
      <c r="B50" s="40"/>
      <c r="C50" s="41"/>
      <c r="D50" s="38"/>
      <c r="E50" s="38" t="s">
        <v>37</v>
      </c>
      <c r="F50" s="42">
        <f>50*I46</f>
        <v>35550</v>
      </c>
      <c r="G50" s="112"/>
      <c r="H50" s="123"/>
      <c r="I50" s="132"/>
      <c r="J50" s="132"/>
      <c r="K50" s="101"/>
      <c r="L50" s="101"/>
      <c r="M50" s="101"/>
      <c r="N50" s="101"/>
      <c r="O50" s="101"/>
      <c r="P50" s="101"/>
      <c r="Q50" s="101"/>
      <c r="R50" s="101"/>
      <c r="S50" s="101"/>
      <c r="T50" s="101"/>
      <c r="U50" s="101"/>
      <c r="V50" s="101"/>
      <c r="W50" s="101"/>
      <c r="X50" s="101"/>
      <c r="Y50" s="101"/>
      <c r="Z50" s="101"/>
      <c r="AA50" s="101"/>
      <c r="AB50" s="101"/>
      <c r="AC50" s="101"/>
      <c r="AD50" s="101"/>
      <c r="AE50" s="118"/>
      <c r="AF50" s="101"/>
      <c r="AG50" s="101"/>
      <c r="AH50" s="101"/>
      <c r="AI50" s="101"/>
      <c r="AJ50" s="101"/>
      <c r="AK50" s="101"/>
      <c r="AL50" s="101"/>
      <c r="AM50" s="101"/>
      <c r="AN50" s="101"/>
      <c r="AO50" s="101"/>
      <c r="AP50" s="101"/>
      <c r="AQ50" s="101"/>
      <c r="AR50" s="118"/>
      <c r="AS50" s="101"/>
      <c r="AT50" s="101"/>
      <c r="AU50" s="101"/>
      <c r="AV50" s="101"/>
      <c r="AW50" s="101"/>
      <c r="AX50" s="101"/>
      <c r="AY50" s="101"/>
      <c r="AZ50" s="101"/>
      <c r="BA50" s="101"/>
      <c r="BB50" s="101"/>
      <c r="BC50" s="101"/>
      <c r="BD50" s="101"/>
      <c r="BE50" s="101"/>
      <c r="BF50" s="101"/>
      <c r="BG50" s="124"/>
      <c r="BI50" s="28"/>
      <c r="BK50" s="6" t="s">
        <v>457</v>
      </c>
      <c r="BL50" s="6" t="s">
        <v>467</v>
      </c>
      <c r="BM50" s="6" t="s">
        <v>471</v>
      </c>
      <c r="BN50" s="6" t="s">
        <v>457</v>
      </c>
      <c r="BO50" s="6" t="s">
        <v>466</v>
      </c>
      <c r="BP50" s="6" t="s">
        <v>470</v>
      </c>
      <c r="BQ50" s="6" t="s">
        <v>457</v>
      </c>
      <c r="BR50" s="6" t="s">
        <v>484</v>
      </c>
      <c r="BS50" s="6" t="s">
        <v>605</v>
      </c>
      <c r="BT50" s="6" t="s">
        <v>606</v>
      </c>
    </row>
    <row r="51">
      <c r="B51" s="40"/>
      <c r="C51" s="41"/>
      <c r="D51" s="38"/>
      <c r="E51" s="38" t="s">
        <v>39</v>
      </c>
      <c r="F51" s="42">
        <f>50*I46</f>
        <v>35550</v>
      </c>
      <c r="G51" s="112"/>
      <c r="H51" s="123"/>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8"/>
      <c r="AF51" s="101"/>
      <c r="AG51" s="101"/>
      <c r="AH51" s="101"/>
      <c r="AI51" s="101"/>
      <c r="AJ51" s="101"/>
      <c r="AK51" s="101"/>
      <c r="AL51" s="101"/>
      <c r="AM51" s="101"/>
      <c r="AN51" s="101"/>
      <c r="AO51" s="101"/>
      <c r="AP51" s="101"/>
      <c r="AQ51" s="101"/>
      <c r="AR51" s="118"/>
      <c r="AS51" s="101"/>
      <c r="AT51" s="101"/>
      <c r="AU51" s="101"/>
      <c r="AV51" s="101"/>
      <c r="AW51" s="101"/>
      <c r="AX51" s="101"/>
      <c r="AY51" s="101"/>
      <c r="AZ51" s="101"/>
      <c r="BA51" s="101"/>
      <c r="BB51" s="101"/>
      <c r="BC51" s="101"/>
      <c r="BD51" s="101"/>
      <c r="BE51" s="101"/>
      <c r="BF51" s="101"/>
      <c r="BG51" s="124"/>
      <c r="BI51" s="28"/>
      <c r="BK51" s="6" t="s">
        <v>657</v>
      </c>
      <c r="BL51" s="6">
        <v>5898240.0</v>
      </c>
      <c r="BM51" s="6">
        <v>1.179648E7</v>
      </c>
      <c r="BN51" s="6" t="s">
        <v>657</v>
      </c>
      <c r="BO51" s="6">
        <v>12288.0</v>
      </c>
      <c r="BP51" s="6">
        <v>1536.0</v>
      </c>
      <c r="BQ51" s="6" t="s">
        <v>657</v>
      </c>
      <c r="BR51" s="6">
        <v>3.0</v>
      </c>
      <c r="BS51" s="6">
        <v>4.0</v>
      </c>
      <c r="BT51" s="6">
        <v>1.0</v>
      </c>
    </row>
    <row r="52">
      <c r="B52" s="40"/>
      <c r="C52" s="41"/>
      <c r="D52" s="38"/>
      <c r="E52" s="38" t="s">
        <v>30</v>
      </c>
      <c r="F52" s="42">
        <f>100*I46</f>
        <v>71100</v>
      </c>
      <c r="G52" s="112"/>
      <c r="H52" s="123"/>
      <c r="I52" s="101"/>
      <c r="J52" s="101"/>
      <c r="K52" s="132"/>
      <c r="L52" s="132"/>
      <c r="M52" s="132"/>
      <c r="N52" s="101"/>
      <c r="O52" s="101"/>
      <c r="P52" s="101"/>
      <c r="Q52" s="101"/>
      <c r="R52" s="101"/>
      <c r="S52" s="101"/>
      <c r="T52" s="101"/>
      <c r="U52" s="101"/>
      <c r="V52" s="101"/>
      <c r="W52" s="101"/>
      <c r="X52" s="101"/>
      <c r="Y52" s="132"/>
      <c r="Z52" s="101"/>
      <c r="AA52" s="132"/>
      <c r="AB52" s="101"/>
      <c r="AC52" s="101"/>
      <c r="AD52" s="101"/>
      <c r="AE52" s="118"/>
      <c r="AF52" s="101"/>
      <c r="AG52" s="101"/>
      <c r="AH52" s="101"/>
      <c r="AI52" s="101"/>
      <c r="AJ52" s="101"/>
      <c r="AK52" s="101"/>
      <c r="AL52" s="101"/>
      <c r="AM52" s="101"/>
      <c r="AN52" s="101"/>
      <c r="AO52" s="101"/>
      <c r="AP52" s="101"/>
      <c r="AQ52" s="101"/>
      <c r="AR52" s="118"/>
      <c r="AS52" s="101"/>
      <c r="AT52" s="101"/>
      <c r="AU52" s="101"/>
      <c r="AV52" s="101"/>
      <c r="AW52" s="101"/>
      <c r="AX52" s="101"/>
      <c r="AY52" s="101"/>
      <c r="AZ52" s="101"/>
      <c r="BA52" s="101"/>
      <c r="BB52" s="101"/>
      <c r="BC52" s="101"/>
      <c r="BD52" s="101"/>
      <c r="BE52" s="101"/>
      <c r="BF52" s="101"/>
      <c r="BG52" s="124"/>
      <c r="BI52" s="28"/>
      <c r="BK52" s="6" t="s">
        <v>593</v>
      </c>
      <c r="BL52" s="6">
        <v>67200.0</v>
      </c>
      <c r="BM52" s="6">
        <v>67200.0</v>
      </c>
      <c r="BN52" s="6" t="s">
        <v>593</v>
      </c>
      <c r="BO52" s="6">
        <v>2240.0</v>
      </c>
      <c r="BP52" s="6">
        <v>35.0</v>
      </c>
      <c r="BQ52" s="6" t="s">
        <v>593</v>
      </c>
      <c r="BR52" s="6">
        <v>1.0</v>
      </c>
      <c r="BS52" s="6">
        <v>4.0</v>
      </c>
      <c r="BT52" s="6">
        <v>3.0</v>
      </c>
    </row>
    <row r="53">
      <c r="B53" s="40"/>
      <c r="C53" s="41"/>
      <c r="D53" s="38"/>
      <c r="E53" s="38" t="s">
        <v>238</v>
      </c>
      <c r="F53" s="42">
        <f>20*I46</f>
        <v>14220</v>
      </c>
      <c r="G53" s="112"/>
      <c r="H53" s="13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8"/>
      <c r="AF53" s="101"/>
      <c r="AG53" s="101"/>
      <c r="AH53" s="101"/>
      <c r="AI53" s="101"/>
      <c r="AJ53" s="101"/>
      <c r="AK53" s="101"/>
      <c r="AL53" s="101"/>
      <c r="AM53" s="101"/>
      <c r="AN53" s="101"/>
      <c r="AO53" s="101"/>
      <c r="AP53" s="101"/>
      <c r="AQ53" s="101"/>
      <c r="AR53" s="118"/>
      <c r="AS53" s="101"/>
      <c r="AT53" s="101"/>
      <c r="AU53" s="101"/>
      <c r="AV53" s="101"/>
      <c r="AW53" s="101"/>
      <c r="AX53" s="101"/>
      <c r="AY53" s="101"/>
      <c r="AZ53" s="101"/>
      <c r="BA53" s="101"/>
      <c r="BB53" s="101"/>
      <c r="BC53" s="101"/>
      <c r="BD53" s="101"/>
      <c r="BE53" s="101"/>
      <c r="BF53" s="101"/>
      <c r="BG53" s="124"/>
      <c r="BI53" s="28"/>
      <c r="BK53" s="6" t="s">
        <v>599</v>
      </c>
      <c r="BL53" s="6">
        <v>230400.0</v>
      </c>
      <c r="BM53" s="6">
        <v>230400.0</v>
      </c>
      <c r="BN53" s="6" t="s">
        <v>599</v>
      </c>
      <c r="BO53" s="6">
        <v>7680.0</v>
      </c>
      <c r="BP53" s="6">
        <v>120.0</v>
      </c>
      <c r="BQ53" s="6" t="s">
        <v>599</v>
      </c>
      <c r="BR53" s="6">
        <v>1.0</v>
      </c>
      <c r="BS53" s="6">
        <v>4.0</v>
      </c>
      <c r="BT53" s="6">
        <v>3.0</v>
      </c>
    </row>
    <row r="54">
      <c r="B54" s="40"/>
      <c r="C54" s="41"/>
      <c r="D54" s="38"/>
      <c r="E54" s="38" t="s">
        <v>106</v>
      </c>
      <c r="F54" s="42">
        <f>50*I46</f>
        <v>35550</v>
      </c>
      <c r="G54" s="112"/>
      <c r="H54" s="123"/>
      <c r="I54" s="132"/>
      <c r="J54" s="132"/>
      <c r="K54" s="101"/>
      <c r="L54" s="101"/>
      <c r="M54" s="101"/>
      <c r="N54" s="101"/>
      <c r="O54" s="101"/>
      <c r="P54" s="101"/>
      <c r="Q54" s="101"/>
      <c r="R54" s="101"/>
      <c r="S54" s="101"/>
      <c r="T54" s="101"/>
      <c r="U54" s="101"/>
      <c r="V54" s="101"/>
      <c r="W54" s="101"/>
      <c r="X54" s="101"/>
      <c r="Y54" s="101"/>
      <c r="Z54" s="101"/>
      <c r="AA54" s="101"/>
      <c r="AB54" s="101"/>
      <c r="AC54" s="101"/>
      <c r="AD54" s="101"/>
      <c r="AE54" s="118"/>
      <c r="AF54" s="101"/>
      <c r="AG54" s="101"/>
      <c r="AH54" s="101"/>
      <c r="AI54" s="101"/>
      <c r="AJ54" s="101"/>
      <c r="AK54" s="101"/>
      <c r="AL54" s="101"/>
      <c r="AM54" s="101"/>
      <c r="AN54" s="101"/>
      <c r="AO54" s="101"/>
      <c r="AP54" s="101"/>
      <c r="AQ54" s="101"/>
      <c r="AR54" s="118"/>
      <c r="AS54" s="101"/>
      <c r="AT54" s="101"/>
      <c r="AU54" s="101"/>
      <c r="AV54" s="101"/>
      <c r="AW54" s="101"/>
      <c r="AX54" s="101"/>
      <c r="AY54" s="101"/>
      <c r="AZ54" s="101"/>
      <c r="BA54" s="101"/>
      <c r="BB54" s="101"/>
      <c r="BC54" s="101"/>
      <c r="BD54" s="101"/>
      <c r="BE54" s="101"/>
      <c r="BF54" s="101"/>
      <c r="BG54" s="124"/>
      <c r="BI54" s="28"/>
      <c r="BK54" s="6" t="s">
        <v>601</v>
      </c>
      <c r="BL54" s="6">
        <v>76800.0</v>
      </c>
      <c r="BM54" s="6">
        <v>76800.0</v>
      </c>
      <c r="BN54" s="6" t="s">
        <v>601</v>
      </c>
      <c r="BO54" s="6">
        <v>2560.0</v>
      </c>
      <c r="BP54" s="6">
        <v>40.0</v>
      </c>
      <c r="BQ54" s="6" t="s">
        <v>601</v>
      </c>
      <c r="BR54" s="6">
        <v>1.0</v>
      </c>
      <c r="BS54" s="6">
        <v>4.0</v>
      </c>
      <c r="BT54" s="6">
        <v>3.0</v>
      </c>
    </row>
    <row r="55">
      <c r="B55" s="40"/>
      <c r="C55" s="41"/>
      <c r="D55" s="38"/>
      <c r="E55" s="38" t="s">
        <v>81</v>
      </c>
      <c r="F55" s="42">
        <f>25*I46</f>
        <v>17775</v>
      </c>
      <c r="G55" s="112"/>
      <c r="H55" s="123"/>
      <c r="I55" s="101"/>
      <c r="J55" s="101"/>
      <c r="K55" s="101"/>
      <c r="L55" s="101"/>
      <c r="M55" s="101"/>
      <c r="N55" s="101"/>
      <c r="O55" s="101"/>
      <c r="P55" s="101"/>
      <c r="Q55" s="101"/>
      <c r="R55" s="101"/>
      <c r="S55" s="101"/>
      <c r="T55" s="101"/>
      <c r="U55" s="101"/>
      <c r="V55" s="101"/>
      <c r="W55" s="101"/>
      <c r="X55" s="101"/>
      <c r="Y55" s="101"/>
      <c r="Z55" s="101"/>
      <c r="AA55" s="101"/>
      <c r="AB55" s="101"/>
      <c r="AC55" s="101"/>
      <c r="AD55" s="101"/>
      <c r="AE55" s="118"/>
      <c r="AF55" s="101"/>
      <c r="AG55" s="101"/>
      <c r="AH55" s="101"/>
      <c r="AI55" s="101"/>
      <c r="AJ55" s="101"/>
      <c r="AK55" s="101"/>
      <c r="AL55" s="101"/>
      <c r="AM55" s="101"/>
      <c r="AN55" s="101"/>
      <c r="AO55" s="101"/>
      <c r="AP55" s="101"/>
      <c r="AQ55" s="101"/>
      <c r="AR55" s="118"/>
      <c r="AS55" s="101"/>
      <c r="AT55" s="101"/>
      <c r="AU55" s="101"/>
      <c r="AV55" s="101"/>
      <c r="AW55" s="101"/>
      <c r="AX55" s="101"/>
      <c r="AY55" s="101"/>
      <c r="AZ55" s="101"/>
      <c r="BA55" s="101"/>
      <c r="BB55" s="101"/>
      <c r="BC55" s="101"/>
      <c r="BD55" s="101"/>
      <c r="BE55" s="101"/>
      <c r="BF55" s="101"/>
      <c r="BG55" s="124"/>
      <c r="BI55" s="28"/>
      <c r="BK55" s="6" t="s">
        <v>611</v>
      </c>
      <c r="BL55" s="6">
        <v>24000.0</v>
      </c>
      <c r="BM55" s="6">
        <v>24960.0</v>
      </c>
      <c r="BN55" s="6" t="s">
        <v>611</v>
      </c>
      <c r="BO55" s="6">
        <v>800.0</v>
      </c>
      <c r="BP55" s="6">
        <v>13.0</v>
      </c>
      <c r="BQ55" s="6" t="s">
        <v>611</v>
      </c>
      <c r="BR55" s="6">
        <v>1.0</v>
      </c>
      <c r="BS55" s="6">
        <v>4.0</v>
      </c>
      <c r="BT55" s="6">
        <v>3.0</v>
      </c>
    </row>
    <row r="56">
      <c r="B56" s="40"/>
      <c r="C56" s="41"/>
      <c r="D56" s="38"/>
      <c r="E56" s="38" t="s">
        <v>44</v>
      </c>
      <c r="F56" s="42">
        <f>0.3*I46</f>
        <v>213.3</v>
      </c>
      <c r="G56" s="112"/>
      <c r="H56" s="123"/>
      <c r="I56" s="101"/>
      <c r="J56" s="101"/>
      <c r="K56" s="101"/>
      <c r="L56" s="101"/>
      <c r="M56" s="101"/>
      <c r="N56" s="101"/>
      <c r="O56" s="101"/>
      <c r="P56" s="101"/>
      <c r="Q56" s="101"/>
      <c r="R56" s="101"/>
      <c r="S56" s="101"/>
      <c r="T56" s="101"/>
      <c r="U56" s="101"/>
      <c r="V56" s="101"/>
      <c r="W56" s="101"/>
      <c r="X56" s="101"/>
      <c r="Y56" s="101"/>
      <c r="Z56" s="101"/>
      <c r="AA56" s="101"/>
      <c r="AB56" s="101"/>
      <c r="AC56" s="101"/>
      <c r="AD56" s="101"/>
      <c r="AE56" s="118"/>
      <c r="AF56" s="101"/>
      <c r="AG56" s="101"/>
      <c r="AH56" s="101"/>
      <c r="AI56" s="101"/>
      <c r="AJ56" s="101"/>
      <c r="AK56" s="101"/>
      <c r="AL56" s="101"/>
      <c r="AM56" s="101"/>
      <c r="AN56" s="101"/>
      <c r="AO56" s="101"/>
      <c r="AP56" s="101"/>
      <c r="AQ56" s="101"/>
      <c r="AR56" s="118"/>
      <c r="AS56" s="101"/>
      <c r="AT56" s="101"/>
      <c r="AU56" s="101"/>
      <c r="AV56" s="101"/>
      <c r="AW56" s="101"/>
      <c r="AX56" s="101"/>
      <c r="AY56" s="101"/>
      <c r="AZ56" s="101"/>
      <c r="BA56" s="101"/>
      <c r="BB56" s="101"/>
      <c r="BC56" s="101"/>
      <c r="BD56" s="101"/>
      <c r="BE56" s="101"/>
      <c r="BF56" s="101"/>
      <c r="BG56" s="124"/>
      <c r="BI56" s="28"/>
      <c r="BK56" s="6" t="s">
        <v>658</v>
      </c>
      <c r="BL56" s="6">
        <v>1056000.0</v>
      </c>
      <c r="BM56" s="6">
        <v>4224000.0</v>
      </c>
      <c r="BN56" s="6" t="s">
        <v>658</v>
      </c>
      <c r="BO56" s="6">
        <v>4400.0</v>
      </c>
      <c r="BP56" s="6">
        <v>550.0</v>
      </c>
      <c r="BQ56" s="6" t="s">
        <v>658</v>
      </c>
      <c r="BR56" s="6">
        <v>1.0</v>
      </c>
      <c r="BS56" s="6">
        <v>5.0</v>
      </c>
      <c r="BT56" s="6">
        <v>2.0</v>
      </c>
    </row>
    <row r="57">
      <c r="B57" s="50"/>
      <c r="C57" s="51"/>
      <c r="D57" s="52"/>
      <c r="E57" s="52"/>
      <c r="F57" s="52"/>
      <c r="G57" s="112"/>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2"/>
      <c r="AF57" s="113"/>
      <c r="AG57" s="113"/>
      <c r="AH57" s="113"/>
      <c r="AI57" s="113"/>
      <c r="AJ57" s="113"/>
      <c r="AK57" s="113"/>
      <c r="AL57" s="113"/>
      <c r="AM57" s="113"/>
      <c r="AN57" s="113"/>
      <c r="AO57" s="113"/>
      <c r="AP57" s="113"/>
      <c r="AQ57" s="113"/>
      <c r="AR57" s="112"/>
      <c r="AS57" s="113"/>
      <c r="AT57" s="113"/>
      <c r="AU57" s="113"/>
      <c r="AV57" s="113"/>
      <c r="AW57" s="113"/>
      <c r="AX57" s="113"/>
      <c r="AY57" s="113"/>
      <c r="AZ57" s="113"/>
      <c r="BA57" s="113"/>
      <c r="BB57" s="113"/>
      <c r="BC57" s="113"/>
      <c r="BD57" s="113"/>
      <c r="BE57" s="113"/>
      <c r="BF57" s="113"/>
      <c r="BG57" s="114"/>
      <c r="BI57" s="28"/>
      <c r="BK57" s="6" t="s">
        <v>659</v>
      </c>
      <c r="BL57" s="6">
        <v>3168000.0</v>
      </c>
      <c r="BM57" s="6">
        <v>2.5344E7</v>
      </c>
      <c r="BN57" s="6" t="s">
        <v>659</v>
      </c>
      <c r="BO57" s="6">
        <v>26400.0</v>
      </c>
      <c r="BP57" s="6">
        <v>825.0</v>
      </c>
      <c r="BQ57" s="6" t="s">
        <v>659</v>
      </c>
      <c r="BR57" s="6">
        <v>1.0</v>
      </c>
      <c r="BS57" s="6">
        <v>5.0</v>
      </c>
      <c r="BT57" s="6">
        <v>3.0</v>
      </c>
    </row>
    <row r="58">
      <c r="B58" s="31" t="s">
        <v>662</v>
      </c>
      <c r="C58" s="54"/>
      <c r="D58" s="45"/>
      <c r="E58" s="45"/>
      <c r="F58" s="47"/>
      <c r="G58" s="112"/>
      <c r="H58" s="55" t="s">
        <v>298</v>
      </c>
      <c r="I58" s="38" t="str">
        <f>VLOOKUP(H58,'Machine List'!$A$1:$I$300,9,FALSE)</f>
        <v>4000+500(7O-5)</v>
      </c>
      <c r="J58" s="38">
        <f>IF(VLOOKUP(H58,'Machine List'!$A$1:$I$300,5,FALSE)="Multi",IF(VLOOKUP(H58,'Machine List'!$A$1:$I$300,6,FALSE)="Yes",AG58*3*10^Z58,AG58*(2*3)*10^(Z58-1)),0)</f>
        <v>6</v>
      </c>
      <c r="K58" s="38">
        <f>J58+IF(ISNUMBER(I58),I58,
  SWITCH(
      I58,
      "1T",1*10^Z58,
      "2T",2*10^Z58,
      "3T",3*10^Z58,
      "4T",4*10^Z58,
      "4000+500(7O-5)",4000+500*(7*I59-5),
      1
  )
)</f>
        <v>12006</v>
      </c>
      <c r="L58" s="38">
        <f>IF(VLOOKUP(H58,'Machine List'!$A$1:$I$300,5,FALSE)="Multi",IF(VLOOKUP(H58,'Machine List'!$A$1:$I$300,6,FALSE)="Yes",AU58*3*10^AT58,AU58*(2*3)*10^(AT58-1)),0)</f>
        <v>6000</v>
      </c>
      <c r="M58" s="38">
        <f>L58+IF(ISNUMBER(I58),I58,
  SWITCH(
      I58,
      "1T",1*10^AT58,
      "2T",2*10^AT58,
      "3T",3*10^AT58,
      "4T",4*10^AT58,
      "4000+500(7O-5)",4000+500*(7*I59-5),
      1
  )
)</f>
        <v>18000</v>
      </c>
      <c r="N58" s="38" t="str">
        <f>VLOOKUP(H58,'Machine List'!$A$1:$I$300,8,FALSE)</f>
        <v>Tier</v>
      </c>
      <c r="O58" s="38">
        <f>IF(ISNUMBER(N58),N58,10^Z58)</f>
        <v>10</v>
      </c>
      <c r="P58" s="38">
        <f>IF(ISNUMBER(N58),N58,10^AT58)</f>
        <v>10000</v>
      </c>
      <c r="Q58" s="38">
        <f>VLOOKUP(H58,'Machine List'!$A$1:$B$138,2,FALSE)</f>
        <v>1</v>
      </c>
      <c r="R58" s="38" t="s">
        <v>277</v>
      </c>
      <c r="S58" s="45">
        <f>IF(ISNUMBER(Q58),Q58,
  SWITCH(
      Q58,
      "1",1,
      "2T",Z58*2,
      "4T",Z58*4,
      "6T",Z58*6,
      "8T",Z58*8,
      "10T",Z58*10,
      "12T",Z58*12,
      "14T",Z58*14,
      "16T",Z58*16,
      "2(T+1)",2*(Z58+1),
      "1T*C",Z58*J60,
      1
  )
)</f>
        <v>1</v>
      </c>
      <c r="T58" s="38" t="s">
        <v>277</v>
      </c>
      <c r="U58" s="38">
        <f>IF(OR(T58="No",T58=""),S58,T58)</f>
        <v>1</v>
      </c>
      <c r="V58" s="38">
        <f>IF(ISNUMBER(Q58),Q58,
  SWITCH(
      Q58,
      "1",1,
      "2T",AT58*2,
      "4T",AT58*4,
      "6T",AT58*6,
      "8T",AT58*8,
      "10T",AT58*10,
      "12T",AT58*12,
      "14T",AT58*14,
      "16T",AT58*16,
      "2(T+1)",2*(AT58+1),
      "1T*C",AT58*J60,
      1
  )
)</f>
        <v>1</v>
      </c>
      <c r="W58" s="38" t="str">
        <f>T58</f>
        <v>No</v>
      </c>
      <c r="X58" s="38">
        <f>IF(OR(W58="No",W58=""),V58,W58)</f>
        <v>1</v>
      </c>
      <c r="Y58" s="38" t="s">
        <v>390</v>
      </c>
      <c r="Z58" s="38">
        <f>VLOOKUP(Y58,'Item Helper Sheet'!$A$2:$B$16,2,FALSE)</f>
        <v>1</v>
      </c>
      <c r="AA58" s="38">
        <v>480.0</v>
      </c>
      <c r="AB58" s="38">
        <f>6*20</f>
        <v>120</v>
      </c>
      <c r="AC58" s="38">
        <f>AB58*I60</f>
        <v>6960</v>
      </c>
      <c r="AD58" s="38">
        <f>AA58*AC58</f>
        <v>3340800</v>
      </c>
      <c r="AE58" s="75"/>
      <c r="AF58" s="38" t="str">
        <f>Y58</f>
        <v>01 - LV</v>
      </c>
      <c r="AG58" s="38">
        <v>1.0</v>
      </c>
      <c r="AH58" s="38">
        <v>1.0</v>
      </c>
      <c r="AI58" s="38">
        <f>AH58*8*4^Z58</f>
        <v>32</v>
      </c>
      <c r="AJ58" s="38">
        <f>MIN(ROUNDDOWN(AI58/AL58,0),U58)</f>
        <v>0</v>
      </c>
      <c r="AK58" s="38">
        <f>IF(OR(T58="No",T58=""),AG58*S58,AG58*T58)</f>
        <v>1</v>
      </c>
      <c r="AL58" s="38">
        <f>ROUNDUP(AA58*VLOOKUP(H58,'Machine List'!$A$2:$D$219,4,FALSE),0)</f>
        <v>480</v>
      </c>
      <c r="AM58" s="38">
        <f>AL58*AK58</f>
        <v>480</v>
      </c>
      <c r="AN58" s="38">
        <f>ROUNDUP(AB58*I60,0)</f>
        <v>6960</v>
      </c>
      <c r="AO58" s="38">
        <f>ROUNDUP(AN58/VLOOKUP(H58,'Machine List'!$A$2:$D$219,3,FALSE),0)</f>
        <v>6960</v>
      </c>
      <c r="AP58" s="38">
        <f>ROUNDUP(AO58/AK58,0)</f>
        <v>6960</v>
      </c>
      <c r="AQ58" s="38">
        <f>AM58*AP58</f>
        <v>3340800</v>
      </c>
      <c r="AR58" s="75"/>
      <c r="AS58" s="38" t="s">
        <v>401</v>
      </c>
      <c r="AT58" s="38">
        <f>VLOOKUP(AS58,'Item Helper Sheet'!$A$2:$B$16,2,FALSE)</f>
        <v>4</v>
      </c>
      <c r="AU58" s="38">
        <f>AG58</f>
        <v>1</v>
      </c>
      <c r="AV58" s="38">
        <v>1.0</v>
      </c>
      <c r="AW58" s="38">
        <f>AV58*8*4^AT58</f>
        <v>2048</v>
      </c>
      <c r="AX58" s="38">
        <f>MIN(ROUNDDOWN(AW58/AL58,0),X58)</f>
        <v>1</v>
      </c>
      <c r="AY58" s="38">
        <f>AX58*AU58</f>
        <v>1</v>
      </c>
      <c r="AZ58" s="38">
        <f>AL58</f>
        <v>480</v>
      </c>
      <c r="BA58" s="38">
        <f>MIN(AT58-Z58,IF(AW58&gt;=AZ59*4,
IF(AW58&gt;=AZ59*4^2,
IF(AW58&gt;=AZ59*4^3,
IF(AW58&gt;=AZ59*4^4,
IF(AW58&gt;=AZ59*4^5,
IF(AW58&gt;=AZ59*4^6,
IF(AW58&gt;=AZ59*4^7,
IF(AW58&gt;=AZ59*4^8,
IF(AW58&gt;=AZ59*4^9,
IF(AW58&gt;=AZ59*4^10,
9),
8),
7),
6),
5),
4),
3),
2),
1),
0))</f>
        <v>1</v>
      </c>
      <c r="BB58" s="38">
        <f>AZ58*AX58*4^BA58</f>
        <v>1920</v>
      </c>
      <c r="BC58" s="38">
        <f>BB58*AU58</f>
        <v>1920</v>
      </c>
      <c r="BD58" s="45">
        <f>ROUNDUP(IF(R58="Yes",AN58/(2^((BA58)*2)),AN58/(2^(BA58))),0)</f>
        <v>3480</v>
      </c>
      <c r="BE58" s="45">
        <f>ROUNDUP(BD58/VLOOKUP(H58,'Machine List'!$A$2:$D$219,3,FALSE),0)</f>
        <v>3480</v>
      </c>
      <c r="BF58" s="45">
        <f>ROUNDUP(BE58/AY58,0)</f>
        <v>3480</v>
      </c>
      <c r="BG58" s="46">
        <f>BF58*BC58</f>
        <v>6681600</v>
      </c>
      <c r="BI58" s="28"/>
      <c r="BK58" s="6" t="s">
        <v>660</v>
      </c>
      <c r="BL58" s="6">
        <v>8532000.0</v>
      </c>
      <c r="BM58" s="6">
        <v>3.412992E7</v>
      </c>
      <c r="BN58" s="6" t="s">
        <v>660</v>
      </c>
      <c r="BO58" s="6">
        <v>35550.0</v>
      </c>
      <c r="BP58" s="6">
        <v>4444.0</v>
      </c>
      <c r="BQ58" s="6" t="s">
        <v>660</v>
      </c>
      <c r="BR58" s="6">
        <v>1.0</v>
      </c>
      <c r="BS58" s="6">
        <v>5.0</v>
      </c>
      <c r="BT58" s="6">
        <v>2.0</v>
      </c>
    </row>
    <row r="59">
      <c r="B59" s="40"/>
      <c r="C59" s="41" t="s">
        <v>81</v>
      </c>
      <c r="D59" s="38">
        <f>1000*I60</f>
        <v>58000</v>
      </c>
      <c r="E59" s="38" t="s">
        <v>147</v>
      </c>
      <c r="F59" s="42">
        <f>250*I60</f>
        <v>14500</v>
      </c>
      <c r="G59" s="112"/>
      <c r="H59" s="99" t="s">
        <v>584</v>
      </c>
      <c r="I59" s="45">
        <f t="array" ref="I59">match(TRUE,ISBLANK(F59:F71),0)-1</f>
        <v>3</v>
      </c>
      <c r="J59" s="120" t="s">
        <v>420</v>
      </c>
      <c r="K59" s="120" t="s">
        <v>585</v>
      </c>
      <c r="L59" s="121"/>
      <c r="M59" s="121"/>
      <c r="N59" s="121"/>
      <c r="O59" s="121"/>
      <c r="P59" s="121"/>
      <c r="Q59" s="121"/>
      <c r="R59" s="121"/>
      <c r="S59" s="121"/>
      <c r="T59" s="121"/>
      <c r="U59" s="121"/>
      <c r="V59" s="121"/>
      <c r="W59" s="121"/>
      <c r="X59" s="121"/>
      <c r="Y59" s="121"/>
      <c r="Z59" s="121"/>
      <c r="AA59" s="121"/>
      <c r="AB59" s="121"/>
      <c r="AC59" s="121"/>
      <c r="AD59" s="121"/>
      <c r="AE59" s="118"/>
      <c r="AF59" s="121"/>
      <c r="AG59" s="121"/>
      <c r="AH59" s="121"/>
      <c r="AI59" s="121"/>
      <c r="AJ59" s="121"/>
      <c r="AK59" s="121"/>
      <c r="AL59" s="121"/>
      <c r="AM59" s="121"/>
      <c r="AN59" s="121"/>
      <c r="AO59" s="121"/>
      <c r="AP59" s="121"/>
      <c r="AQ59" s="121"/>
      <c r="AR59" s="118"/>
      <c r="AS59" s="121"/>
      <c r="AT59" s="121"/>
      <c r="AU59" s="121"/>
      <c r="AV59" s="121"/>
      <c r="AW59" s="121"/>
      <c r="AX59" s="121"/>
      <c r="AY59" s="121"/>
      <c r="AZ59" s="116">
        <f>AZ58*AX58</f>
        <v>480</v>
      </c>
      <c r="BA59" s="121"/>
      <c r="BB59" s="121"/>
      <c r="BC59" s="121"/>
      <c r="BD59" s="121"/>
      <c r="BE59" s="121"/>
      <c r="BF59" s="121"/>
      <c r="BG59" s="122"/>
      <c r="BI59" s="28"/>
      <c r="BK59" s="6" t="s">
        <v>661</v>
      </c>
      <c r="BL59" s="6">
        <v>1.02384E7</v>
      </c>
      <c r="BM59" s="6">
        <v>8.193024E7</v>
      </c>
      <c r="BN59" s="6" t="s">
        <v>661</v>
      </c>
      <c r="BO59" s="6">
        <v>85320.0</v>
      </c>
      <c r="BP59" s="6">
        <v>2667.0</v>
      </c>
      <c r="BQ59" s="6" t="s">
        <v>661</v>
      </c>
      <c r="BR59" s="6">
        <v>1.0</v>
      </c>
      <c r="BS59" s="6">
        <v>5.0</v>
      </c>
      <c r="BT59" s="6">
        <v>3.0</v>
      </c>
    </row>
    <row r="60">
      <c r="B60" s="40"/>
      <c r="C60" s="41"/>
      <c r="D60" s="38"/>
      <c r="E60" s="38" t="s">
        <v>30</v>
      </c>
      <c r="F60" s="42">
        <f>400*I60</f>
        <v>23200</v>
      </c>
      <c r="G60" s="112"/>
      <c r="H60" s="48" t="s">
        <v>502</v>
      </c>
      <c r="I60" s="49">
        <v>58.0</v>
      </c>
      <c r="J60" s="100" t="s">
        <v>424</v>
      </c>
      <c r="K60" s="120">
        <v>0.0</v>
      </c>
      <c r="L60" s="121"/>
      <c r="M60" s="121"/>
      <c r="N60" s="121"/>
      <c r="O60" s="121"/>
      <c r="P60" s="121"/>
      <c r="Q60" s="121"/>
      <c r="R60" s="121"/>
      <c r="S60" s="121"/>
      <c r="T60" s="121"/>
      <c r="U60" s="121"/>
      <c r="V60" s="121"/>
      <c r="W60" s="121"/>
      <c r="X60" s="121"/>
      <c r="Y60" s="121"/>
      <c r="Z60" s="121"/>
      <c r="AA60" s="121"/>
      <c r="AB60" s="121"/>
      <c r="AC60" s="121"/>
      <c r="AD60" s="121"/>
      <c r="AE60" s="118"/>
      <c r="AF60" s="121"/>
      <c r="AG60" s="121"/>
      <c r="AH60" s="121"/>
      <c r="AI60" s="121"/>
      <c r="AJ60" s="121"/>
      <c r="AK60" s="121"/>
      <c r="AL60" s="121"/>
      <c r="AM60" s="121"/>
      <c r="AN60" s="121"/>
      <c r="AO60" s="121"/>
      <c r="AP60" s="121"/>
      <c r="AQ60" s="121"/>
      <c r="AR60" s="118"/>
      <c r="AS60" s="121"/>
      <c r="AT60" s="121"/>
      <c r="AU60" s="121"/>
      <c r="AV60" s="121"/>
      <c r="AW60" s="121"/>
      <c r="AX60" s="121"/>
      <c r="AY60" s="121"/>
      <c r="AZ60" s="121"/>
      <c r="BA60" s="121"/>
      <c r="BB60" s="121"/>
      <c r="BC60" s="121"/>
      <c r="BD60" s="121"/>
      <c r="BE60" s="121"/>
      <c r="BF60" s="121"/>
      <c r="BG60" s="122"/>
      <c r="BI60" s="28"/>
      <c r="BK60" s="6" t="s">
        <v>662</v>
      </c>
      <c r="BL60" s="6">
        <v>3340800.0</v>
      </c>
      <c r="BM60" s="6">
        <v>6681600.0</v>
      </c>
      <c r="BN60" s="6" t="s">
        <v>662</v>
      </c>
      <c r="BO60" s="6">
        <v>6960.0</v>
      </c>
      <c r="BP60" s="6">
        <v>3480.0</v>
      </c>
      <c r="BQ60" s="6" t="s">
        <v>662</v>
      </c>
      <c r="BR60" s="6">
        <v>1.0</v>
      </c>
      <c r="BS60" s="6">
        <v>4.0</v>
      </c>
      <c r="BT60" s="6">
        <v>1.0</v>
      </c>
    </row>
    <row r="61">
      <c r="B61" s="40"/>
      <c r="C61" s="41"/>
      <c r="D61" s="38"/>
      <c r="E61" s="38" t="s">
        <v>238</v>
      </c>
      <c r="F61" s="42">
        <f>400*I60</f>
        <v>23200</v>
      </c>
      <c r="G61" s="112"/>
      <c r="H61" s="44"/>
      <c r="I61" s="45"/>
      <c r="J61" s="45"/>
      <c r="K61" s="45"/>
      <c r="L61" s="45"/>
      <c r="M61" s="45"/>
      <c r="N61" s="45"/>
      <c r="O61" s="45"/>
      <c r="P61" s="45"/>
      <c r="Q61" s="45"/>
      <c r="R61" s="45"/>
      <c r="S61" s="101"/>
      <c r="T61" s="101"/>
      <c r="U61" s="45"/>
      <c r="V61" s="45"/>
      <c r="W61" s="45"/>
      <c r="X61" s="45"/>
      <c r="Y61" s="45"/>
      <c r="Z61" s="45"/>
      <c r="AA61" s="45"/>
      <c r="AB61" s="45"/>
      <c r="AC61" s="45"/>
      <c r="AD61" s="45"/>
      <c r="AE61" s="79"/>
      <c r="AF61" s="45"/>
      <c r="AG61" s="45"/>
      <c r="AH61" s="45"/>
      <c r="AI61" s="45"/>
      <c r="AJ61" s="45"/>
      <c r="AK61" s="45"/>
      <c r="AL61" s="45"/>
      <c r="AM61" s="45"/>
      <c r="AN61" s="45"/>
      <c r="AO61" s="45"/>
      <c r="AP61" s="45"/>
      <c r="AQ61" s="45"/>
      <c r="AR61" s="79"/>
      <c r="AS61" s="45"/>
      <c r="AT61" s="45"/>
      <c r="AU61" s="45"/>
      <c r="AV61" s="45"/>
      <c r="AW61" s="45"/>
      <c r="AX61" s="45"/>
      <c r="AY61" s="45"/>
      <c r="AZ61" s="45"/>
      <c r="BA61" s="45"/>
      <c r="BB61" s="45"/>
      <c r="BC61" s="45"/>
      <c r="BD61" s="45"/>
      <c r="BE61" s="45"/>
      <c r="BF61" s="45"/>
      <c r="BG61" s="46"/>
      <c r="BI61" s="28"/>
      <c r="BK61" s="6" t="s">
        <v>663</v>
      </c>
      <c r="BL61" s="6">
        <v>391680.0</v>
      </c>
      <c r="BM61" s="6">
        <v>391680.0</v>
      </c>
      <c r="BN61" s="6" t="s">
        <v>663</v>
      </c>
      <c r="BO61" s="6">
        <v>4080.0</v>
      </c>
      <c r="BP61" s="6">
        <v>255.0</v>
      </c>
      <c r="BQ61" s="6" t="s">
        <v>663</v>
      </c>
      <c r="BR61" s="6">
        <v>1.0</v>
      </c>
      <c r="BS61" s="6">
        <v>4.0</v>
      </c>
      <c r="BT61" s="6">
        <v>2.0</v>
      </c>
    </row>
    <row r="62">
      <c r="B62" s="50"/>
      <c r="C62" s="51"/>
      <c r="D62" s="52"/>
      <c r="E62" s="52"/>
      <c r="F62" s="52"/>
      <c r="G62" s="112"/>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2"/>
      <c r="AF62" s="113"/>
      <c r="AG62" s="113"/>
      <c r="AH62" s="113"/>
      <c r="AI62" s="113"/>
      <c r="AJ62" s="113"/>
      <c r="AK62" s="113"/>
      <c r="AL62" s="113"/>
      <c r="AM62" s="113"/>
      <c r="AN62" s="113"/>
      <c r="AO62" s="113"/>
      <c r="AP62" s="113"/>
      <c r="AQ62" s="113"/>
      <c r="AR62" s="112"/>
      <c r="AS62" s="113"/>
      <c r="AT62" s="113"/>
      <c r="AU62" s="113"/>
      <c r="AV62" s="113"/>
      <c r="AW62" s="113"/>
      <c r="AX62" s="113"/>
      <c r="AY62" s="113"/>
      <c r="AZ62" s="113"/>
      <c r="BA62" s="113"/>
      <c r="BB62" s="113"/>
      <c r="BC62" s="113"/>
      <c r="BD62" s="113"/>
      <c r="BE62" s="113"/>
      <c r="BF62" s="113"/>
      <c r="BG62" s="114"/>
      <c r="BI62" s="28"/>
      <c r="BK62" s="6" t="s">
        <v>664</v>
      </c>
      <c r="BL62" s="6">
        <v>864000.0</v>
      </c>
      <c r="BM62" s="6">
        <v>864768.0</v>
      </c>
      <c r="BN62" s="6" t="s">
        <v>664</v>
      </c>
      <c r="BO62" s="6">
        <v>9000.0</v>
      </c>
      <c r="BP62" s="6">
        <v>563.0</v>
      </c>
      <c r="BQ62" s="6" t="s">
        <v>664</v>
      </c>
      <c r="BR62" s="6">
        <v>1.0</v>
      </c>
      <c r="BS62" s="6">
        <v>4.0</v>
      </c>
      <c r="BT62" s="6">
        <v>2.0</v>
      </c>
    </row>
    <row r="63">
      <c r="B63" s="31" t="s">
        <v>663</v>
      </c>
      <c r="C63" s="54"/>
      <c r="D63" s="45"/>
      <c r="E63" s="45"/>
      <c r="F63" s="47"/>
      <c r="G63" s="112"/>
      <c r="H63" s="55" t="s">
        <v>349</v>
      </c>
      <c r="I63" s="38">
        <f>VLOOKUP(H63,'Machine List'!$A$1:$I$300,9,FALSE)</f>
        <v>4000</v>
      </c>
      <c r="J63" s="38">
        <f>IF(VLOOKUP(H63,'Machine List'!$A$1:$I$300,5,FALSE)="Multi",IF(VLOOKUP(H63,'Machine List'!$A$1:$I$300,6,FALSE)="Yes",AG63*3*10^Z63,AG63*(2*3)*10^(Z63-1)),0)</f>
        <v>6</v>
      </c>
      <c r="K63" s="38">
        <f>J63+IF(ISNUMBER(I63),I63,
  SWITCH(
      I63,
      "1T",1*10^Z63,
      "2T",2*10^Z63,
      "3T",3*10^Z63,
      "4T",4*10^Z63,
      "4000+500(7O-5)",4000+500*(7*I64-5),
      1
  )
)</f>
        <v>4006</v>
      </c>
      <c r="L63" s="38">
        <f>IF(VLOOKUP(H63,'Machine List'!$A$1:$I$300,5,FALSE)="Multi",IF(VLOOKUP(H63,'Machine List'!$A$1:$I$300,6,FALSE)="Yes",AU63*3*10^AT63,AU63*(2*3)*10^(AT63-1)),0)</f>
        <v>6000</v>
      </c>
      <c r="M63" s="38">
        <f>L63+IF(ISNUMBER(I63),I63,
  SWITCH(
      I63,
      "1T",1*10^AT63,
      "2T",2*10^AT63,
      "3T",3*10^AT63,
      "4T",4*10^AT63,
      "4000+500(7O-5)",4000+500*(7*I64-5),
      1
  )
)</f>
        <v>10000</v>
      </c>
      <c r="N63" s="38" t="str">
        <f>VLOOKUP(H63,'Machine List'!$A$1:$I$300,8,FALSE)</f>
        <v>Tier</v>
      </c>
      <c r="O63" s="38">
        <f>IF(ISNUMBER(N63),N63,10^Z63)</f>
        <v>10</v>
      </c>
      <c r="P63" s="38">
        <f>IF(ISNUMBER(N63),N63,10^AT63)</f>
        <v>10000</v>
      </c>
      <c r="Q63" s="38">
        <f>VLOOKUP(H63,'Machine List'!$A$1:$B$138,2,FALSE)</f>
        <v>1</v>
      </c>
      <c r="R63" s="38" t="s">
        <v>594</v>
      </c>
      <c r="S63" s="45">
        <f>IF(ISNUMBER(Q63),Q63,
  SWITCH(
      Q63,
      "1",1,
      "2T",Z63*2,
      "4T",Z63*4,
      "6T",Z63*6,
      "8T",Z63*8,
      "10T",Z63*10,
      "12T",Z63*12,
      "14T",Z63*14,
      "16T",Z63*16,
      "2(T+1)",2*(Z63+1),
      "1T*C",Z63*J65,
      1
  )
)</f>
        <v>1</v>
      </c>
      <c r="T63" s="38" t="s">
        <v>277</v>
      </c>
      <c r="U63" s="38">
        <f>IF(OR(T63="No",T63=""),S63,T63)</f>
        <v>1</v>
      </c>
      <c r="V63" s="38">
        <f>IF(ISNUMBER(Q63),Q63,
  SWITCH(
      Q63,
      "1",1,
      "2T",AT63*2,
      "4T",AT63*4,
      "6T",AT63*6,
      "8T",AT63*8,
      "10T",AT63*10,
      "12T",AT63*12,
      "14T",AT63*14,
      "16T",AT63*16,
      "2(T+1)",2*(AT63+1),
      "1T*C",AT63*J65,
      1
  )
)</f>
        <v>1</v>
      </c>
      <c r="W63" s="38" t="str">
        <f>T63</f>
        <v>No</v>
      </c>
      <c r="X63" s="38">
        <f>IF(OR(W63="No",W63=""),V63,W63)</f>
        <v>1</v>
      </c>
      <c r="Y63" s="38" t="s">
        <v>390</v>
      </c>
      <c r="Z63" s="38">
        <f>VLOOKUP(Y63,'Item Helper Sheet'!$A$2:$B$16,2,FALSE)</f>
        <v>1</v>
      </c>
      <c r="AA63" s="38">
        <v>96.0</v>
      </c>
      <c r="AB63" s="38">
        <f>6*20</f>
        <v>120</v>
      </c>
      <c r="AC63" s="38">
        <f>AB63*I65</f>
        <v>4080</v>
      </c>
      <c r="AD63" s="38">
        <f>AA63*AC63</f>
        <v>391680</v>
      </c>
      <c r="AE63" s="75"/>
      <c r="AF63" s="38" t="str">
        <f>Y63</f>
        <v>01 - LV</v>
      </c>
      <c r="AG63" s="38">
        <v>1.0</v>
      </c>
      <c r="AH63" s="38">
        <v>1.0</v>
      </c>
      <c r="AI63" s="38">
        <f>AH63*8*4^Z63</f>
        <v>32</v>
      </c>
      <c r="AJ63" s="38">
        <f>MIN(ROUNDDOWN(AI63/AL63,0),U63)</f>
        <v>0</v>
      </c>
      <c r="AK63" s="38">
        <f>IF(OR(T63="No",T63=""),AG63*S63,AG63*T63)</f>
        <v>1</v>
      </c>
      <c r="AL63" s="38">
        <f>ROUNDUP(AA63*VLOOKUP(H63,'Machine List'!$A$2:$D$219,4,FALSE),0)</f>
        <v>96</v>
      </c>
      <c r="AM63" s="38">
        <f>AL63*AK63</f>
        <v>96</v>
      </c>
      <c r="AN63" s="38">
        <f>ROUNDUP(AB63*I65,0)</f>
        <v>4080</v>
      </c>
      <c r="AO63" s="38">
        <f>ROUNDUP(AN63/VLOOKUP(H63,'Machine List'!$A$2:$D$219,3,FALSE),0)</f>
        <v>4080</v>
      </c>
      <c r="AP63" s="38">
        <f>ROUNDUP(AO63/AK63,0)</f>
        <v>4080</v>
      </c>
      <c r="AQ63" s="38">
        <f>AM63*AP63</f>
        <v>391680</v>
      </c>
      <c r="AR63" s="75"/>
      <c r="AS63" s="38" t="s">
        <v>401</v>
      </c>
      <c r="AT63" s="38">
        <f>VLOOKUP(AS63,'Item Helper Sheet'!$A$2:$B$16,2,FALSE)</f>
        <v>4</v>
      </c>
      <c r="AU63" s="38">
        <f>AG63</f>
        <v>1</v>
      </c>
      <c r="AV63" s="38">
        <v>1.0</v>
      </c>
      <c r="AW63" s="38">
        <f>AV63*8*4^AT63</f>
        <v>2048</v>
      </c>
      <c r="AX63" s="38">
        <f>MIN(ROUNDDOWN(AW63/AL63,0),X63)</f>
        <v>1</v>
      </c>
      <c r="AY63" s="38">
        <f>AX63*AU63</f>
        <v>1</v>
      </c>
      <c r="AZ63" s="38">
        <f>AL63</f>
        <v>96</v>
      </c>
      <c r="BA63" s="38">
        <f>MIN(AT63-Z63,IF(AW63&gt;=AZ64*4,
IF(AW63&gt;=AZ64*4^2,
IF(AW63&gt;=AZ64*4^3,
IF(AW63&gt;=AZ64*4^4,
IF(AW63&gt;=AZ64*4^5,
IF(AW63&gt;=AZ64*4^6,
IF(AW63&gt;=AZ64*4^7,
IF(AW63&gt;=AZ64*4^8,
IF(AW63&gt;=AZ64*4^9,
IF(AW63&gt;=AZ64*4^10,
9),
8),
7),
6),
5),
4),
3),
2),
1),
0))</f>
        <v>2</v>
      </c>
      <c r="BB63" s="38">
        <f>AZ63*AX63*4^BA63</f>
        <v>1536</v>
      </c>
      <c r="BC63" s="38">
        <f>BB63*AU63</f>
        <v>1536</v>
      </c>
      <c r="BD63" s="45">
        <f>ROUNDUP(IF(R63="Yes",AN63/(2^((BA63)*2)),AN63/(2^(BA63))),0)</f>
        <v>255</v>
      </c>
      <c r="BE63" s="45">
        <f>ROUNDUP(BD63/VLOOKUP(H63,'Machine List'!$A$2:$D$219,3,FALSE),0)</f>
        <v>255</v>
      </c>
      <c r="BF63" s="45">
        <f>ROUNDUP(BE63/AY63,0)</f>
        <v>255</v>
      </c>
      <c r="BG63" s="46">
        <f>BF63*BC63</f>
        <v>391680</v>
      </c>
      <c r="BI63" s="28"/>
      <c r="BK63" s="6" t="s">
        <v>665</v>
      </c>
      <c r="BL63" s="6">
        <v>398400.0</v>
      </c>
      <c r="BM63" s="6">
        <v>1593600.0</v>
      </c>
      <c r="BN63" s="6" t="s">
        <v>665</v>
      </c>
      <c r="BO63" s="6">
        <v>3320.0</v>
      </c>
      <c r="BP63" s="6">
        <v>830.0</v>
      </c>
      <c r="BQ63" s="6" t="s">
        <v>665</v>
      </c>
      <c r="BR63" s="6">
        <v>1.0</v>
      </c>
      <c r="BS63" s="6">
        <v>4.0</v>
      </c>
      <c r="BT63" s="6">
        <v>2.0</v>
      </c>
    </row>
    <row r="64">
      <c r="B64" s="40"/>
      <c r="C64" s="41" t="s">
        <v>87</v>
      </c>
      <c r="D64" s="38">
        <f>4000*I65</f>
        <v>136000</v>
      </c>
      <c r="E64" s="38" t="s">
        <v>119</v>
      </c>
      <c r="F64" s="42">
        <f>1000*I65</f>
        <v>34000</v>
      </c>
      <c r="G64" s="112"/>
      <c r="H64" s="99" t="s">
        <v>584</v>
      </c>
      <c r="I64" s="45">
        <f t="array" ref="I64">match(TRUE,ISBLANK(F64:F76),0)-1</f>
        <v>1</v>
      </c>
      <c r="J64" s="120" t="s">
        <v>420</v>
      </c>
      <c r="K64" s="120" t="s">
        <v>585</v>
      </c>
      <c r="L64" s="121"/>
      <c r="M64" s="121"/>
      <c r="N64" s="121"/>
      <c r="O64" s="121"/>
      <c r="P64" s="121"/>
      <c r="Q64" s="121"/>
      <c r="R64" s="121"/>
      <c r="S64" s="121"/>
      <c r="T64" s="121"/>
      <c r="U64" s="121"/>
      <c r="V64" s="121"/>
      <c r="W64" s="121"/>
      <c r="X64" s="121"/>
      <c r="Y64" s="121"/>
      <c r="Z64" s="121"/>
      <c r="AA64" s="121"/>
      <c r="AB64" s="121"/>
      <c r="AC64" s="121"/>
      <c r="AD64" s="121"/>
      <c r="AE64" s="118"/>
      <c r="AF64" s="121"/>
      <c r="AG64" s="121"/>
      <c r="AH64" s="121"/>
      <c r="AI64" s="121"/>
      <c r="AJ64" s="121"/>
      <c r="AK64" s="121"/>
      <c r="AL64" s="121"/>
      <c r="AM64" s="121"/>
      <c r="AN64" s="121"/>
      <c r="AO64" s="121"/>
      <c r="AP64" s="121"/>
      <c r="AQ64" s="121"/>
      <c r="AR64" s="118"/>
      <c r="AS64" s="121"/>
      <c r="AT64" s="121"/>
      <c r="AU64" s="121"/>
      <c r="AV64" s="121"/>
      <c r="AW64" s="121"/>
      <c r="AX64" s="121"/>
      <c r="AY64" s="121"/>
      <c r="AZ64" s="116">
        <f>AZ63*AX63</f>
        <v>96</v>
      </c>
      <c r="BA64" s="121"/>
      <c r="BB64" s="121"/>
      <c r="BC64" s="121"/>
      <c r="BD64" s="121"/>
      <c r="BE64" s="121"/>
      <c r="BF64" s="121"/>
      <c r="BG64" s="122"/>
      <c r="BI64" s="28"/>
      <c r="BK64" s="6" t="s">
        <v>666</v>
      </c>
      <c r="BL64" s="6">
        <v>168000.0</v>
      </c>
      <c r="BM64" s="6">
        <v>168960.0</v>
      </c>
      <c r="BN64" s="6" t="s">
        <v>666</v>
      </c>
      <c r="BO64" s="6">
        <v>350.0</v>
      </c>
      <c r="BP64" s="6">
        <v>88.0</v>
      </c>
      <c r="BQ64" s="6" t="s">
        <v>666</v>
      </c>
      <c r="BR64" s="6">
        <v>1.0</v>
      </c>
      <c r="BS64" s="6">
        <v>4.0</v>
      </c>
      <c r="BT64" s="6">
        <v>1.0</v>
      </c>
    </row>
    <row r="65">
      <c r="B65" s="40"/>
      <c r="C65" s="41" t="s">
        <v>45</v>
      </c>
      <c r="D65" s="38">
        <f>1000*I65</f>
        <v>34000</v>
      </c>
      <c r="E65" s="38"/>
      <c r="F65" s="42"/>
      <c r="G65" s="112"/>
      <c r="H65" s="48" t="s">
        <v>502</v>
      </c>
      <c r="I65" s="49">
        <v>34.0</v>
      </c>
      <c r="J65" s="100" t="s">
        <v>424</v>
      </c>
      <c r="K65" s="120">
        <v>0.0</v>
      </c>
      <c r="L65" s="121"/>
      <c r="M65" s="121"/>
      <c r="N65" s="121"/>
      <c r="O65" s="121"/>
      <c r="P65" s="121"/>
      <c r="Q65" s="121"/>
      <c r="R65" s="121"/>
      <c r="S65" s="121"/>
      <c r="T65" s="121"/>
      <c r="U65" s="121"/>
      <c r="V65" s="121"/>
      <c r="W65" s="121"/>
      <c r="X65" s="121"/>
      <c r="Y65" s="121"/>
      <c r="Z65" s="121"/>
      <c r="AA65" s="121"/>
      <c r="AB65" s="121"/>
      <c r="AC65" s="121"/>
      <c r="AD65" s="121"/>
      <c r="AE65" s="118"/>
      <c r="AF65" s="121"/>
      <c r="AG65" s="121"/>
      <c r="AH65" s="121"/>
      <c r="AI65" s="121"/>
      <c r="AJ65" s="121"/>
      <c r="AK65" s="121"/>
      <c r="AL65" s="121"/>
      <c r="AM65" s="121"/>
      <c r="AN65" s="121"/>
      <c r="AO65" s="121"/>
      <c r="AP65" s="121"/>
      <c r="AQ65" s="121"/>
      <c r="AR65" s="118"/>
      <c r="AS65" s="121"/>
      <c r="AT65" s="121"/>
      <c r="AU65" s="121"/>
      <c r="AV65" s="121"/>
      <c r="AW65" s="121"/>
      <c r="AX65" s="121"/>
      <c r="AY65" s="121"/>
      <c r="AZ65" s="121"/>
      <c r="BA65" s="121"/>
      <c r="BB65" s="121"/>
      <c r="BC65" s="121"/>
      <c r="BD65" s="121"/>
      <c r="BE65" s="121"/>
      <c r="BF65" s="121"/>
      <c r="BG65" s="122"/>
      <c r="BI65" s="28"/>
      <c r="BK65" s="6" t="s">
        <v>667</v>
      </c>
      <c r="BL65" s="6">
        <v>60000.0</v>
      </c>
      <c r="BM65" s="6">
        <v>61440.0</v>
      </c>
      <c r="BN65" s="6" t="s">
        <v>667</v>
      </c>
      <c r="BO65" s="6">
        <v>2000.0</v>
      </c>
      <c r="BP65" s="6">
        <v>32.0</v>
      </c>
      <c r="BQ65" s="6" t="s">
        <v>667</v>
      </c>
      <c r="BR65" s="6">
        <v>1.0</v>
      </c>
      <c r="BS65" s="6">
        <v>4.0</v>
      </c>
      <c r="BT65" s="6">
        <v>3.0</v>
      </c>
    </row>
    <row r="66">
      <c r="B66" s="50"/>
      <c r="C66" s="51"/>
      <c r="D66" s="52"/>
      <c r="E66" s="52"/>
      <c r="F66" s="52"/>
      <c r="G66" s="112"/>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2"/>
      <c r="AF66" s="113"/>
      <c r="AG66" s="113"/>
      <c r="AH66" s="113"/>
      <c r="AI66" s="113"/>
      <c r="AJ66" s="113"/>
      <c r="AK66" s="113"/>
      <c r="AL66" s="113"/>
      <c r="AM66" s="113"/>
      <c r="AN66" s="113"/>
      <c r="AO66" s="113"/>
      <c r="AP66" s="113"/>
      <c r="AQ66" s="113"/>
      <c r="AR66" s="112"/>
      <c r="AS66" s="113"/>
      <c r="AT66" s="113"/>
      <c r="AU66" s="113"/>
      <c r="AV66" s="113"/>
      <c r="AW66" s="113"/>
      <c r="AX66" s="113"/>
      <c r="AY66" s="113"/>
      <c r="AZ66" s="113"/>
      <c r="BA66" s="113"/>
      <c r="BB66" s="113"/>
      <c r="BC66" s="113"/>
      <c r="BD66" s="113"/>
      <c r="BE66" s="113"/>
      <c r="BF66" s="113"/>
      <c r="BG66" s="114"/>
      <c r="BI66" s="28"/>
      <c r="BK66" s="6" t="s">
        <v>668</v>
      </c>
      <c r="BL66" s="6">
        <v>1920000.0</v>
      </c>
      <c r="BM66" s="6">
        <v>1920000.0</v>
      </c>
      <c r="BN66" s="6" t="s">
        <v>668</v>
      </c>
      <c r="BO66" s="6">
        <v>4000.0</v>
      </c>
      <c r="BP66" s="6">
        <v>1000.0</v>
      </c>
      <c r="BQ66" s="6" t="s">
        <v>668</v>
      </c>
      <c r="BR66" s="6">
        <v>1.0</v>
      </c>
      <c r="BS66" s="6">
        <v>4.0</v>
      </c>
      <c r="BT66" s="6">
        <v>1.0</v>
      </c>
    </row>
    <row r="67">
      <c r="B67" s="31" t="s">
        <v>664</v>
      </c>
      <c r="C67" s="54"/>
      <c r="D67" s="45"/>
      <c r="E67" s="45"/>
      <c r="F67" s="47"/>
      <c r="G67" s="112"/>
      <c r="H67" s="55" t="s">
        <v>349</v>
      </c>
      <c r="I67" s="38">
        <f>VLOOKUP(H67,'Machine List'!$A$1:$I$300,9,FALSE)</f>
        <v>4000</v>
      </c>
      <c r="J67" s="38">
        <f>IF(VLOOKUP(H67,'Machine List'!$A$1:$I$300,5,FALSE)="Multi",IF(VLOOKUP(H67,'Machine List'!$A$1:$I$300,6,FALSE)="Yes",AG67*3*10^Z67,AG67*(2*3)*10^(Z67-1)),0)</f>
        <v>6</v>
      </c>
      <c r="K67" s="38">
        <f>J67+IF(ISNUMBER(I67),I67,
  SWITCH(
      I67,
      "1T",1*10^Z67,
      "2T",2*10^Z67,
      "3T",3*10^Z67,
      "4T",4*10^Z67,
      "4000+500(7O-5)",4000+500*(7*I68-5),
      1
  )
)</f>
        <v>4006</v>
      </c>
      <c r="L67" s="38">
        <f>IF(VLOOKUP(H67,'Machine List'!$A$1:$I$300,5,FALSE)="Multi",IF(VLOOKUP(H67,'Machine List'!$A$1:$I$300,6,FALSE)="Yes",AU67*3*10^AT67,AU67*(2*3)*10^(AT67-1)),0)</f>
        <v>6000</v>
      </c>
      <c r="M67" s="38">
        <f>L67+IF(ISNUMBER(I67),I67,
  SWITCH(
      I67,
      "1T",1*10^AT67,
      "2T",2*10^AT67,
      "3T",3*10^AT67,
      "4T",4*10^AT67,
      "4000+500(7O-5)",4000+500*(7*I68-5),
      1
  )
)</f>
        <v>10000</v>
      </c>
      <c r="N67" s="38" t="str">
        <f>VLOOKUP(H67,'Machine List'!$A$1:$I$300,8,FALSE)</f>
        <v>Tier</v>
      </c>
      <c r="O67" s="38">
        <f>IF(ISNUMBER(N67),N67,10^Z67)</f>
        <v>10</v>
      </c>
      <c r="P67" s="38">
        <f>IF(ISNUMBER(N67),N67,10^AT67)</f>
        <v>10000</v>
      </c>
      <c r="Q67" s="38">
        <f>VLOOKUP(H67,'Machine List'!$A$1:$B$138,2,FALSE)</f>
        <v>1</v>
      </c>
      <c r="R67" s="38" t="s">
        <v>594</v>
      </c>
      <c r="S67" s="45">
        <f>IF(ISNUMBER(Q67),Q67,
  SWITCH(
      Q67,
      "1",1,
      "2T",Z67*2,
      "4T",Z67*4,
      "6T",Z67*6,
      "8T",Z67*8,
      "10T",Z67*10,
      "12T",Z67*12,
      "14T",Z67*14,
      "16T",Z67*16,
      "2(T+1)",2*(Z67+1),
      "1T*C",Z67*J69,
      1
  )
)</f>
        <v>1</v>
      </c>
      <c r="T67" s="38" t="s">
        <v>277</v>
      </c>
      <c r="U67" s="38">
        <f>IF(OR(T67="No",T67=""),S67,T67)</f>
        <v>1</v>
      </c>
      <c r="V67" s="38">
        <f>IF(ISNUMBER(Q67),Q67,
  SWITCH(
      Q67,
      "1",1,
      "2T",AT67*2,
      "4T",AT67*4,
      "6T",AT67*6,
      "8T",AT67*8,
      "10T",AT67*10,
      "12T",AT67*12,
      "14T",AT67*14,
      "16T",AT67*16,
      "2(T+1)",2*(AT67+1),
      "1T*C",AT67*J69,
      1
  )
)</f>
        <v>1</v>
      </c>
      <c r="W67" s="38" t="str">
        <f>T67</f>
        <v>No</v>
      </c>
      <c r="X67" s="38">
        <f>IF(OR(W67="No",W67=""),V67,W67)</f>
        <v>1</v>
      </c>
      <c r="Y67" s="38" t="s">
        <v>390</v>
      </c>
      <c r="Z67" s="38">
        <f>VLOOKUP(Y67,'Item Helper Sheet'!$A$2:$B$16,2,FALSE)</f>
        <v>1</v>
      </c>
      <c r="AA67" s="38">
        <v>96.0</v>
      </c>
      <c r="AB67" s="38">
        <f>6*20</f>
        <v>120</v>
      </c>
      <c r="AC67" s="38">
        <f>AB67*I69</f>
        <v>9000</v>
      </c>
      <c r="AD67" s="38">
        <f>AA67*AC67</f>
        <v>864000</v>
      </c>
      <c r="AE67" s="75"/>
      <c r="AF67" s="38" t="str">
        <f>Y67</f>
        <v>01 - LV</v>
      </c>
      <c r="AG67" s="38">
        <v>1.0</v>
      </c>
      <c r="AH67" s="38">
        <v>1.0</v>
      </c>
      <c r="AI67" s="38">
        <f>AH67*8*4^Z67</f>
        <v>32</v>
      </c>
      <c r="AJ67" s="38">
        <f>MIN(ROUNDDOWN(AI67/AL67,0),U67)</f>
        <v>0</v>
      </c>
      <c r="AK67" s="38">
        <f>IF(OR(T67="No",T67=""),AG67*S67,AG67*T67)</f>
        <v>1</v>
      </c>
      <c r="AL67" s="38">
        <f>ROUNDUP(AA67*VLOOKUP(H67,'Machine List'!$A$2:$D$219,4,FALSE),0)</f>
        <v>96</v>
      </c>
      <c r="AM67" s="38">
        <f>AL67*AK67</f>
        <v>96</v>
      </c>
      <c r="AN67" s="38">
        <f>ROUNDUP(AB67*I69,0)</f>
        <v>9000</v>
      </c>
      <c r="AO67" s="38">
        <f>ROUNDUP(AN67/VLOOKUP(H67,'Machine List'!$A$2:$D$219,3,FALSE),0)</f>
        <v>9000</v>
      </c>
      <c r="AP67" s="38">
        <f>ROUNDUP(AO67/AK67,0)</f>
        <v>9000</v>
      </c>
      <c r="AQ67" s="38">
        <f>AM67*AP67</f>
        <v>864000</v>
      </c>
      <c r="AR67" s="75"/>
      <c r="AS67" s="38" t="s">
        <v>401</v>
      </c>
      <c r="AT67" s="38">
        <f>VLOOKUP(AS67,'Item Helper Sheet'!$A$2:$B$16,2,FALSE)</f>
        <v>4</v>
      </c>
      <c r="AU67" s="38">
        <f>AG67</f>
        <v>1</v>
      </c>
      <c r="AV67" s="38">
        <v>1.0</v>
      </c>
      <c r="AW67" s="38">
        <f>AV67*8*4^AT67</f>
        <v>2048</v>
      </c>
      <c r="AX67" s="38">
        <f>MIN(ROUNDDOWN(AW67/AL67,0),X67)</f>
        <v>1</v>
      </c>
      <c r="AY67" s="38">
        <f>AX67*AU67</f>
        <v>1</v>
      </c>
      <c r="AZ67" s="38">
        <f>AL67</f>
        <v>96</v>
      </c>
      <c r="BA67" s="38">
        <f>MIN(AT67-Z67,IF(AW67&gt;=AZ68*4,
IF(AW67&gt;=AZ68*4^2,
IF(AW67&gt;=AZ68*4^3,
IF(AW67&gt;=AZ68*4^4,
IF(AW67&gt;=AZ68*4^5,
IF(AW67&gt;=AZ68*4^6,
IF(AW67&gt;=AZ68*4^7,
IF(AW67&gt;=AZ68*4^8,
IF(AW67&gt;=AZ68*4^9,
IF(AW67&gt;=AZ68*4^10,
9),
8),
7),
6),
5),
4),
3),
2),
1),
0))</f>
        <v>2</v>
      </c>
      <c r="BB67" s="38">
        <f>AZ67*AX67*4^BA67</f>
        <v>1536</v>
      </c>
      <c r="BC67" s="38">
        <f>BB67*AU67</f>
        <v>1536</v>
      </c>
      <c r="BD67" s="45">
        <f>ROUNDUP(IF(R67="Yes",AN67/(2^((BA67)*2)),AN67/(2^(BA67))),0)</f>
        <v>563</v>
      </c>
      <c r="BE67" s="45">
        <f>ROUNDUP(BD67/VLOOKUP(H67,'Machine List'!$A$2:$D$219,3,FALSE),0)</f>
        <v>563</v>
      </c>
      <c r="BF67" s="45">
        <f>ROUNDUP(BE67/AY67,0)</f>
        <v>563</v>
      </c>
      <c r="BG67" s="46">
        <f>BF67*BC67</f>
        <v>864768</v>
      </c>
      <c r="BI67" s="28"/>
      <c r="BK67" s="6" t="s">
        <v>669</v>
      </c>
      <c r="BL67" s="6">
        <v>480000.0</v>
      </c>
      <c r="BM67" s="6">
        <v>480000.0</v>
      </c>
      <c r="BN67" s="6" t="s">
        <v>669</v>
      </c>
      <c r="BO67" s="6">
        <v>1000.0</v>
      </c>
      <c r="BP67" s="6">
        <v>250.0</v>
      </c>
      <c r="BQ67" s="6" t="s">
        <v>669</v>
      </c>
      <c r="BR67" s="6">
        <v>1.0</v>
      </c>
      <c r="BS67" s="6">
        <v>4.0</v>
      </c>
      <c r="BT67" s="6">
        <v>1.0</v>
      </c>
    </row>
    <row r="68">
      <c r="B68" s="40"/>
      <c r="C68" s="41" t="s">
        <v>119</v>
      </c>
      <c r="D68" s="38">
        <f>1000*I69</f>
        <v>75000</v>
      </c>
      <c r="E68" s="38" t="s">
        <v>121</v>
      </c>
      <c r="F68" s="42">
        <f>1000*I69</f>
        <v>75000</v>
      </c>
      <c r="G68" s="112"/>
      <c r="H68" s="99" t="s">
        <v>584</v>
      </c>
      <c r="I68" s="45">
        <f t="array" ref="I68">match(TRUE,ISBLANK(F68:F80),0)-1</f>
        <v>1</v>
      </c>
      <c r="J68" s="120" t="s">
        <v>420</v>
      </c>
      <c r="K68" s="120" t="s">
        <v>585</v>
      </c>
      <c r="L68" s="121"/>
      <c r="M68" s="121"/>
      <c r="N68" s="121"/>
      <c r="O68" s="121"/>
      <c r="P68" s="121"/>
      <c r="Q68" s="121"/>
      <c r="R68" s="121"/>
      <c r="S68" s="121"/>
      <c r="T68" s="121"/>
      <c r="U68" s="121"/>
      <c r="V68" s="121"/>
      <c r="W68" s="121"/>
      <c r="X68" s="121"/>
      <c r="Y68" s="121"/>
      <c r="Z68" s="121"/>
      <c r="AA68" s="121"/>
      <c r="AB68" s="121"/>
      <c r="AC68" s="121"/>
      <c r="AD68" s="121"/>
      <c r="AE68" s="118"/>
      <c r="AF68" s="121"/>
      <c r="AG68" s="121"/>
      <c r="AH68" s="121"/>
      <c r="AI68" s="121"/>
      <c r="AJ68" s="121"/>
      <c r="AK68" s="121"/>
      <c r="AL68" s="121"/>
      <c r="AM68" s="121"/>
      <c r="AN68" s="121"/>
      <c r="AO68" s="121"/>
      <c r="AP68" s="121"/>
      <c r="AQ68" s="121"/>
      <c r="AR68" s="118"/>
      <c r="AS68" s="121"/>
      <c r="AT68" s="121"/>
      <c r="AU68" s="121"/>
      <c r="AV68" s="121"/>
      <c r="AW68" s="121"/>
      <c r="AX68" s="121"/>
      <c r="AY68" s="121"/>
      <c r="AZ68" s="116">
        <f>AZ67*AX67</f>
        <v>96</v>
      </c>
      <c r="BA68" s="121"/>
      <c r="BB68" s="121"/>
      <c r="BC68" s="121"/>
      <c r="BD68" s="121"/>
      <c r="BE68" s="121"/>
      <c r="BF68" s="121"/>
      <c r="BG68" s="122"/>
      <c r="BI68" s="28"/>
      <c r="BK68" s="6" t="s">
        <v>670</v>
      </c>
      <c r="BL68" s="6">
        <v>96000.0</v>
      </c>
      <c r="BM68" s="6">
        <v>96000.0</v>
      </c>
      <c r="BN68" s="6" t="s">
        <v>670</v>
      </c>
      <c r="BO68" s="6">
        <v>200.0</v>
      </c>
      <c r="BP68" s="6">
        <v>50.0</v>
      </c>
      <c r="BQ68" s="6" t="s">
        <v>670</v>
      </c>
      <c r="BR68" s="6">
        <v>1.0</v>
      </c>
      <c r="BS68" s="6">
        <v>4.0</v>
      </c>
      <c r="BT68" s="6">
        <v>1.0</v>
      </c>
    </row>
    <row r="69">
      <c r="B69" s="40"/>
      <c r="C69" s="41" t="s">
        <v>39</v>
      </c>
      <c r="D69" s="38">
        <f>1000*I69</f>
        <v>75000</v>
      </c>
      <c r="E69" s="38"/>
      <c r="F69" s="42"/>
      <c r="G69" s="112"/>
      <c r="H69" s="48" t="s">
        <v>502</v>
      </c>
      <c r="I69" s="49">
        <v>75.0</v>
      </c>
      <c r="J69" s="100" t="s">
        <v>424</v>
      </c>
      <c r="K69" s="120">
        <v>0.0</v>
      </c>
      <c r="L69" s="121"/>
      <c r="M69" s="121"/>
      <c r="N69" s="121"/>
      <c r="O69" s="121"/>
      <c r="P69" s="121"/>
      <c r="Q69" s="121"/>
      <c r="R69" s="121"/>
      <c r="S69" s="121"/>
      <c r="T69" s="121"/>
      <c r="U69" s="121"/>
      <c r="V69" s="121"/>
      <c r="W69" s="121"/>
      <c r="X69" s="121"/>
      <c r="Y69" s="121"/>
      <c r="Z69" s="121"/>
      <c r="AA69" s="121"/>
      <c r="AB69" s="121"/>
      <c r="AC69" s="121"/>
      <c r="AD69" s="121"/>
      <c r="AE69" s="118"/>
      <c r="AF69" s="121"/>
      <c r="AG69" s="121"/>
      <c r="AH69" s="121"/>
      <c r="AI69" s="121"/>
      <c r="AJ69" s="121"/>
      <c r="AK69" s="121"/>
      <c r="AL69" s="121"/>
      <c r="AM69" s="121"/>
      <c r="AN69" s="121"/>
      <c r="AO69" s="121"/>
      <c r="AP69" s="121"/>
      <c r="AQ69" s="121"/>
      <c r="AR69" s="118"/>
      <c r="AS69" s="121"/>
      <c r="AT69" s="121"/>
      <c r="AU69" s="121"/>
      <c r="AV69" s="121"/>
      <c r="AW69" s="121"/>
      <c r="AX69" s="121"/>
      <c r="AY69" s="121"/>
      <c r="AZ69" s="121"/>
      <c r="BA69" s="121"/>
      <c r="BB69" s="121"/>
      <c r="BC69" s="121"/>
      <c r="BD69" s="121"/>
      <c r="BE69" s="121"/>
      <c r="BF69" s="121"/>
      <c r="BG69" s="122"/>
      <c r="BI69" s="28"/>
      <c r="BK69" s="6" t="s">
        <v>671</v>
      </c>
      <c r="BL69" s="6">
        <v>1056000.0</v>
      </c>
      <c r="BM69" s="6">
        <v>1056000.0</v>
      </c>
      <c r="BN69" s="6" t="s">
        <v>671</v>
      </c>
      <c r="BO69" s="6">
        <v>550.0</v>
      </c>
      <c r="BP69" s="6">
        <v>550.0</v>
      </c>
      <c r="BQ69" s="6" t="s">
        <v>671</v>
      </c>
      <c r="BR69" s="6">
        <v>1.0</v>
      </c>
      <c r="BS69" s="6">
        <v>4.0</v>
      </c>
      <c r="BT69" s="6">
        <v>0.0</v>
      </c>
    </row>
    <row r="70">
      <c r="B70" s="50"/>
      <c r="C70" s="51"/>
      <c r="D70" s="52"/>
      <c r="E70" s="52"/>
      <c r="F70" s="52"/>
      <c r="G70" s="112"/>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2"/>
      <c r="AF70" s="113"/>
      <c r="AG70" s="113"/>
      <c r="AH70" s="113"/>
      <c r="AI70" s="113"/>
      <c r="AJ70" s="113"/>
      <c r="AK70" s="113"/>
      <c r="AL70" s="113"/>
      <c r="AM70" s="113"/>
      <c r="AN70" s="113"/>
      <c r="AO70" s="113"/>
      <c r="AP70" s="113"/>
      <c r="AQ70" s="113"/>
      <c r="AR70" s="112"/>
      <c r="AS70" s="113"/>
      <c r="AT70" s="113"/>
      <c r="AU70" s="113"/>
      <c r="AV70" s="113"/>
      <c r="AW70" s="113"/>
      <c r="AX70" s="113"/>
      <c r="AY70" s="113"/>
      <c r="AZ70" s="113"/>
      <c r="BA70" s="113"/>
      <c r="BB70" s="113"/>
      <c r="BC70" s="113"/>
      <c r="BD70" s="113"/>
      <c r="BE70" s="113"/>
      <c r="BF70" s="113"/>
      <c r="BG70" s="114"/>
      <c r="BI70" s="28"/>
      <c r="BK70" s="6" t="s">
        <v>487</v>
      </c>
      <c r="BL70" s="6">
        <v>3.806592E7</v>
      </c>
      <c r="BM70" s="6">
        <v>1.71138048E8</v>
      </c>
    </row>
    <row r="71">
      <c r="B71" s="31" t="s">
        <v>665</v>
      </c>
      <c r="C71" s="54"/>
      <c r="D71" s="45"/>
      <c r="E71" s="45"/>
      <c r="F71" s="47"/>
      <c r="G71" s="112"/>
      <c r="H71" s="55" t="s">
        <v>298</v>
      </c>
      <c r="I71" s="38" t="str">
        <f>VLOOKUP(H71,'Machine List'!$A$1:$I$300,9,FALSE)</f>
        <v>4000+500(7O-5)</v>
      </c>
      <c r="J71" s="38">
        <f>IF(VLOOKUP(H71,'Machine List'!$A$1:$I$300,5,FALSE)="Multi",IF(VLOOKUP(H71,'Machine List'!$A$1:$I$300,6,FALSE)="Yes",AG71*3*10^Z71,AG71*(2*3)*10^(Z71-1)),0)</f>
        <v>6</v>
      </c>
      <c r="K71" s="38">
        <f>J71+IF(ISNUMBER(I71),I71,
  SWITCH(
      I71,
      "1T",1*10^Z71,
      "2T",2*10^Z71,
      "3T",3*10^Z71,
      "4T",4*10^Z71,
      "4000+500(7O-5)",4000+500*(7*I72-5),
      1
  )
)</f>
        <v>12006</v>
      </c>
      <c r="L71" s="38">
        <f>IF(VLOOKUP(H71,'Machine List'!$A$1:$I$300,5,FALSE)="Multi",IF(VLOOKUP(H71,'Machine List'!$A$1:$I$300,6,FALSE)="Yes",AU71*3*10^AT71,AU71*(2*3)*10^(AT71-1)),0)</f>
        <v>6000</v>
      </c>
      <c r="M71" s="38">
        <f>L71+IF(ISNUMBER(I71),I71,
  SWITCH(
      I71,
      "1T",1*10^AT71,
      "2T",2*10^AT71,
      "3T",3*10^AT71,
      "4T",4*10^AT71,
      "4000+500(7O-5)",4000+500*(7*I72-5),
      1
  )
)</f>
        <v>18000</v>
      </c>
      <c r="N71" s="38" t="str">
        <f>VLOOKUP(H71,'Machine List'!$A$1:$I$300,8,FALSE)</f>
        <v>Tier</v>
      </c>
      <c r="O71" s="38">
        <f>IF(ISNUMBER(N71),N71,10^Z71)</f>
        <v>10</v>
      </c>
      <c r="P71" s="38">
        <f>IF(ISNUMBER(N71),N71,10^AT71)</f>
        <v>10000</v>
      </c>
      <c r="Q71" s="38">
        <f>VLOOKUP(H71,'Machine List'!$A$1:$B$138,2,FALSE)</f>
        <v>1</v>
      </c>
      <c r="R71" s="38" t="s">
        <v>277</v>
      </c>
      <c r="S71" s="45">
        <f>IF(ISNUMBER(Q71),Q71,
  SWITCH(
      Q71,
      "1",1,
      "2T",Z71*2,
      "4T",Z71*4,
      "6T",Z71*6,
      "8T",Z71*8,
      "10T",Z71*10,
      "12T",Z71*12,
      "14T",Z71*14,
      "16T",Z71*16,
      "2(T+1)",2*(Z71+1),
      "1T*C",Z71*J73,
      1
  )
)</f>
        <v>1</v>
      </c>
      <c r="T71" s="38" t="s">
        <v>277</v>
      </c>
      <c r="U71" s="38">
        <f>IF(OR(T71="No",T71=""),S71,T71)</f>
        <v>1</v>
      </c>
      <c r="V71" s="38">
        <f>IF(ISNUMBER(Q71),Q71,
  SWITCH(
      Q71,
      "1",1,
      "2T",AT71*2,
      "4T",AT71*4,
      "6T",AT71*6,
      "8T",AT71*8,
      "10T",AT71*10,
      "12T",AT71*12,
      "14T",AT71*14,
      "16T",AT71*16,
      "2(T+1)",2*(AT71+1),
      "1T*C",AT71*J73,
      1
  )
)</f>
        <v>1</v>
      </c>
      <c r="W71" s="38" t="str">
        <f>T71</f>
        <v>No</v>
      </c>
      <c r="X71" s="38">
        <f>IF(OR(W71="No",W71=""),V71,W71)</f>
        <v>1</v>
      </c>
      <c r="Y71" s="38" t="s">
        <v>390</v>
      </c>
      <c r="Z71" s="38">
        <f>VLOOKUP(Y71,'Item Helper Sheet'!$A$2:$B$16,2,FALSE)</f>
        <v>1</v>
      </c>
      <c r="AA71" s="38">
        <v>120.0</v>
      </c>
      <c r="AB71" s="38">
        <f>2*20</f>
        <v>40</v>
      </c>
      <c r="AC71" s="38">
        <f>AB71*I73</f>
        <v>3320</v>
      </c>
      <c r="AD71" s="38">
        <f>AA71*AC71</f>
        <v>398400</v>
      </c>
      <c r="AE71" s="75"/>
      <c r="AF71" s="38" t="str">
        <f>Y71</f>
        <v>01 - LV</v>
      </c>
      <c r="AG71" s="38">
        <v>1.0</v>
      </c>
      <c r="AH71" s="38">
        <v>1.0</v>
      </c>
      <c r="AI71" s="38">
        <f>AH71*8*4^Z71</f>
        <v>32</v>
      </c>
      <c r="AJ71" s="38">
        <f>MIN(ROUNDDOWN(AI71/AL71,0),U71)</f>
        <v>0</v>
      </c>
      <c r="AK71" s="38">
        <f>IF(OR(T71="No",T71=""),AG71*S71,AG71*T71)</f>
        <v>1</v>
      </c>
      <c r="AL71" s="38">
        <f>ROUNDUP(AA71*VLOOKUP(H71,'Machine List'!$A$2:$D$219,4,FALSE),0)</f>
        <v>120</v>
      </c>
      <c r="AM71" s="38">
        <f>AL71*AK71</f>
        <v>120</v>
      </c>
      <c r="AN71" s="38">
        <f>ROUNDUP(AB71*I73,0)</f>
        <v>3320</v>
      </c>
      <c r="AO71" s="38">
        <f>ROUNDUP(AN71/VLOOKUP(H71,'Machine List'!$A$2:$D$219,3,FALSE),0)</f>
        <v>3320</v>
      </c>
      <c r="AP71" s="38">
        <f>ROUNDUP(AO71/AK71,0)</f>
        <v>3320</v>
      </c>
      <c r="AQ71" s="38">
        <f>AM71*AP71</f>
        <v>398400</v>
      </c>
      <c r="AR71" s="75"/>
      <c r="AS71" s="38" t="s">
        <v>401</v>
      </c>
      <c r="AT71" s="38">
        <f>VLOOKUP(AS71,'Item Helper Sheet'!$A$2:$B$16,2,FALSE)</f>
        <v>4</v>
      </c>
      <c r="AU71" s="38">
        <f>AG71</f>
        <v>1</v>
      </c>
      <c r="AV71" s="38">
        <v>1.0</v>
      </c>
      <c r="AW71" s="38">
        <f>AV71*8*4^AT71</f>
        <v>2048</v>
      </c>
      <c r="AX71" s="38">
        <f>MIN(ROUNDDOWN(AW71/AL71,0),X71)</f>
        <v>1</v>
      </c>
      <c r="AY71" s="38">
        <f>AX71*AU71</f>
        <v>1</v>
      </c>
      <c r="AZ71" s="38">
        <f>AL71</f>
        <v>120</v>
      </c>
      <c r="BA71" s="38">
        <f>MIN(AT71-Z71,IF(AW71&gt;=AZ72*4,
IF(AW71&gt;=AZ72*4^2,
IF(AW71&gt;=AZ72*4^3,
IF(AW71&gt;=AZ72*4^4,
IF(AW71&gt;=AZ72*4^5,
IF(AW71&gt;=AZ72*4^6,
IF(AW71&gt;=AZ72*4^7,
IF(AW71&gt;=AZ72*4^8,
IF(AW71&gt;=AZ72*4^9,
IF(AW71&gt;=AZ72*4^10,
9),
8),
7),
6),
5),
4),
3),
2),
1),
0))</f>
        <v>2</v>
      </c>
      <c r="BB71" s="38">
        <f>AZ71*AX71*4^BA71</f>
        <v>1920</v>
      </c>
      <c r="BC71" s="38">
        <f>BB71*AU71</f>
        <v>1920</v>
      </c>
      <c r="BD71" s="45">
        <f>ROUNDUP(IF(R71="Yes",AN71/(2^((BA71)*2)),AN71/(2^(BA71))),0)</f>
        <v>830</v>
      </c>
      <c r="BE71" s="45">
        <f>ROUNDUP(BD71/VLOOKUP(H71,'Machine List'!$A$2:$D$219,3,FALSE),0)</f>
        <v>830</v>
      </c>
      <c r="BF71" s="45">
        <f>ROUNDUP(BE71/AY71,0)</f>
        <v>830</v>
      </c>
      <c r="BG71" s="46">
        <f>BF71*BC71</f>
        <v>1593600</v>
      </c>
      <c r="BI71" s="28"/>
    </row>
    <row r="72">
      <c r="B72" s="40"/>
      <c r="C72" s="41" t="s">
        <v>121</v>
      </c>
      <c r="D72" s="38">
        <f>900*I73</f>
        <v>74700</v>
      </c>
      <c r="E72" s="38" t="s">
        <v>39</v>
      </c>
      <c r="F72" s="42">
        <f>400*I73</f>
        <v>33200</v>
      </c>
      <c r="G72" s="112"/>
      <c r="H72" s="99" t="s">
        <v>584</v>
      </c>
      <c r="I72" s="45">
        <f t="array" ref="I72">match(TRUE,ISBLANK(F72:F84),0)-1</f>
        <v>3</v>
      </c>
      <c r="J72" s="120" t="s">
        <v>420</v>
      </c>
      <c r="K72" s="120" t="s">
        <v>585</v>
      </c>
      <c r="L72" s="121"/>
      <c r="M72" s="121"/>
      <c r="N72" s="121"/>
      <c r="O72" s="121"/>
      <c r="P72" s="121"/>
      <c r="Q72" s="121"/>
      <c r="R72" s="121"/>
      <c r="S72" s="121"/>
      <c r="T72" s="121"/>
      <c r="U72" s="121"/>
      <c r="V72" s="121"/>
      <c r="W72" s="121"/>
      <c r="X72" s="121"/>
      <c r="Y72" s="121"/>
      <c r="Z72" s="121"/>
      <c r="AA72" s="121"/>
      <c r="AB72" s="121"/>
      <c r="AC72" s="121"/>
      <c r="AD72" s="121"/>
      <c r="AE72" s="118"/>
      <c r="AF72" s="121"/>
      <c r="AG72" s="121"/>
      <c r="AH72" s="121"/>
      <c r="AI72" s="121"/>
      <c r="AJ72" s="121"/>
      <c r="AK72" s="121"/>
      <c r="AL72" s="121"/>
      <c r="AM72" s="121"/>
      <c r="AN72" s="121"/>
      <c r="AO72" s="121"/>
      <c r="AP72" s="121"/>
      <c r="AQ72" s="121"/>
      <c r="AR72" s="118"/>
      <c r="AS72" s="121"/>
      <c r="AT72" s="121"/>
      <c r="AU72" s="121"/>
      <c r="AV72" s="121"/>
      <c r="AW72" s="121"/>
      <c r="AX72" s="121"/>
      <c r="AY72" s="121"/>
      <c r="AZ72" s="116">
        <f>AZ71*AX71</f>
        <v>120</v>
      </c>
      <c r="BA72" s="121"/>
      <c r="BB72" s="121"/>
      <c r="BC72" s="121"/>
      <c r="BD72" s="121"/>
      <c r="BE72" s="121"/>
      <c r="BF72" s="121"/>
      <c r="BG72" s="122"/>
      <c r="BI72" s="28"/>
    </row>
    <row r="73">
      <c r="B73" s="40"/>
      <c r="C73" s="41"/>
      <c r="D73" s="38"/>
      <c r="E73" s="38" t="s">
        <v>119</v>
      </c>
      <c r="F73" s="42">
        <f>500*I73</f>
        <v>41500</v>
      </c>
      <c r="G73" s="112"/>
      <c r="H73" s="48" t="s">
        <v>502</v>
      </c>
      <c r="I73" s="49">
        <v>83.0</v>
      </c>
      <c r="J73" s="100" t="s">
        <v>424</v>
      </c>
      <c r="K73" s="120">
        <v>0.0</v>
      </c>
      <c r="L73" s="121"/>
      <c r="M73" s="121"/>
      <c r="N73" s="121"/>
      <c r="O73" s="121"/>
      <c r="P73" s="121"/>
      <c r="Q73" s="121"/>
      <c r="R73" s="121"/>
      <c r="S73" s="121"/>
      <c r="T73" s="121"/>
      <c r="U73" s="121"/>
      <c r="V73" s="121"/>
      <c r="W73" s="121"/>
      <c r="X73" s="121"/>
      <c r="Y73" s="121"/>
      <c r="Z73" s="121"/>
      <c r="AA73" s="121"/>
      <c r="AB73" s="121"/>
      <c r="AC73" s="121"/>
      <c r="AD73" s="121"/>
      <c r="AE73" s="118"/>
      <c r="AF73" s="121"/>
      <c r="AG73" s="121"/>
      <c r="AH73" s="121"/>
      <c r="AI73" s="121"/>
      <c r="AJ73" s="121"/>
      <c r="AK73" s="121"/>
      <c r="AL73" s="121"/>
      <c r="AM73" s="121"/>
      <c r="AN73" s="121"/>
      <c r="AO73" s="121"/>
      <c r="AP73" s="121"/>
      <c r="AQ73" s="121"/>
      <c r="AR73" s="118"/>
      <c r="AS73" s="121"/>
      <c r="AT73" s="121"/>
      <c r="AU73" s="121"/>
      <c r="AV73" s="121"/>
      <c r="AW73" s="121"/>
      <c r="AX73" s="121"/>
      <c r="AY73" s="121"/>
      <c r="AZ73" s="121"/>
      <c r="BA73" s="121"/>
      <c r="BB73" s="121"/>
      <c r="BC73" s="121"/>
      <c r="BD73" s="121"/>
      <c r="BE73" s="121"/>
      <c r="BF73" s="121"/>
      <c r="BG73" s="122"/>
      <c r="BI73" s="28"/>
      <c r="BK73" s="6" t="s">
        <v>618</v>
      </c>
      <c r="BL73" s="6" t="s">
        <v>462</v>
      </c>
      <c r="BM73" s="6"/>
      <c r="BN73" s="6"/>
      <c r="BO73" s="6"/>
      <c r="BQ73" s="6" t="s">
        <v>619</v>
      </c>
      <c r="BR73" s="6" t="s">
        <v>495</v>
      </c>
      <c r="BS73" s="6"/>
      <c r="BT73" s="6"/>
      <c r="BV73" s="6" t="s">
        <v>560</v>
      </c>
      <c r="BW73" s="6" t="s">
        <v>495</v>
      </c>
      <c r="BX73" s="6"/>
      <c r="BY73" s="6"/>
    </row>
    <row r="74">
      <c r="B74" s="40"/>
      <c r="C74" s="41"/>
      <c r="D74" s="38"/>
      <c r="E74" s="38" t="s">
        <v>26</v>
      </c>
      <c r="F74" s="42">
        <f>400*I73</f>
        <v>33200</v>
      </c>
      <c r="G74" s="112"/>
      <c r="H74" s="44"/>
      <c r="I74" s="45"/>
      <c r="J74" s="45"/>
      <c r="K74" s="45"/>
      <c r="L74" s="45"/>
      <c r="M74" s="45"/>
      <c r="N74" s="45"/>
      <c r="O74" s="45"/>
      <c r="P74" s="45"/>
      <c r="Q74" s="45"/>
      <c r="R74" s="45"/>
      <c r="S74" s="101"/>
      <c r="T74" s="101"/>
      <c r="U74" s="45"/>
      <c r="V74" s="45"/>
      <c r="W74" s="45"/>
      <c r="X74" s="45"/>
      <c r="Y74" s="45"/>
      <c r="Z74" s="45"/>
      <c r="AA74" s="45"/>
      <c r="AB74" s="45"/>
      <c r="AC74" s="45"/>
      <c r="AD74" s="45"/>
      <c r="AE74" s="79"/>
      <c r="AF74" s="45"/>
      <c r="AG74" s="45"/>
      <c r="AH74" s="45"/>
      <c r="AI74" s="45"/>
      <c r="AJ74" s="45"/>
      <c r="AK74" s="45"/>
      <c r="AL74" s="45"/>
      <c r="AM74" s="45"/>
      <c r="AN74" s="45"/>
      <c r="AO74" s="45"/>
      <c r="AP74" s="45"/>
      <c r="AQ74" s="45"/>
      <c r="AR74" s="79"/>
      <c r="AS74" s="45"/>
      <c r="AT74" s="45"/>
      <c r="AU74" s="45"/>
      <c r="AV74" s="45"/>
      <c r="AW74" s="45"/>
      <c r="AX74" s="45"/>
      <c r="AY74" s="45"/>
      <c r="AZ74" s="45"/>
      <c r="BA74" s="45"/>
      <c r="BB74" s="45"/>
      <c r="BC74" s="45"/>
      <c r="BD74" s="45"/>
      <c r="BE74" s="45"/>
      <c r="BF74" s="45"/>
      <c r="BG74" s="46"/>
      <c r="BI74" s="28"/>
      <c r="BK74" s="6" t="s">
        <v>457</v>
      </c>
      <c r="BL74" s="6" t="s">
        <v>298</v>
      </c>
      <c r="BM74" s="6" t="s">
        <v>349</v>
      </c>
      <c r="BN74" s="6" t="s">
        <v>357</v>
      </c>
      <c r="BO74" s="6" t="s">
        <v>487</v>
      </c>
      <c r="BQ74" s="6" t="s">
        <v>462</v>
      </c>
      <c r="BR74" s="6" t="s">
        <v>390</v>
      </c>
      <c r="BS74" s="6" t="s">
        <v>397</v>
      </c>
      <c r="BT74" s="6" t="s">
        <v>487</v>
      </c>
      <c r="BV74" s="6" t="s">
        <v>462</v>
      </c>
      <c r="BW74" s="6" t="s">
        <v>390</v>
      </c>
      <c r="BX74" s="6" t="s">
        <v>397</v>
      </c>
      <c r="BY74" s="6" t="s">
        <v>487</v>
      </c>
    </row>
    <row r="75">
      <c r="B75" s="50"/>
      <c r="C75" s="51"/>
      <c r="D75" s="52"/>
      <c r="E75" s="52"/>
      <c r="F75" s="52"/>
      <c r="G75" s="112"/>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2"/>
      <c r="AF75" s="113"/>
      <c r="AG75" s="113"/>
      <c r="AH75" s="113"/>
      <c r="AI75" s="113"/>
      <c r="AJ75" s="113"/>
      <c r="AK75" s="113"/>
      <c r="AL75" s="113"/>
      <c r="AM75" s="113"/>
      <c r="AN75" s="113"/>
      <c r="AO75" s="113"/>
      <c r="AP75" s="113"/>
      <c r="AQ75" s="113"/>
      <c r="AR75" s="112"/>
      <c r="AS75" s="113"/>
      <c r="AT75" s="113"/>
      <c r="AU75" s="113"/>
      <c r="AV75" s="113"/>
      <c r="AW75" s="113"/>
      <c r="AX75" s="113"/>
      <c r="AY75" s="113"/>
      <c r="AZ75" s="113"/>
      <c r="BA75" s="113"/>
      <c r="BB75" s="113"/>
      <c r="BC75" s="113"/>
      <c r="BD75" s="113"/>
      <c r="BE75" s="113"/>
      <c r="BF75" s="113"/>
      <c r="BG75" s="114"/>
      <c r="BI75" s="28"/>
      <c r="BK75" s="6" t="s">
        <v>657</v>
      </c>
      <c r="BL75" s="6">
        <v>1.0</v>
      </c>
      <c r="BM75" s="6"/>
      <c r="BN75" s="6"/>
      <c r="BO75" s="6">
        <v>1.0</v>
      </c>
      <c r="BQ75" s="6" t="s">
        <v>298</v>
      </c>
      <c r="BR75" s="6">
        <v>4.0</v>
      </c>
      <c r="BS75" s="6">
        <v>1.0</v>
      </c>
      <c r="BT75" s="6">
        <v>5.0</v>
      </c>
      <c r="BV75" s="6" t="s">
        <v>298</v>
      </c>
      <c r="BW75" s="6">
        <v>4.0</v>
      </c>
      <c r="BX75" s="6">
        <v>1.0</v>
      </c>
      <c r="BY75" s="6">
        <v>5.0</v>
      </c>
    </row>
    <row r="76">
      <c r="B76" s="31" t="s">
        <v>666</v>
      </c>
      <c r="C76" s="54"/>
      <c r="D76" s="45"/>
      <c r="E76" s="45"/>
      <c r="F76" s="47"/>
      <c r="G76" s="112"/>
      <c r="H76" s="55" t="s">
        <v>349</v>
      </c>
      <c r="I76" s="38">
        <f>VLOOKUP(H76,'Machine List'!$A$1:$I$300,9,FALSE)</f>
        <v>4000</v>
      </c>
      <c r="J76" s="38">
        <f>IF(VLOOKUP(H76,'Machine List'!$A$1:$I$300,5,FALSE)="Multi",IF(VLOOKUP(H76,'Machine List'!$A$1:$I$300,6,FALSE)="Yes",AG76*3*10^Z76,AG76*(2*3)*10^(Z76-1)),0)</f>
        <v>6</v>
      </c>
      <c r="K76" s="38">
        <f>J76+IF(ISNUMBER(I76),I76,
  SWITCH(
      I76,
      "1T",1*10^Z76,
      "2T",2*10^Z76,
      "3T",3*10^Z76,
      "4T",4*10^Z76,
      "4000+500(7O-5)",4000+500*(7*I77-5),
      1
  )
)</f>
        <v>4006</v>
      </c>
      <c r="L76" s="38">
        <f>IF(VLOOKUP(H76,'Machine List'!$A$1:$I$300,5,FALSE)="Multi",IF(VLOOKUP(H76,'Machine List'!$A$1:$I$300,6,FALSE)="Yes",AU76*3*10^AT76,AU76*(2*3)*10^(AT76-1)),0)</f>
        <v>6000</v>
      </c>
      <c r="M76" s="38">
        <f>L76+IF(ISNUMBER(I76),I76,
  SWITCH(
      I76,
      "1T",1*10^AT76,
      "2T",2*10^AT76,
      "3T",3*10^AT76,
      "4T",4*10^AT76,
      "4000+500(7O-5)",4000+500*(7*I77-5),
      1
  )
)</f>
        <v>10000</v>
      </c>
      <c r="N76" s="38" t="str">
        <f>VLOOKUP(H76,'Machine List'!$A$1:$I$300,8,FALSE)</f>
        <v>Tier</v>
      </c>
      <c r="O76" s="38">
        <f>IF(ISNUMBER(N76),N76,10^Z76)</f>
        <v>10</v>
      </c>
      <c r="P76" s="38">
        <f>IF(ISNUMBER(N76),N76,10^AT76)</f>
        <v>10000</v>
      </c>
      <c r="Q76" s="38">
        <f>VLOOKUP(H76,'Machine List'!$A$1:$B$138,2,FALSE)</f>
        <v>1</v>
      </c>
      <c r="R76" s="38" t="s">
        <v>594</v>
      </c>
      <c r="S76" s="45">
        <f>IF(ISNUMBER(Q76),Q76,
  SWITCH(
      Q76,
      "1",1,
      "2T",Z76*2,
      "4T",Z76*4,
      "6T",Z76*6,
      "8T",Z76*8,
      "10T",Z76*10,
      "12T",Z76*12,
      "14T",Z76*14,
      "16T",Z76*16,
      "2(T+1)",2*(Z76+1),
      "1T*C",Z76*J78,
      1
  )
)</f>
        <v>1</v>
      </c>
      <c r="T76" s="38" t="s">
        <v>277</v>
      </c>
      <c r="U76" s="38">
        <f>IF(OR(T76="No",T76=""),S76,T76)</f>
        <v>1</v>
      </c>
      <c r="V76" s="38">
        <f>IF(ISNUMBER(Q76),Q76,
  SWITCH(
      Q76,
      "1",1,
      "2T",AT76*2,
      "4T",AT76*4,
      "6T",AT76*6,
      "8T",AT76*8,
      "10T",AT76*10,
      "12T",AT76*12,
      "14T",AT76*14,
      "16T",AT76*16,
      "2(T+1)",2*(AT76+1),
      "1T*C",AT76*J78,
      1
  )
)</f>
        <v>1</v>
      </c>
      <c r="W76" s="38" t="str">
        <f>T76</f>
        <v>No</v>
      </c>
      <c r="X76" s="38">
        <f>IF(OR(W76="No",W76=""),V76,W76)</f>
        <v>1</v>
      </c>
      <c r="Y76" s="38" t="s">
        <v>390</v>
      </c>
      <c r="Z76" s="38">
        <f>VLOOKUP(Y76,'Item Helper Sheet'!$A$2:$B$16,2,FALSE)</f>
        <v>1</v>
      </c>
      <c r="AA76" s="38">
        <v>480.0</v>
      </c>
      <c r="AB76" s="38">
        <f>2.5*20</f>
        <v>50</v>
      </c>
      <c r="AC76" s="38">
        <f>AB76*I78</f>
        <v>350</v>
      </c>
      <c r="AD76" s="38">
        <f>AA76*AC76</f>
        <v>168000</v>
      </c>
      <c r="AE76" s="75"/>
      <c r="AF76" s="38" t="str">
        <f>Y76</f>
        <v>01 - LV</v>
      </c>
      <c r="AG76" s="38">
        <v>1.0</v>
      </c>
      <c r="AH76" s="38">
        <v>1.0</v>
      </c>
      <c r="AI76" s="38">
        <f>AH76*8*4^Z76</f>
        <v>32</v>
      </c>
      <c r="AJ76" s="38">
        <f>MIN(ROUNDDOWN(AI76/AL76,0),U76)</f>
        <v>0</v>
      </c>
      <c r="AK76" s="38">
        <f>IF(OR(T76="No",T76=""),AG76*S76,AG76*T76)</f>
        <v>1</v>
      </c>
      <c r="AL76" s="38">
        <f>ROUNDUP(AA76*VLOOKUP(H76,'Machine List'!$A$2:$D$219,4,FALSE),0)</f>
        <v>480</v>
      </c>
      <c r="AM76" s="38">
        <f>AL76*AK76</f>
        <v>480</v>
      </c>
      <c r="AN76" s="38">
        <f>ROUNDUP(AB76*I78,0)</f>
        <v>350</v>
      </c>
      <c r="AO76" s="38">
        <f>ROUNDUP(AN76/VLOOKUP(H76,'Machine List'!$A$2:$D$219,3,FALSE),0)</f>
        <v>350</v>
      </c>
      <c r="AP76" s="38">
        <f>ROUNDUP(AO76/AK76,0)</f>
        <v>350</v>
      </c>
      <c r="AQ76" s="38">
        <f>AM76*AP76</f>
        <v>168000</v>
      </c>
      <c r="AR76" s="75"/>
      <c r="AS76" s="38" t="s">
        <v>401</v>
      </c>
      <c r="AT76" s="38">
        <f>VLOOKUP(AS76,'Item Helper Sheet'!$A$2:$B$16,2,FALSE)</f>
        <v>4</v>
      </c>
      <c r="AU76" s="38">
        <f>AG76</f>
        <v>1</v>
      </c>
      <c r="AV76" s="38">
        <v>1.0</v>
      </c>
      <c r="AW76" s="38">
        <f>AV76*8*4^AT76</f>
        <v>2048</v>
      </c>
      <c r="AX76" s="38">
        <f>MIN(ROUNDDOWN(AW76/AL76,0),X76)</f>
        <v>1</v>
      </c>
      <c r="AY76" s="38">
        <f>AX76*AU76</f>
        <v>1</v>
      </c>
      <c r="AZ76" s="38">
        <f>AL76</f>
        <v>480</v>
      </c>
      <c r="BA76" s="38">
        <f>MIN(AT76-Z76,IF(AW76&gt;=AZ77*4,
IF(AW76&gt;=AZ77*4^2,
IF(AW76&gt;=AZ77*4^3,
IF(AW76&gt;=AZ77*4^4,
IF(AW76&gt;=AZ77*4^5,
IF(AW76&gt;=AZ77*4^6,
IF(AW76&gt;=AZ77*4^7,
IF(AW76&gt;=AZ77*4^8,
IF(AW76&gt;=AZ77*4^9,
IF(AW76&gt;=AZ77*4^10,
9),
8),
7),
6),
5),
4),
3),
2),
1),
0))</f>
        <v>1</v>
      </c>
      <c r="BB76" s="38">
        <f>AZ76*AX76*4^BA76</f>
        <v>1920</v>
      </c>
      <c r="BC76" s="38">
        <f>BB76*AU76</f>
        <v>1920</v>
      </c>
      <c r="BD76" s="45">
        <f>ROUNDUP(IF(R76="Yes",AN76/(2^((BA76)*2)),AN76/(2^(BA76))),0)</f>
        <v>88</v>
      </c>
      <c r="BE76" s="45">
        <f>ROUNDUP(BD76/VLOOKUP(H76,'Machine List'!$A$2:$D$219,3,FALSE),0)</f>
        <v>88</v>
      </c>
      <c r="BF76" s="45">
        <f>ROUNDUP(BE76/AY76,0)</f>
        <v>88</v>
      </c>
      <c r="BG76" s="46">
        <f>BF76*BC76</f>
        <v>168960</v>
      </c>
      <c r="BI76" s="28"/>
      <c r="BK76" s="6" t="s">
        <v>593</v>
      </c>
      <c r="BL76" s="6"/>
      <c r="BM76" s="6">
        <v>1.0</v>
      </c>
      <c r="BN76" s="6"/>
      <c r="BO76" s="6">
        <v>1.0</v>
      </c>
      <c r="BQ76" s="6" t="s">
        <v>349</v>
      </c>
      <c r="BR76" s="6">
        <v>12.0</v>
      </c>
      <c r="BS76" s="6"/>
      <c r="BT76" s="6">
        <v>12.0</v>
      </c>
      <c r="BV76" s="6" t="s">
        <v>349</v>
      </c>
      <c r="BW76" s="6">
        <v>12.0</v>
      </c>
      <c r="BX76" s="6"/>
      <c r="BY76" s="6">
        <v>12.0</v>
      </c>
    </row>
    <row r="77">
      <c r="B77" s="40"/>
      <c r="C77" s="41" t="s">
        <v>87</v>
      </c>
      <c r="D77" s="38">
        <f>20000*I78</f>
        <v>140000</v>
      </c>
      <c r="E77" s="38" t="s">
        <v>134</v>
      </c>
      <c r="F77" s="42">
        <f>10000*I78</f>
        <v>70000</v>
      </c>
      <c r="G77" s="112"/>
      <c r="H77" s="99" t="s">
        <v>584</v>
      </c>
      <c r="I77" s="45">
        <f t="array" ref="I77">match(TRUE,ISBLANK(F77:F89),0)-1</f>
        <v>1</v>
      </c>
      <c r="J77" s="120" t="s">
        <v>420</v>
      </c>
      <c r="K77" s="120" t="s">
        <v>585</v>
      </c>
      <c r="L77" s="121"/>
      <c r="M77" s="121"/>
      <c r="N77" s="121"/>
      <c r="O77" s="121"/>
      <c r="P77" s="121"/>
      <c r="Q77" s="121"/>
      <c r="R77" s="121"/>
      <c r="S77" s="121"/>
      <c r="T77" s="121"/>
      <c r="U77" s="121"/>
      <c r="V77" s="121"/>
      <c r="W77" s="121"/>
      <c r="X77" s="121"/>
      <c r="Y77" s="121"/>
      <c r="Z77" s="121"/>
      <c r="AA77" s="121"/>
      <c r="AB77" s="121"/>
      <c r="AC77" s="121"/>
      <c r="AD77" s="121"/>
      <c r="AE77" s="118"/>
      <c r="AF77" s="121"/>
      <c r="AG77" s="121"/>
      <c r="AH77" s="121"/>
      <c r="AI77" s="121"/>
      <c r="AJ77" s="121"/>
      <c r="AK77" s="121"/>
      <c r="AL77" s="121"/>
      <c r="AM77" s="121"/>
      <c r="AN77" s="121"/>
      <c r="AO77" s="121"/>
      <c r="AP77" s="121"/>
      <c r="AQ77" s="121"/>
      <c r="AR77" s="118"/>
      <c r="AS77" s="121"/>
      <c r="AT77" s="121"/>
      <c r="AU77" s="121"/>
      <c r="AV77" s="121"/>
      <c r="AW77" s="121"/>
      <c r="AX77" s="121"/>
      <c r="AY77" s="121"/>
      <c r="AZ77" s="116">
        <f>AZ76*AX76</f>
        <v>480</v>
      </c>
      <c r="BA77" s="121"/>
      <c r="BB77" s="121"/>
      <c r="BC77" s="121"/>
      <c r="BD77" s="121"/>
      <c r="BE77" s="121"/>
      <c r="BF77" s="121"/>
      <c r="BG77" s="122"/>
      <c r="BI77" s="28"/>
      <c r="BK77" s="6" t="s">
        <v>599</v>
      </c>
      <c r="BL77" s="6"/>
      <c r="BM77" s="6">
        <v>1.0</v>
      </c>
      <c r="BN77" s="6"/>
      <c r="BO77" s="6">
        <v>1.0</v>
      </c>
      <c r="BQ77" s="6" t="s">
        <v>357</v>
      </c>
      <c r="BR77" s="6">
        <v>2.0</v>
      </c>
      <c r="BS77" s="6"/>
      <c r="BT77" s="6">
        <v>2.0</v>
      </c>
      <c r="BV77" s="6" t="s">
        <v>357</v>
      </c>
      <c r="BW77" s="6">
        <v>2.0</v>
      </c>
      <c r="BX77" s="6"/>
      <c r="BY77" s="6">
        <v>2.0</v>
      </c>
    </row>
    <row r="78">
      <c r="B78" s="40"/>
      <c r="C78" s="41" t="s">
        <v>142</v>
      </c>
      <c r="D78" s="38">
        <f>10000*I78</f>
        <v>70000</v>
      </c>
      <c r="E78" s="38"/>
      <c r="F78" s="42"/>
      <c r="G78" s="112"/>
      <c r="H78" s="48" t="s">
        <v>502</v>
      </c>
      <c r="I78" s="49">
        <v>7.0</v>
      </c>
      <c r="J78" s="100" t="s">
        <v>424</v>
      </c>
      <c r="K78" s="120">
        <v>0.0</v>
      </c>
      <c r="L78" s="121"/>
      <c r="M78" s="121"/>
      <c r="N78" s="121"/>
      <c r="O78" s="121"/>
      <c r="P78" s="121"/>
      <c r="Q78" s="121"/>
      <c r="R78" s="121"/>
      <c r="S78" s="121"/>
      <c r="T78" s="121"/>
      <c r="U78" s="121"/>
      <c r="V78" s="121"/>
      <c r="W78" s="121"/>
      <c r="X78" s="121"/>
      <c r="Y78" s="121"/>
      <c r="Z78" s="121"/>
      <c r="AA78" s="121"/>
      <c r="AB78" s="121"/>
      <c r="AC78" s="121"/>
      <c r="AD78" s="121"/>
      <c r="AE78" s="118"/>
      <c r="AF78" s="121"/>
      <c r="AG78" s="121"/>
      <c r="AH78" s="121"/>
      <c r="AI78" s="121"/>
      <c r="AJ78" s="121"/>
      <c r="AK78" s="121"/>
      <c r="AL78" s="121"/>
      <c r="AM78" s="121"/>
      <c r="AN78" s="121"/>
      <c r="AO78" s="121"/>
      <c r="AP78" s="121"/>
      <c r="AQ78" s="121"/>
      <c r="AR78" s="118"/>
      <c r="AS78" s="121"/>
      <c r="AT78" s="121"/>
      <c r="AU78" s="121"/>
      <c r="AV78" s="121"/>
      <c r="AW78" s="121"/>
      <c r="AX78" s="121"/>
      <c r="AY78" s="121"/>
      <c r="AZ78" s="121"/>
      <c r="BA78" s="121"/>
      <c r="BB78" s="121"/>
      <c r="BC78" s="121"/>
      <c r="BD78" s="121"/>
      <c r="BE78" s="121"/>
      <c r="BF78" s="121"/>
      <c r="BG78" s="122"/>
      <c r="BI78" s="28"/>
      <c r="BK78" s="6" t="s">
        <v>601</v>
      </c>
      <c r="BL78" s="6"/>
      <c r="BM78" s="6">
        <v>1.0</v>
      </c>
      <c r="BN78" s="6"/>
      <c r="BO78" s="6">
        <v>1.0</v>
      </c>
      <c r="BQ78" s="6" t="s">
        <v>487</v>
      </c>
      <c r="BR78" s="6">
        <v>18.0</v>
      </c>
      <c r="BS78" s="6">
        <v>1.0</v>
      </c>
      <c r="BT78" s="6">
        <v>19.0</v>
      </c>
      <c r="BV78" s="6" t="s">
        <v>487</v>
      </c>
      <c r="BW78" s="6">
        <v>18.0</v>
      </c>
      <c r="BX78" s="6">
        <v>1.0</v>
      </c>
      <c r="BY78" s="6">
        <v>19.0</v>
      </c>
    </row>
    <row r="79">
      <c r="B79" s="50"/>
      <c r="C79" s="51"/>
      <c r="D79" s="52"/>
      <c r="E79" s="52"/>
      <c r="F79" s="52"/>
      <c r="G79" s="112"/>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2"/>
      <c r="AF79" s="113"/>
      <c r="AG79" s="113"/>
      <c r="AH79" s="113"/>
      <c r="AI79" s="113"/>
      <c r="AJ79" s="113"/>
      <c r="AK79" s="113"/>
      <c r="AL79" s="113"/>
      <c r="AM79" s="113"/>
      <c r="AN79" s="113"/>
      <c r="AO79" s="113"/>
      <c r="AP79" s="113"/>
      <c r="AQ79" s="113"/>
      <c r="AR79" s="112"/>
      <c r="AS79" s="113"/>
      <c r="AT79" s="113"/>
      <c r="AU79" s="113"/>
      <c r="AV79" s="113"/>
      <c r="AW79" s="113"/>
      <c r="AX79" s="113"/>
      <c r="AY79" s="113"/>
      <c r="AZ79" s="113"/>
      <c r="BA79" s="113"/>
      <c r="BB79" s="113"/>
      <c r="BC79" s="113"/>
      <c r="BD79" s="113"/>
      <c r="BE79" s="113"/>
      <c r="BF79" s="113"/>
      <c r="BG79" s="114"/>
      <c r="BI79" s="28"/>
      <c r="BK79" s="6" t="s">
        <v>611</v>
      </c>
      <c r="BL79" s="6"/>
      <c r="BM79" s="6">
        <v>1.0</v>
      </c>
      <c r="BN79" s="6"/>
      <c r="BO79" s="6">
        <v>1.0</v>
      </c>
    </row>
    <row r="80">
      <c r="B80" s="31" t="s">
        <v>667</v>
      </c>
      <c r="C80" s="54"/>
      <c r="D80" s="45"/>
      <c r="E80" s="45"/>
      <c r="F80" s="47"/>
      <c r="G80" s="112"/>
      <c r="H80" s="55" t="s">
        <v>349</v>
      </c>
      <c r="I80" s="38">
        <f>VLOOKUP(H80,'Machine List'!$A$1:$I$300,9,FALSE)</f>
        <v>4000</v>
      </c>
      <c r="J80" s="38">
        <f>IF(VLOOKUP(H80,'Machine List'!$A$1:$I$300,5,FALSE)="Multi",IF(VLOOKUP(H80,'Machine List'!$A$1:$I$300,6,FALSE)="Yes",AG80*3*10^Z80,AG80*(2*3)*10^(Z80-1)),0)</f>
        <v>6</v>
      </c>
      <c r="K80" s="38">
        <f>J80+IF(ISNUMBER(I80),I80,
  SWITCH(
      I80,
      "1T",1*10^Z80,
      "2T",2*10^Z80,
      "3T",3*10^Z80,
      "4T",4*10^Z80,
      "4000+500(7O-5)",4000+500*(7*I81-5),
      1
  )
)</f>
        <v>4006</v>
      </c>
      <c r="L80" s="38">
        <f>IF(VLOOKUP(H80,'Machine List'!$A$1:$I$300,5,FALSE)="Multi",IF(VLOOKUP(H80,'Machine List'!$A$1:$I$300,6,FALSE)="Yes",AU80*3*10^AT80,AU80*(2*3)*10^(AT80-1)),0)</f>
        <v>6000</v>
      </c>
      <c r="M80" s="38">
        <f>L80+IF(ISNUMBER(I80),I80,
  SWITCH(
      I80,
      "1T",1*10^AT80,
      "2T",2*10^AT80,
      "3T",3*10^AT80,
      "4T",4*10^AT80,
      "4000+500(7O-5)",4000+500*(7*I81-5),
      1
  )
)</f>
        <v>10000</v>
      </c>
      <c r="N80" s="38" t="str">
        <f>VLOOKUP(H80,'Machine List'!$A$1:$I$300,8,FALSE)</f>
        <v>Tier</v>
      </c>
      <c r="O80" s="38">
        <f>IF(ISNUMBER(N80),N80,10^Z80)</f>
        <v>10</v>
      </c>
      <c r="P80" s="38">
        <f>IF(ISNUMBER(N80),N80,10^AT80)</f>
        <v>10000</v>
      </c>
      <c r="Q80" s="38">
        <f>VLOOKUP(H80,'Machine List'!$A$1:$B$138,2,FALSE)</f>
        <v>1</v>
      </c>
      <c r="R80" s="38" t="s">
        <v>594</v>
      </c>
      <c r="S80" s="45">
        <f>IF(ISNUMBER(Q80),Q80,
  SWITCH(
      Q80,
      "1",1,
      "2T",Z80*2,
      "4T",Z80*4,
      "6T",Z80*6,
      "8T",Z80*8,
      "10T",Z80*10,
      "12T",Z80*12,
      "14T",Z80*14,
      "16T",Z80*16,
      "2(T+1)",2*(Z80+1),
      "1T*C",Z80*J82,
      1
  )
)</f>
        <v>1</v>
      </c>
      <c r="T80" s="38" t="s">
        <v>277</v>
      </c>
      <c r="U80" s="38">
        <f>IF(OR(T80="No",T80=""),S80,T80)</f>
        <v>1</v>
      </c>
      <c r="V80" s="38">
        <f>IF(ISNUMBER(Q80),Q80,
  SWITCH(
      Q80,
      "1",1,
      "2T",AT80*2,
      "4T",AT80*4,
      "6T",AT80*6,
      "8T",AT80*8,
      "10T",AT80*10,
      "12T",AT80*12,
      "14T",AT80*14,
      "16T",AT80*16,
      "2(T+1)",2*(AT80+1),
      "1T*C",AT80*J82,
      1
  )
)</f>
        <v>1</v>
      </c>
      <c r="W80" s="38" t="str">
        <f>T80</f>
        <v>No</v>
      </c>
      <c r="X80" s="38">
        <f>IF(OR(W80="No",W80=""),V80,W80)</f>
        <v>1</v>
      </c>
      <c r="Y80" s="38" t="s">
        <v>390</v>
      </c>
      <c r="Z80" s="38">
        <f>VLOOKUP(Y80,'Item Helper Sheet'!$A$2:$B$16,2,FALSE)</f>
        <v>1</v>
      </c>
      <c r="AA80" s="38">
        <v>30.0</v>
      </c>
      <c r="AB80" s="38">
        <f>5*20</f>
        <v>100</v>
      </c>
      <c r="AC80" s="38">
        <f>AB80*I82</f>
        <v>2000</v>
      </c>
      <c r="AD80" s="38">
        <f>AA80*AC80</f>
        <v>60000</v>
      </c>
      <c r="AE80" s="75"/>
      <c r="AF80" s="38" t="str">
        <f>Y80</f>
        <v>01 - LV</v>
      </c>
      <c r="AG80" s="38">
        <v>1.0</v>
      </c>
      <c r="AH80" s="38">
        <v>1.0</v>
      </c>
      <c r="AI80" s="38">
        <f>AH80*8*4^Z80</f>
        <v>32</v>
      </c>
      <c r="AJ80" s="38">
        <f>MIN(ROUNDDOWN(AI80/AL80,0),U80)</f>
        <v>1</v>
      </c>
      <c r="AK80" s="38">
        <f>IF(OR(T80="No",T80=""),AG80*S80,AG80*T80)</f>
        <v>1</v>
      </c>
      <c r="AL80" s="38">
        <f>ROUNDUP(AA80*VLOOKUP(H80,'Machine List'!$A$2:$D$219,4,FALSE),0)</f>
        <v>30</v>
      </c>
      <c r="AM80" s="38">
        <f>AL80*AK80</f>
        <v>30</v>
      </c>
      <c r="AN80" s="38">
        <f>ROUNDUP(AB80*I82,0)</f>
        <v>2000</v>
      </c>
      <c r="AO80" s="38">
        <f>ROUNDUP(AN80/VLOOKUP(H80,'Machine List'!$A$2:$D$219,3,FALSE),0)</f>
        <v>2000</v>
      </c>
      <c r="AP80" s="38">
        <f>ROUNDUP(AO80/AK80,0)</f>
        <v>2000</v>
      </c>
      <c r="AQ80" s="38">
        <f>AM80*AP80</f>
        <v>60000</v>
      </c>
      <c r="AR80" s="75"/>
      <c r="AS80" s="38" t="s">
        <v>401</v>
      </c>
      <c r="AT80" s="38">
        <f>VLOOKUP(AS80,'Item Helper Sheet'!$A$2:$B$16,2,FALSE)</f>
        <v>4</v>
      </c>
      <c r="AU80" s="38">
        <f>AG80</f>
        <v>1</v>
      </c>
      <c r="AV80" s="38">
        <v>1.0</v>
      </c>
      <c r="AW80" s="38">
        <f>AV80*8*4^AT80</f>
        <v>2048</v>
      </c>
      <c r="AX80" s="38">
        <f>MIN(ROUNDDOWN(AW80/AL80,0),X80)</f>
        <v>1</v>
      </c>
      <c r="AY80" s="38">
        <f>AX80*AU80</f>
        <v>1</v>
      </c>
      <c r="AZ80" s="38">
        <f>AL80</f>
        <v>30</v>
      </c>
      <c r="BA80" s="38">
        <f>MIN(AT80-Z80,IF(AW80&gt;=AZ81*4,
IF(AW80&gt;=AZ81*4^2,
IF(AW80&gt;=AZ81*4^3,
IF(AW80&gt;=AZ81*4^4,
IF(AW80&gt;=AZ81*4^5,
IF(AW80&gt;=AZ81*4^6,
IF(AW80&gt;=AZ81*4^7,
IF(AW80&gt;=AZ81*4^8,
IF(AW80&gt;=AZ81*4^9,
IF(AW80&gt;=AZ81*4^10,
9),
8),
7),
6),
5),
4),
3),
2),
1),
0))</f>
        <v>3</v>
      </c>
      <c r="BB80" s="38">
        <f>AZ80*AX80*4^BA80</f>
        <v>1920</v>
      </c>
      <c r="BC80" s="38">
        <f>BB80*AU80</f>
        <v>1920</v>
      </c>
      <c r="BD80" s="45">
        <f>ROUNDUP(IF(R80="Yes",AN80/(2^((BA80)*2)),AN80/(2^(BA80))),0)</f>
        <v>32</v>
      </c>
      <c r="BE80" s="45">
        <f>ROUNDUP(BD80/VLOOKUP(H80,'Machine List'!$A$2:$D$219,3,FALSE),0)</f>
        <v>32</v>
      </c>
      <c r="BF80" s="45">
        <f>ROUNDUP(BE80/AY80,0)</f>
        <v>32</v>
      </c>
      <c r="BG80" s="46">
        <f>BF80*BC80</f>
        <v>61440</v>
      </c>
      <c r="BI80" s="28"/>
      <c r="BK80" s="6" t="s">
        <v>658</v>
      </c>
      <c r="BL80" s="6"/>
      <c r="BM80" s="6"/>
      <c r="BN80" s="6">
        <v>1.0</v>
      </c>
      <c r="BO80" s="6">
        <v>1.0</v>
      </c>
    </row>
    <row r="81">
      <c r="B81" s="40"/>
      <c r="C81" s="41" t="s">
        <v>64</v>
      </c>
      <c r="D81" s="38">
        <f>2000*I82</f>
        <v>40000</v>
      </c>
      <c r="E81" s="38" t="s">
        <v>13</v>
      </c>
      <c r="F81" s="42">
        <f>1000*I82</f>
        <v>20000</v>
      </c>
      <c r="G81" s="112"/>
      <c r="H81" s="99" t="s">
        <v>584</v>
      </c>
      <c r="I81" s="45">
        <f t="array" ref="I81">match(TRUE,ISBLANK(F81:F93),0)-1</f>
        <v>1</v>
      </c>
      <c r="J81" s="120" t="s">
        <v>420</v>
      </c>
      <c r="K81" s="120" t="s">
        <v>585</v>
      </c>
      <c r="L81" s="121"/>
      <c r="M81" s="121"/>
      <c r="N81" s="121"/>
      <c r="O81" s="121"/>
      <c r="P81" s="121"/>
      <c r="Q81" s="121"/>
      <c r="R81" s="121"/>
      <c r="S81" s="121"/>
      <c r="T81" s="121"/>
      <c r="U81" s="121"/>
      <c r="V81" s="121"/>
      <c r="W81" s="121"/>
      <c r="X81" s="121"/>
      <c r="Y81" s="121"/>
      <c r="Z81" s="121"/>
      <c r="AA81" s="121"/>
      <c r="AB81" s="121"/>
      <c r="AC81" s="121"/>
      <c r="AD81" s="121"/>
      <c r="AE81" s="118"/>
      <c r="AF81" s="121"/>
      <c r="AG81" s="121"/>
      <c r="AH81" s="121"/>
      <c r="AI81" s="121"/>
      <c r="AJ81" s="121"/>
      <c r="AK81" s="121"/>
      <c r="AL81" s="121"/>
      <c r="AM81" s="121"/>
      <c r="AN81" s="121"/>
      <c r="AO81" s="121"/>
      <c r="AP81" s="121"/>
      <c r="AQ81" s="121"/>
      <c r="AR81" s="118"/>
      <c r="AS81" s="121"/>
      <c r="AT81" s="121"/>
      <c r="AU81" s="121"/>
      <c r="AV81" s="121"/>
      <c r="AW81" s="121"/>
      <c r="AX81" s="121"/>
      <c r="AY81" s="121"/>
      <c r="AZ81" s="116">
        <f>AZ80*AX80</f>
        <v>30</v>
      </c>
      <c r="BA81" s="121"/>
      <c r="BB81" s="121"/>
      <c r="BC81" s="121"/>
      <c r="BD81" s="121"/>
      <c r="BE81" s="121"/>
      <c r="BF81" s="121"/>
      <c r="BG81" s="122"/>
      <c r="BI81" s="28"/>
      <c r="BK81" s="6" t="s">
        <v>659</v>
      </c>
      <c r="BL81" s="6">
        <v>1.0</v>
      </c>
      <c r="BM81" s="6"/>
      <c r="BN81" s="6"/>
      <c r="BO81" s="6">
        <v>1.0</v>
      </c>
      <c r="BQ81" s="6" t="s">
        <v>567</v>
      </c>
      <c r="BR81" s="6" t="s">
        <v>468</v>
      </c>
      <c r="BS81" s="6"/>
      <c r="BT81" s="6"/>
      <c r="BV81" s="6" t="s">
        <v>571</v>
      </c>
      <c r="BW81" s="6" t="s">
        <v>495</v>
      </c>
      <c r="BX81" s="6"/>
      <c r="BY81" s="6"/>
    </row>
    <row r="82">
      <c r="B82" s="40"/>
      <c r="C82" s="41" t="s">
        <v>142</v>
      </c>
      <c r="D82" s="38">
        <f>1000*I82</f>
        <v>20000</v>
      </c>
      <c r="E82" s="38"/>
      <c r="F82" s="42"/>
      <c r="G82" s="112"/>
      <c r="H82" s="48" t="s">
        <v>502</v>
      </c>
      <c r="I82" s="49">
        <v>20.0</v>
      </c>
      <c r="J82" s="100" t="s">
        <v>424</v>
      </c>
      <c r="K82" s="120">
        <v>0.0</v>
      </c>
      <c r="L82" s="121"/>
      <c r="M82" s="121"/>
      <c r="N82" s="121"/>
      <c r="O82" s="121"/>
      <c r="P82" s="121"/>
      <c r="Q82" s="121"/>
      <c r="R82" s="121"/>
      <c r="S82" s="121"/>
      <c r="T82" s="121"/>
      <c r="U82" s="121"/>
      <c r="V82" s="121"/>
      <c r="W82" s="121"/>
      <c r="X82" s="121"/>
      <c r="Y82" s="121"/>
      <c r="Z82" s="121"/>
      <c r="AA82" s="121"/>
      <c r="AB82" s="121"/>
      <c r="AC82" s="121"/>
      <c r="AD82" s="121"/>
      <c r="AE82" s="118"/>
      <c r="AF82" s="121"/>
      <c r="AG82" s="121"/>
      <c r="AH82" s="121"/>
      <c r="AI82" s="121"/>
      <c r="AJ82" s="121"/>
      <c r="AK82" s="121"/>
      <c r="AL82" s="121"/>
      <c r="AM82" s="121"/>
      <c r="AN82" s="121"/>
      <c r="AO82" s="121"/>
      <c r="AP82" s="121"/>
      <c r="AQ82" s="121"/>
      <c r="AR82" s="118"/>
      <c r="AS82" s="121"/>
      <c r="AT82" s="121"/>
      <c r="AU82" s="121"/>
      <c r="AV82" s="121"/>
      <c r="AW82" s="121"/>
      <c r="AX82" s="121"/>
      <c r="AY82" s="121"/>
      <c r="AZ82" s="121"/>
      <c r="BA82" s="121"/>
      <c r="BB82" s="121"/>
      <c r="BC82" s="121"/>
      <c r="BD82" s="121"/>
      <c r="BE82" s="121"/>
      <c r="BF82" s="121"/>
      <c r="BG82" s="122"/>
      <c r="BI82" s="28"/>
      <c r="BK82" s="6" t="s">
        <v>660</v>
      </c>
      <c r="BL82" s="6"/>
      <c r="BM82" s="6"/>
      <c r="BN82" s="6">
        <v>1.0</v>
      </c>
      <c r="BO82" s="6">
        <v>1.0</v>
      </c>
      <c r="BQ82" s="6" t="s">
        <v>462</v>
      </c>
      <c r="BR82" s="6" t="s">
        <v>401</v>
      </c>
      <c r="BS82" s="6" t="s">
        <v>405</v>
      </c>
      <c r="BT82" s="6" t="s">
        <v>487</v>
      </c>
      <c r="BV82" s="6" t="s">
        <v>462</v>
      </c>
      <c r="BW82" s="6" t="s">
        <v>390</v>
      </c>
      <c r="BX82" s="6" t="s">
        <v>397</v>
      </c>
      <c r="BY82" s="6" t="s">
        <v>487</v>
      </c>
    </row>
    <row r="83">
      <c r="B83" s="50"/>
      <c r="C83" s="51"/>
      <c r="D83" s="52"/>
      <c r="E83" s="52"/>
      <c r="F83" s="52"/>
      <c r="G83" s="112"/>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2"/>
      <c r="AF83" s="113"/>
      <c r="AG83" s="113"/>
      <c r="AH83" s="113"/>
      <c r="AI83" s="113"/>
      <c r="AJ83" s="113"/>
      <c r="AK83" s="113"/>
      <c r="AL83" s="113"/>
      <c r="AM83" s="113"/>
      <c r="AN83" s="113"/>
      <c r="AO83" s="113"/>
      <c r="AP83" s="113"/>
      <c r="AQ83" s="113"/>
      <c r="AR83" s="112"/>
      <c r="AS83" s="113"/>
      <c r="AT83" s="113"/>
      <c r="AU83" s="113"/>
      <c r="AV83" s="113"/>
      <c r="AW83" s="113"/>
      <c r="AX83" s="113"/>
      <c r="AY83" s="113"/>
      <c r="AZ83" s="113"/>
      <c r="BA83" s="113"/>
      <c r="BB83" s="113"/>
      <c r="BC83" s="113"/>
      <c r="BD83" s="113"/>
      <c r="BE83" s="113"/>
      <c r="BF83" s="113"/>
      <c r="BG83" s="114"/>
      <c r="BI83" s="28"/>
      <c r="BK83" s="6" t="s">
        <v>661</v>
      </c>
      <c r="BL83" s="6">
        <v>1.0</v>
      </c>
      <c r="BM83" s="6"/>
      <c r="BN83" s="6"/>
      <c r="BO83" s="6">
        <v>1.0</v>
      </c>
      <c r="BQ83" s="6" t="s">
        <v>298</v>
      </c>
      <c r="BR83" s="6">
        <v>6.0</v>
      </c>
      <c r="BS83" s="6">
        <v>8.0</v>
      </c>
      <c r="BT83" s="6">
        <v>14.0</v>
      </c>
      <c r="BV83" s="6" t="s">
        <v>298</v>
      </c>
      <c r="BW83" s="6">
        <v>10.0</v>
      </c>
      <c r="BX83" s="6">
        <v>4.0</v>
      </c>
      <c r="BY83" s="6">
        <v>14.0</v>
      </c>
    </row>
    <row r="84">
      <c r="B84" s="31" t="s">
        <v>668</v>
      </c>
      <c r="C84" s="54"/>
      <c r="D84" s="45"/>
      <c r="E84" s="45"/>
      <c r="F84" s="47"/>
      <c r="G84" s="112"/>
      <c r="H84" s="55" t="s">
        <v>349</v>
      </c>
      <c r="I84" s="38">
        <f>VLOOKUP(H84,'Machine List'!$A$1:$I$300,9,FALSE)</f>
        <v>4000</v>
      </c>
      <c r="J84" s="38">
        <f>IF(VLOOKUP(H84,'Machine List'!$A$1:$I$300,5,FALSE)="Multi",IF(VLOOKUP(H84,'Machine List'!$A$1:$I$300,6,FALSE)="Yes",AG84*3*10^Z84,AG84*(2*3)*10^(Z84-1)),0)</f>
        <v>6</v>
      </c>
      <c r="K84" s="38">
        <f>J84+IF(ISNUMBER(I84),I84,
  SWITCH(
      I84,
      "1T",1*10^Z84,
      "2T",2*10^Z84,
      "3T",3*10^Z84,
      "4T",4*10^Z84,
      "4000+500(7O-5)",4000+500*(7*I85-5),
      1
  )
)</f>
        <v>4006</v>
      </c>
      <c r="L84" s="38">
        <f>IF(VLOOKUP(H84,'Machine List'!$A$1:$I$300,5,FALSE)="Multi",IF(VLOOKUP(H84,'Machine List'!$A$1:$I$300,6,FALSE)="Yes",AU84*3*10^AT84,AU84*(2*3)*10^(AT84-1)),0)</f>
        <v>6000</v>
      </c>
      <c r="M84" s="38">
        <f>L84+IF(ISNUMBER(I84),I84,
  SWITCH(
      I84,
      "1T",1*10^AT84,
      "2T",2*10^AT84,
      "3T",3*10^AT84,
      "4T",4*10^AT84,
      "4000+500(7O-5)",4000+500*(7*I85-5),
      1
  )
)</f>
        <v>10000</v>
      </c>
      <c r="N84" s="38" t="str">
        <f>VLOOKUP(H84,'Machine List'!$A$1:$I$300,8,FALSE)</f>
        <v>Tier</v>
      </c>
      <c r="O84" s="38">
        <f>IF(ISNUMBER(N84),N84,10^Z84)</f>
        <v>10</v>
      </c>
      <c r="P84" s="38">
        <f>IF(ISNUMBER(N84),N84,10^AT84)</f>
        <v>10000</v>
      </c>
      <c r="Q84" s="38">
        <f>VLOOKUP(H84,'Machine List'!$A$1:$B$138,2,FALSE)</f>
        <v>1</v>
      </c>
      <c r="R84" s="38" t="s">
        <v>594</v>
      </c>
      <c r="S84" s="45">
        <f>IF(ISNUMBER(Q84),Q84,
  SWITCH(
      Q84,
      "1",1,
      "2T",Z84*2,
      "4T",Z84*4,
      "6T",Z84*6,
      "8T",Z84*8,
      "10T",Z84*10,
      "12T",Z84*12,
      "14T",Z84*14,
      "16T",Z84*16,
      "2(T+1)",2*(Z84+1),
      "1T*C",Z84*J86,
      1
  )
)</f>
        <v>1</v>
      </c>
      <c r="T84" s="38" t="s">
        <v>277</v>
      </c>
      <c r="U84" s="38">
        <f>IF(OR(T84="No",T84=""),S84,T84)</f>
        <v>1</v>
      </c>
      <c r="V84" s="38">
        <f>IF(ISNUMBER(Q84),Q84,
  SWITCH(
      Q84,
      "1",1,
      "2T",AT84*2,
      "4T",AT84*4,
      "6T",AT84*6,
      "8T",AT84*8,
      "10T",AT84*10,
      "12T",AT84*12,
      "14T",AT84*14,
      "16T",AT84*16,
      "2(T+1)",2*(AT84+1),
      "1T*C",AT84*J86,
      1
  )
)</f>
        <v>1</v>
      </c>
      <c r="W84" s="38" t="str">
        <f>T84</f>
        <v>No</v>
      </c>
      <c r="X84" s="38">
        <f>IF(OR(W84="No",W84=""),V84,W84)</f>
        <v>1</v>
      </c>
      <c r="Y84" s="38" t="s">
        <v>390</v>
      </c>
      <c r="Z84" s="38">
        <f>VLOOKUP(Y84,'Item Helper Sheet'!$A$2:$B$16,2,FALSE)</f>
        <v>1</v>
      </c>
      <c r="AA84" s="38">
        <v>480.0</v>
      </c>
      <c r="AB84" s="38">
        <f>20*20</f>
        <v>400</v>
      </c>
      <c r="AC84" s="38">
        <f>AB84*I86</f>
        <v>4000</v>
      </c>
      <c r="AD84" s="38">
        <f>AA84*AC84</f>
        <v>1920000</v>
      </c>
      <c r="AE84" s="75"/>
      <c r="AF84" s="38" t="str">
        <f>Y84</f>
        <v>01 - LV</v>
      </c>
      <c r="AG84" s="38">
        <v>1.0</v>
      </c>
      <c r="AH84" s="38">
        <v>1.0</v>
      </c>
      <c r="AI84" s="38">
        <f>AH84*8*4^Z84</f>
        <v>32</v>
      </c>
      <c r="AJ84" s="38">
        <f>MIN(ROUNDDOWN(AI84/AL84,0),U84)</f>
        <v>0</v>
      </c>
      <c r="AK84" s="38">
        <f>IF(OR(T84="No",T84=""),AG84*S84,AG84*T84)</f>
        <v>1</v>
      </c>
      <c r="AL84" s="38">
        <f>ROUNDUP(AA84*VLOOKUP(H84,'Machine List'!$A$2:$D$219,4,FALSE),0)</f>
        <v>480</v>
      </c>
      <c r="AM84" s="38">
        <f>AL84*AK84</f>
        <v>480</v>
      </c>
      <c r="AN84" s="38">
        <f>ROUNDUP(AB84*I86,0)</f>
        <v>4000</v>
      </c>
      <c r="AO84" s="38">
        <f>ROUNDUP(AN84/VLOOKUP(H84,'Machine List'!$A$2:$D$219,3,FALSE),0)</f>
        <v>4000</v>
      </c>
      <c r="AP84" s="38">
        <f>ROUNDUP(AO84/AK84,0)</f>
        <v>4000</v>
      </c>
      <c r="AQ84" s="38">
        <f>AM84*AP84</f>
        <v>1920000</v>
      </c>
      <c r="AR84" s="75"/>
      <c r="AS84" s="38" t="s">
        <v>401</v>
      </c>
      <c r="AT84" s="38">
        <f>VLOOKUP(AS84,'Item Helper Sheet'!$A$2:$B$16,2,FALSE)</f>
        <v>4</v>
      </c>
      <c r="AU84" s="38">
        <f>AG84</f>
        <v>1</v>
      </c>
      <c r="AV84" s="38">
        <v>1.0</v>
      </c>
      <c r="AW84" s="38">
        <f>AV84*8*4^AT84</f>
        <v>2048</v>
      </c>
      <c r="AX84" s="38">
        <f>MIN(ROUNDDOWN(AW84/AL84,0),X84)</f>
        <v>1</v>
      </c>
      <c r="AY84" s="38">
        <f>AX84*AU84</f>
        <v>1</v>
      </c>
      <c r="AZ84" s="38">
        <f>AL84</f>
        <v>480</v>
      </c>
      <c r="BA84" s="38">
        <f>MIN(AT84-Z84,IF(AW84&gt;=AZ85*4,
IF(AW84&gt;=AZ85*4^2,
IF(AW84&gt;=AZ85*4^3,
IF(AW84&gt;=AZ85*4^4,
IF(AW84&gt;=AZ85*4^5,
IF(AW84&gt;=AZ85*4^6,
IF(AW84&gt;=AZ85*4^7,
IF(AW84&gt;=AZ85*4^8,
IF(AW84&gt;=AZ85*4^9,
IF(AW84&gt;=AZ85*4^10,
9),
8),
7),
6),
5),
4),
3),
2),
1),
0))</f>
        <v>1</v>
      </c>
      <c r="BB84" s="38">
        <f>AZ84*AX84*4^BA84</f>
        <v>1920</v>
      </c>
      <c r="BC84" s="38">
        <f>BB84*AU84</f>
        <v>1920</v>
      </c>
      <c r="BD84" s="45">
        <f>ROUNDUP(IF(R84="Yes",AN84/(2^((BA84)*2)),AN84/(2^(BA84))),0)</f>
        <v>1000</v>
      </c>
      <c r="BE84" s="45">
        <f>ROUNDUP(BD84/VLOOKUP(H84,'Machine List'!$A$2:$D$219,3,FALSE),0)</f>
        <v>1000</v>
      </c>
      <c r="BF84" s="45">
        <f>ROUNDUP(BE84/AY84,0)</f>
        <v>1000</v>
      </c>
      <c r="BG84" s="46">
        <f>BF84*BC84</f>
        <v>1920000</v>
      </c>
      <c r="BI84" s="28"/>
      <c r="BK84" s="6" t="s">
        <v>662</v>
      </c>
      <c r="BL84" s="6">
        <v>1.0</v>
      </c>
      <c r="BM84" s="6"/>
      <c r="BN84" s="6"/>
      <c r="BO84" s="6">
        <v>1.0</v>
      </c>
      <c r="BQ84" s="6" t="s">
        <v>349</v>
      </c>
      <c r="BR84" s="6">
        <v>12.0</v>
      </c>
      <c r="BS84" s="6"/>
      <c r="BT84" s="6">
        <v>12.0</v>
      </c>
      <c r="BV84" s="6" t="s">
        <v>349</v>
      </c>
      <c r="BW84" s="6">
        <v>12.0</v>
      </c>
      <c r="BX84" s="6"/>
      <c r="BY84" s="6">
        <v>12.0</v>
      </c>
    </row>
    <row r="85">
      <c r="B85" s="40"/>
      <c r="C85" s="41" t="s">
        <v>13</v>
      </c>
      <c r="D85" s="38">
        <f>2000*I86</f>
        <v>20000</v>
      </c>
      <c r="E85" s="38" t="s">
        <v>14</v>
      </c>
      <c r="F85" s="42">
        <f>1000*I86</f>
        <v>10000</v>
      </c>
      <c r="G85" s="112"/>
      <c r="H85" s="99" t="s">
        <v>584</v>
      </c>
      <c r="I85" s="45">
        <f t="array" ref="I85">match(TRUE,ISBLANK(F85:F97),0)-1</f>
        <v>3</v>
      </c>
      <c r="J85" s="120" t="s">
        <v>420</v>
      </c>
      <c r="K85" s="120" t="s">
        <v>585</v>
      </c>
      <c r="L85" s="121"/>
      <c r="M85" s="121"/>
      <c r="N85" s="121"/>
      <c r="O85" s="121"/>
      <c r="P85" s="121"/>
      <c r="Q85" s="121"/>
      <c r="R85" s="121"/>
      <c r="S85" s="121"/>
      <c r="T85" s="121"/>
      <c r="U85" s="121"/>
      <c r="V85" s="121"/>
      <c r="W85" s="121"/>
      <c r="X85" s="121"/>
      <c r="Y85" s="121"/>
      <c r="Z85" s="121"/>
      <c r="AA85" s="121"/>
      <c r="AB85" s="121"/>
      <c r="AC85" s="121"/>
      <c r="AD85" s="121"/>
      <c r="AE85" s="118"/>
      <c r="AF85" s="121"/>
      <c r="AG85" s="121"/>
      <c r="AH85" s="121"/>
      <c r="AI85" s="121"/>
      <c r="AJ85" s="121"/>
      <c r="AK85" s="121"/>
      <c r="AL85" s="121"/>
      <c r="AM85" s="121"/>
      <c r="AN85" s="121"/>
      <c r="AO85" s="121"/>
      <c r="AP85" s="121"/>
      <c r="AQ85" s="121"/>
      <c r="AR85" s="118"/>
      <c r="AS85" s="121"/>
      <c r="AT85" s="121"/>
      <c r="AU85" s="121"/>
      <c r="AV85" s="121"/>
      <c r="AW85" s="121"/>
      <c r="AX85" s="121"/>
      <c r="AY85" s="121"/>
      <c r="AZ85" s="116">
        <f>AZ84*AX84</f>
        <v>480</v>
      </c>
      <c r="BA85" s="121"/>
      <c r="BB85" s="121"/>
      <c r="BC85" s="121"/>
      <c r="BD85" s="121"/>
      <c r="BE85" s="121"/>
      <c r="BF85" s="121"/>
      <c r="BG85" s="122"/>
      <c r="BI85" s="28"/>
      <c r="BK85" s="6" t="s">
        <v>663</v>
      </c>
      <c r="BL85" s="6"/>
      <c r="BM85" s="6">
        <v>1.0</v>
      </c>
      <c r="BN85" s="6"/>
      <c r="BO85" s="6">
        <v>1.0</v>
      </c>
      <c r="BQ85" s="6" t="s">
        <v>357</v>
      </c>
      <c r="BR85" s="6"/>
      <c r="BS85" s="6">
        <v>4.0</v>
      </c>
      <c r="BT85" s="6">
        <v>4.0</v>
      </c>
      <c r="BV85" s="6" t="s">
        <v>357</v>
      </c>
      <c r="BW85" s="6">
        <v>4.0</v>
      </c>
      <c r="BX85" s="6"/>
      <c r="BY85" s="6">
        <v>4.0</v>
      </c>
    </row>
    <row r="86">
      <c r="B86" s="40"/>
      <c r="C86" s="41" t="s">
        <v>40</v>
      </c>
      <c r="D86" s="38">
        <f>1*I86</f>
        <v>10</v>
      </c>
      <c r="E86" s="38" t="s">
        <v>43</v>
      </c>
      <c r="F86" s="42">
        <f>1000*I86</f>
        <v>10000</v>
      </c>
      <c r="G86" s="112"/>
      <c r="H86" s="48" t="s">
        <v>502</v>
      </c>
      <c r="I86" s="49">
        <v>10.0</v>
      </c>
      <c r="J86" s="100" t="s">
        <v>424</v>
      </c>
      <c r="K86" s="120">
        <v>0.0</v>
      </c>
      <c r="L86" s="121"/>
      <c r="M86" s="121"/>
      <c r="N86" s="121"/>
      <c r="O86" s="121"/>
      <c r="P86" s="121"/>
      <c r="Q86" s="121"/>
      <c r="R86" s="121"/>
      <c r="S86" s="121"/>
      <c r="T86" s="121"/>
      <c r="U86" s="121"/>
      <c r="V86" s="121"/>
      <c r="W86" s="121"/>
      <c r="X86" s="121"/>
      <c r="Y86" s="121"/>
      <c r="Z86" s="121"/>
      <c r="AA86" s="121"/>
      <c r="AB86" s="121"/>
      <c r="AC86" s="121"/>
      <c r="AD86" s="121"/>
      <c r="AE86" s="118"/>
      <c r="AF86" s="121"/>
      <c r="AG86" s="121"/>
      <c r="AH86" s="121"/>
      <c r="AI86" s="121"/>
      <c r="AJ86" s="121"/>
      <c r="AK86" s="121"/>
      <c r="AL86" s="121"/>
      <c r="AM86" s="121"/>
      <c r="AN86" s="121"/>
      <c r="AO86" s="121"/>
      <c r="AP86" s="121"/>
      <c r="AQ86" s="121"/>
      <c r="AR86" s="118"/>
      <c r="AS86" s="121"/>
      <c r="AT86" s="121"/>
      <c r="AU86" s="121"/>
      <c r="AV86" s="121"/>
      <c r="AW86" s="121"/>
      <c r="AX86" s="121"/>
      <c r="AY86" s="121"/>
      <c r="AZ86" s="121"/>
      <c r="BA86" s="121"/>
      <c r="BB86" s="121"/>
      <c r="BC86" s="121"/>
      <c r="BD86" s="121"/>
      <c r="BE86" s="121"/>
      <c r="BF86" s="121"/>
      <c r="BG86" s="122"/>
      <c r="BI86" s="28"/>
      <c r="BK86" s="6" t="s">
        <v>664</v>
      </c>
      <c r="BL86" s="6"/>
      <c r="BM86" s="6">
        <v>1.0</v>
      </c>
      <c r="BN86" s="6"/>
      <c r="BO86" s="6">
        <v>1.0</v>
      </c>
      <c r="BQ86" s="6" t="s">
        <v>487</v>
      </c>
      <c r="BR86" s="6">
        <v>18.0</v>
      </c>
      <c r="BS86" s="6">
        <v>12.0</v>
      </c>
      <c r="BT86" s="6">
        <v>30.0</v>
      </c>
      <c r="BV86" s="6" t="s">
        <v>487</v>
      </c>
      <c r="BW86" s="6">
        <v>26.0</v>
      </c>
      <c r="BX86" s="6">
        <v>4.0</v>
      </c>
      <c r="BY86" s="6">
        <v>30.0</v>
      </c>
    </row>
    <row r="87">
      <c r="B87" s="40"/>
      <c r="C87" s="38"/>
      <c r="D87" s="133"/>
      <c r="E87" s="38" t="s">
        <v>248</v>
      </c>
      <c r="F87" s="42">
        <f>1000*I86</f>
        <v>10000</v>
      </c>
      <c r="G87" s="112"/>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18"/>
      <c r="AF87" s="101"/>
      <c r="AG87" s="101"/>
      <c r="AH87" s="101"/>
      <c r="AI87" s="101"/>
      <c r="AJ87" s="101"/>
      <c r="AK87" s="101"/>
      <c r="AL87" s="101"/>
      <c r="AM87" s="101"/>
      <c r="AN87" s="101"/>
      <c r="AO87" s="101"/>
      <c r="AP87" s="101"/>
      <c r="AQ87" s="101"/>
      <c r="AR87" s="118"/>
      <c r="AS87" s="101"/>
      <c r="AT87" s="101"/>
      <c r="AU87" s="101"/>
      <c r="AV87" s="101"/>
      <c r="AW87" s="101"/>
      <c r="AX87" s="101"/>
      <c r="AY87" s="101"/>
      <c r="AZ87" s="101"/>
      <c r="BA87" s="101"/>
      <c r="BB87" s="101"/>
      <c r="BC87" s="101"/>
      <c r="BD87" s="101"/>
      <c r="BE87" s="101"/>
      <c r="BF87" s="101"/>
      <c r="BG87" s="124"/>
      <c r="BI87" s="28"/>
      <c r="BK87" s="6" t="s">
        <v>665</v>
      </c>
      <c r="BL87" s="6">
        <v>1.0</v>
      </c>
      <c r="BM87" s="6"/>
      <c r="BN87" s="6"/>
      <c r="BO87" s="6">
        <v>1.0</v>
      </c>
    </row>
    <row r="88">
      <c r="B88" s="50"/>
      <c r="C88" s="51"/>
      <c r="D88" s="134"/>
      <c r="E88" s="52"/>
      <c r="F88" s="52"/>
      <c r="G88" s="112"/>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2"/>
      <c r="AF88" s="113"/>
      <c r="AG88" s="113"/>
      <c r="AH88" s="113"/>
      <c r="AI88" s="113"/>
      <c r="AJ88" s="113"/>
      <c r="AK88" s="113"/>
      <c r="AL88" s="113"/>
      <c r="AM88" s="113"/>
      <c r="AN88" s="113"/>
      <c r="AO88" s="113"/>
      <c r="AP88" s="113"/>
      <c r="AQ88" s="113"/>
      <c r="AR88" s="118"/>
      <c r="AS88" s="113"/>
      <c r="AT88" s="113"/>
      <c r="AU88" s="113"/>
      <c r="AV88" s="113"/>
      <c r="AW88" s="113"/>
      <c r="AX88" s="113"/>
      <c r="AY88" s="113"/>
      <c r="AZ88" s="113"/>
      <c r="BA88" s="113"/>
      <c r="BB88" s="113"/>
      <c r="BC88" s="113"/>
      <c r="BD88" s="113"/>
      <c r="BE88" s="113"/>
      <c r="BF88" s="113"/>
      <c r="BG88" s="114"/>
      <c r="BI88" s="28"/>
      <c r="BK88" s="6" t="s">
        <v>666</v>
      </c>
      <c r="BL88" s="6"/>
      <c r="BM88" s="6">
        <v>1.0</v>
      </c>
      <c r="BN88" s="6"/>
      <c r="BO88" s="6">
        <v>1.0</v>
      </c>
    </row>
    <row r="89">
      <c r="B89" s="31" t="s">
        <v>669</v>
      </c>
      <c r="C89" s="54"/>
      <c r="D89" s="45"/>
      <c r="E89" s="45"/>
      <c r="F89" s="47"/>
      <c r="G89" s="35"/>
      <c r="H89" s="55" t="s">
        <v>349</v>
      </c>
      <c r="I89" s="38">
        <f>VLOOKUP(H89,'Machine List'!$A$1:$I$300,9,FALSE)</f>
        <v>4000</v>
      </c>
      <c r="J89" s="38">
        <f>IF(VLOOKUP(H89,'Machine List'!$A$1:$I$300,5,FALSE)="Multi",IF(VLOOKUP(H89,'Machine List'!$A$1:$I$300,6,FALSE)="Yes",AG89*3*10^Z89,AG89*(2*3)*10^(Z89-1)),0)</f>
        <v>6</v>
      </c>
      <c r="K89" s="38">
        <f>J89+IF(ISNUMBER(I89),I89,
  SWITCH(
      I89,
      "1T",1*10^Z89,
      "2T",2*10^Z89,
      "3T",3*10^Z89,
      "4T",4*10^Z89,
      "4000+500(7O-5)",4000+500*(7*I90-5),
      1
  )
)</f>
        <v>4006</v>
      </c>
      <c r="L89" s="38">
        <f>IF(VLOOKUP(H89,'Machine List'!$A$1:$I$300,5,FALSE)="Multi",IF(VLOOKUP(H89,'Machine List'!$A$1:$I$300,6,FALSE)="Yes",AU89*3*10^AT89,AU89*(2*3)*10^(AT89-1)),0)</f>
        <v>6000</v>
      </c>
      <c r="M89" s="38">
        <f>L89+IF(ISNUMBER(I89),I89,
  SWITCH(
      I89,
      "1T",1*10^AT89,
      "2T",2*10^AT89,
      "3T",3*10^AT89,
      "4T",4*10^AT89,
      "4000+500(7O-5)",4000+500*(7*I90-5),
      1
  )
)</f>
        <v>10000</v>
      </c>
      <c r="N89" s="38" t="str">
        <f>VLOOKUP(H89,'Machine List'!$A$1:$I$300,8,FALSE)</f>
        <v>Tier</v>
      </c>
      <c r="O89" s="38">
        <f>IF(ISNUMBER(N89),N89,10^Z89)</f>
        <v>10</v>
      </c>
      <c r="P89" s="38">
        <f>IF(ISNUMBER(N89),N89,10^AT89)</f>
        <v>10000</v>
      </c>
      <c r="Q89" s="38">
        <f>VLOOKUP(H89,'Machine List'!$A$1:$B$138,2,FALSE)</f>
        <v>1</v>
      </c>
      <c r="R89" s="38" t="s">
        <v>594</v>
      </c>
      <c r="S89" s="45">
        <f>IF(ISNUMBER(Q89),Q89,
  SWITCH(
      Q89,
      "1",1,
      "2T",Z89*2,
      "4T",Z89*4,
      "6T",Z89*6,
      "8T",Z89*8,
      "10T",Z89*10,
      "12T",Z89*12,
      "14T",Z89*14,
      "16T",Z89*16,
      "2(T+1)",2*(Z89+1),
      "1T*C",Z89*J91,
      1
  )
)</f>
        <v>1</v>
      </c>
      <c r="T89" s="38" t="s">
        <v>277</v>
      </c>
      <c r="U89" s="38">
        <f>IF(OR(T89="No",T89=""),S89,T89)</f>
        <v>1</v>
      </c>
      <c r="V89" s="38">
        <f>IF(ISNUMBER(Q89),Q89,
  SWITCH(
      Q89,
      "1",1,
      "2T",AT89*2,
      "4T",AT89*4,
      "6T",AT89*6,
      "8T",AT89*8,
      "10T",AT89*10,
      "12T",AT89*12,
      "14T",AT89*14,
      "16T",AT89*16,
      "2(T+1)",2*(AT89+1),
      "1T*C",AT89*J91,
      1
  )
)</f>
        <v>1</v>
      </c>
      <c r="W89" s="38" t="str">
        <f>T89</f>
        <v>No</v>
      </c>
      <c r="X89" s="38">
        <f>IF(OR(W89="No",W89=""),V89,W89)</f>
        <v>1</v>
      </c>
      <c r="Y89" s="38" t="s">
        <v>390</v>
      </c>
      <c r="Z89" s="38">
        <f>VLOOKUP(Y89,'Item Helper Sheet'!$A$2:$B$16,2,FALSE)</f>
        <v>1</v>
      </c>
      <c r="AA89" s="38">
        <v>480.0</v>
      </c>
      <c r="AB89" s="38">
        <f>5*20</f>
        <v>100</v>
      </c>
      <c r="AC89" s="38">
        <f>AB89*I91</f>
        <v>1000</v>
      </c>
      <c r="AD89" s="38">
        <f>AA89*AC89</f>
        <v>480000</v>
      </c>
      <c r="AE89" s="75"/>
      <c r="AF89" s="38" t="str">
        <f>Y89</f>
        <v>01 - LV</v>
      </c>
      <c r="AG89" s="38">
        <v>1.0</v>
      </c>
      <c r="AH89" s="38">
        <v>1.0</v>
      </c>
      <c r="AI89" s="38">
        <f>AH89*8*4^Z89</f>
        <v>32</v>
      </c>
      <c r="AJ89" s="38">
        <f>MIN(ROUNDDOWN(AI89/AL89,0),U89)</f>
        <v>0</v>
      </c>
      <c r="AK89" s="38">
        <f>IF(OR(T89="No",T89=""),AG89*S89,AG89*T89)</f>
        <v>1</v>
      </c>
      <c r="AL89" s="38">
        <f>ROUNDUP(AA89*VLOOKUP(H89,'Machine List'!$A$2:$D$219,4,FALSE),0)</f>
        <v>480</v>
      </c>
      <c r="AM89" s="38">
        <f>AL89*AK89</f>
        <v>480</v>
      </c>
      <c r="AN89" s="38">
        <f>ROUNDUP(AB89*I91,0)</f>
        <v>1000</v>
      </c>
      <c r="AO89" s="38">
        <f>ROUNDUP(AN89/VLOOKUP(H89,'Machine List'!$A$2:$D$219,3,FALSE),0)</f>
        <v>1000</v>
      </c>
      <c r="AP89" s="38">
        <f>ROUNDUP(AO89/AK89,0)</f>
        <v>1000</v>
      </c>
      <c r="AQ89" s="38">
        <f>AM89*AP89</f>
        <v>480000</v>
      </c>
      <c r="AR89" s="75"/>
      <c r="AS89" s="38" t="s">
        <v>401</v>
      </c>
      <c r="AT89" s="38">
        <f>VLOOKUP(AS89,'Item Helper Sheet'!$A$2:$B$16,2,FALSE)</f>
        <v>4</v>
      </c>
      <c r="AU89" s="38">
        <f>AG89</f>
        <v>1</v>
      </c>
      <c r="AV89" s="38">
        <v>1.0</v>
      </c>
      <c r="AW89" s="38">
        <f>AV89*8*4^AT89</f>
        <v>2048</v>
      </c>
      <c r="AX89" s="38">
        <f>MIN(ROUNDDOWN(AW89/AL89,0),X89)</f>
        <v>1</v>
      </c>
      <c r="AY89" s="38">
        <f>AX89*AU89</f>
        <v>1</v>
      </c>
      <c r="AZ89" s="38">
        <f>AL89</f>
        <v>480</v>
      </c>
      <c r="BA89" s="38">
        <f>MIN(AT89-Z89,IF(AW89&gt;=AZ90*4,
IF(AW89&gt;=AZ90*4^2,
IF(AW89&gt;=AZ90*4^3,
IF(AW89&gt;=AZ90*4^4,
IF(AW89&gt;=AZ90*4^5,
IF(AW89&gt;=AZ90*4^6,
IF(AW89&gt;=AZ90*4^7,
IF(AW89&gt;=AZ90*4^8,
IF(AW89&gt;=AZ90*4^9,
IF(AW89&gt;=AZ90*4^10,
9),
8),
7),
6),
5),
4),
3),
2),
1),
0))</f>
        <v>1</v>
      </c>
      <c r="BB89" s="38">
        <f>AZ89*AX89*4^BA89</f>
        <v>1920</v>
      </c>
      <c r="BC89" s="38">
        <f>BB89*AU89</f>
        <v>1920</v>
      </c>
      <c r="BD89" s="45">
        <f>ROUNDUP(IF(R89="Yes",AN89/(2^((BA89)*2)),AN89/(2^(BA89))),0)</f>
        <v>250</v>
      </c>
      <c r="BE89" s="45">
        <f>ROUNDUP(BD89/VLOOKUP(H89,'Machine List'!$A$2:$D$219,3,FALSE),0)</f>
        <v>250</v>
      </c>
      <c r="BF89" s="45">
        <f>ROUNDUP(BE89/AY89,0)</f>
        <v>250</v>
      </c>
      <c r="BG89" s="46">
        <f>BF89*BC89</f>
        <v>480000</v>
      </c>
      <c r="BI89" s="28"/>
      <c r="BK89" s="6" t="s">
        <v>667</v>
      </c>
      <c r="BL89" s="6"/>
      <c r="BM89" s="6">
        <v>1.0</v>
      </c>
      <c r="BN89" s="6"/>
      <c r="BO89" s="6">
        <v>1.0</v>
      </c>
    </row>
    <row r="90">
      <c r="B90" s="40"/>
      <c r="C90" s="41" t="s">
        <v>124</v>
      </c>
      <c r="D90" s="38">
        <f>16000*I91</f>
        <v>160000</v>
      </c>
      <c r="E90" s="38" t="s">
        <v>179</v>
      </c>
      <c r="F90" s="42">
        <f>20000*I91</f>
        <v>200000</v>
      </c>
      <c r="G90" s="43"/>
      <c r="H90" s="99" t="s">
        <v>584</v>
      </c>
      <c r="I90" s="45">
        <f t="array" ref="I90">match(TRUE,ISBLANK(F90:F102),0)-1</f>
        <v>1</v>
      </c>
      <c r="J90" s="100" t="s">
        <v>420</v>
      </c>
      <c r="K90" s="100" t="s">
        <v>585</v>
      </c>
      <c r="L90" s="38"/>
      <c r="M90" s="38"/>
      <c r="N90" s="38"/>
      <c r="O90" s="38"/>
      <c r="P90" s="38"/>
      <c r="Q90" s="38"/>
      <c r="R90" s="101"/>
      <c r="S90" s="101"/>
      <c r="T90" s="101"/>
      <c r="U90" s="45"/>
      <c r="V90" s="45"/>
      <c r="W90" s="45"/>
      <c r="X90" s="45"/>
      <c r="Y90" s="45"/>
      <c r="Z90" s="45"/>
      <c r="AA90" s="45"/>
      <c r="AB90" s="45"/>
      <c r="AC90" s="45"/>
      <c r="AD90" s="45"/>
      <c r="AE90" s="79"/>
      <c r="AF90" s="45"/>
      <c r="AG90" s="45"/>
      <c r="AH90" s="45"/>
      <c r="AI90" s="45"/>
      <c r="AJ90" s="45"/>
      <c r="AK90" s="45"/>
      <c r="AL90" s="45"/>
      <c r="AM90" s="45"/>
      <c r="AN90" s="45"/>
      <c r="AO90" s="45"/>
      <c r="AP90" s="45"/>
      <c r="AQ90" s="45"/>
      <c r="AR90" s="79"/>
      <c r="AS90" s="45"/>
      <c r="AT90" s="45"/>
      <c r="AU90" s="45"/>
      <c r="AV90" s="45"/>
      <c r="AW90" s="45"/>
      <c r="AX90" s="45"/>
      <c r="AY90" s="45"/>
      <c r="AZ90" s="45">
        <f>AZ89*AX89</f>
        <v>480</v>
      </c>
      <c r="BA90" s="45"/>
      <c r="BB90" s="45"/>
      <c r="BC90" s="45"/>
      <c r="BD90" s="45"/>
      <c r="BE90" s="45"/>
      <c r="BF90" s="45"/>
      <c r="BG90" s="46"/>
      <c r="BI90" s="28"/>
      <c r="BK90" s="6" t="s">
        <v>668</v>
      </c>
      <c r="BL90" s="6"/>
      <c r="BM90" s="6">
        <v>1.0</v>
      </c>
      <c r="BN90" s="6"/>
      <c r="BO90" s="6">
        <v>1.0</v>
      </c>
    </row>
    <row r="91">
      <c r="B91" s="40"/>
      <c r="C91" s="41" t="s">
        <v>183</v>
      </c>
      <c r="D91" s="38">
        <f>2000*I91</f>
        <v>20000</v>
      </c>
      <c r="E91" s="38"/>
      <c r="F91" s="42"/>
      <c r="G91" s="43"/>
      <c r="H91" s="56" t="s">
        <v>502</v>
      </c>
      <c r="I91" s="49">
        <v>10.0</v>
      </c>
      <c r="J91" s="100" t="s">
        <v>424</v>
      </c>
      <c r="K91" s="100">
        <v>0.0</v>
      </c>
      <c r="L91" s="45"/>
      <c r="M91" s="45"/>
      <c r="N91" s="45"/>
      <c r="O91" s="45"/>
      <c r="P91" s="45"/>
      <c r="Q91" s="45"/>
      <c r="R91" s="45"/>
      <c r="S91" s="101"/>
      <c r="T91" s="101"/>
      <c r="U91" s="45"/>
      <c r="V91" s="45"/>
      <c r="W91" s="45"/>
      <c r="X91" s="45"/>
      <c r="Y91" s="45"/>
      <c r="Z91" s="45"/>
      <c r="AA91" s="45"/>
      <c r="AB91" s="45"/>
      <c r="AC91" s="45"/>
      <c r="AD91" s="45"/>
      <c r="AE91" s="79"/>
      <c r="AF91" s="45"/>
      <c r="AG91" s="45"/>
      <c r="AH91" s="45"/>
      <c r="AI91" s="45"/>
      <c r="AJ91" s="45"/>
      <c r="AK91" s="45"/>
      <c r="AL91" s="45"/>
      <c r="AM91" s="45"/>
      <c r="AN91" s="45"/>
      <c r="AO91" s="45"/>
      <c r="AP91" s="45"/>
      <c r="AQ91" s="45"/>
      <c r="AR91" s="79"/>
      <c r="AS91" s="45"/>
      <c r="AT91" s="45"/>
      <c r="AU91" s="45"/>
      <c r="AV91" s="45"/>
      <c r="AW91" s="45"/>
      <c r="AX91" s="45"/>
      <c r="AY91" s="45"/>
      <c r="AZ91" s="45"/>
      <c r="BA91" s="45"/>
      <c r="BB91" s="45"/>
      <c r="BC91" s="45"/>
      <c r="BD91" s="45"/>
      <c r="BE91" s="45"/>
      <c r="BF91" s="45"/>
      <c r="BG91" s="46"/>
      <c r="BI91" s="28"/>
      <c r="BK91" s="6" t="s">
        <v>669</v>
      </c>
      <c r="BL91" s="6"/>
      <c r="BM91" s="6">
        <v>1.0</v>
      </c>
      <c r="BN91" s="6"/>
      <c r="BO91" s="6">
        <v>1.0</v>
      </c>
    </row>
    <row r="92">
      <c r="B92" s="40"/>
      <c r="C92" s="41" t="s">
        <v>119</v>
      </c>
      <c r="D92" s="38">
        <f>2000*I91</f>
        <v>20000</v>
      </c>
      <c r="E92" s="38"/>
      <c r="F92" s="42"/>
      <c r="G92" s="43"/>
      <c r="H92" s="44"/>
      <c r="I92" s="45"/>
      <c r="J92" s="45"/>
      <c r="K92" s="45"/>
      <c r="L92" s="45"/>
      <c r="M92" s="45"/>
      <c r="N92" s="45"/>
      <c r="O92" s="45"/>
      <c r="P92" s="45"/>
      <c r="Q92" s="45"/>
      <c r="R92" s="45"/>
      <c r="S92" s="101"/>
      <c r="T92" s="101"/>
      <c r="U92" s="45"/>
      <c r="V92" s="45"/>
      <c r="W92" s="45"/>
      <c r="X92" s="45"/>
      <c r="Y92" s="45"/>
      <c r="Z92" s="45"/>
      <c r="AA92" s="45"/>
      <c r="AB92" s="45"/>
      <c r="AC92" s="45"/>
      <c r="AD92" s="45"/>
      <c r="AE92" s="79"/>
      <c r="AF92" s="45"/>
      <c r="AG92" s="45"/>
      <c r="AH92" s="45"/>
      <c r="AI92" s="45"/>
      <c r="AJ92" s="45"/>
      <c r="AK92" s="45"/>
      <c r="AL92" s="45"/>
      <c r="AM92" s="45"/>
      <c r="AN92" s="45"/>
      <c r="AO92" s="45"/>
      <c r="AP92" s="45"/>
      <c r="AQ92" s="45"/>
      <c r="AR92" s="79"/>
      <c r="AS92" s="45"/>
      <c r="AT92" s="45"/>
      <c r="AU92" s="45"/>
      <c r="AV92" s="45"/>
      <c r="AW92" s="45"/>
      <c r="AX92" s="45"/>
      <c r="AY92" s="45"/>
      <c r="AZ92" s="45"/>
      <c r="BA92" s="45"/>
      <c r="BB92" s="45"/>
      <c r="BC92" s="45"/>
      <c r="BD92" s="45"/>
      <c r="BE92" s="45"/>
      <c r="BF92" s="45"/>
      <c r="BG92" s="46"/>
      <c r="BI92" s="28"/>
      <c r="BK92" s="6" t="s">
        <v>670</v>
      </c>
      <c r="BL92" s="6"/>
      <c r="BM92" s="6">
        <v>1.0</v>
      </c>
      <c r="BN92" s="6"/>
      <c r="BO92" s="6">
        <v>1.0</v>
      </c>
    </row>
    <row r="93">
      <c r="B93" s="40"/>
      <c r="C93" s="41" t="s">
        <v>14</v>
      </c>
      <c r="D93" s="133">
        <f>1000*I91</f>
        <v>10000</v>
      </c>
      <c r="E93" s="38"/>
      <c r="F93" s="42"/>
      <c r="G93" s="43"/>
      <c r="H93" s="44"/>
      <c r="I93" s="45"/>
      <c r="J93" s="45"/>
      <c r="K93" s="45"/>
      <c r="L93" s="45"/>
      <c r="M93" s="45"/>
      <c r="N93" s="45"/>
      <c r="O93" s="45"/>
      <c r="P93" s="45"/>
      <c r="Q93" s="45"/>
      <c r="R93" s="45"/>
      <c r="S93" s="101"/>
      <c r="T93" s="101"/>
      <c r="U93" s="45"/>
      <c r="V93" s="45"/>
      <c r="W93" s="45"/>
      <c r="X93" s="45"/>
      <c r="Y93" s="45"/>
      <c r="Z93" s="45"/>
      <c r="AA93" s="45"/>
      <c r="AB93" s="45"/>
      <c r="AC93" s="45"/>
      <c r="AD93" s="45"/>
      <c r="AE93" s="79"/>
      <c r="AF93" s="45"/>
      <c r="AG93" s="45"/>
      <c r="AH93" s="45"/>
      <c r="AI93" s="45"/>
      <c r="AJ93" s="45"/>
      <c r="AK93" s="45"/>
      <c r="AL93" s="45"/>
      <c r="AM93" s="45"/>
      <c r="AN93" s="45"/>
      <c r="AO93" s="45"/>
      <c r="AP93" s="45"/>
      <c r="AQ93" s="45"/>
      <c r="AR93" s="79"/>
      <c r="AS93" s="45"/>
      <c r="AT93" s="45"/>
      <c r="AU93" s="45"/>
      <c r="AV93" s="45"/>
      <c r="AW93" s="45"/>
      <c r="AX93" s="45"/>
      <c r="AY93" s="45"/>
      <c r="AZ93" s="45"/>
      <c r="BA93" s="45"/>
      <c r="BB93" s="45"/>
      <c r="BC93" s="45"/>
      <c r="BD93" s="45"/>
      <c r="BE93" s="45"/>
      <c r="BF93" s="45"/>
      <c r="BG93" s="46"/>
      <c r="BI93" s="28"/>
      <c r="BK93" s="6" t="s">
        <v>671</v>
      </c>
      <c r="BL93" s="6"/>
      <c r="BM93" s="6">
        <v>1.0</v>
      </c>
      <c r="BN93" s="6"/>
      <c r="BO93" s="6">
        <v>1.0</v>
      </c>
    </row>
    <row r="94">
      <c r="B94" s="50"/>
      <c r="C94" s="51"/>
      <c r="D94" s="134"/>
      <c r="E94" s="52"/>
      <c r="F94" s="52"/>
      <c r="G94" s="112"/>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2"/>
      <c r="AF94" s="113"/>
      <c r="AG94" s="113"/>
      <c r="AH94" s="113"/>
      <c r="AI94" s="113"/>
      <c r="AJ94" s="113"/>
      <c r="AK94" s="113"/>
      <c r="AL94" s="113"/>
      <c r="AM94" s="113"/>
      <c r="AN94" s="113"/>
      <c r="AO94" s="113"/>
      <c r="AP94" s="113"/>
      <c r="AQ94" s="113"/>
      <c r="AR94" s="112"/>
      <c r="AS94" s="113"/>
      <c r="AT94" s="113"/>
      <c r="AU94" s="113"/>
      <c r="AV94" s="113"/>
      <c r="AW94" s="113"/>
      <c r="AX94" s="113"/>
      <c r="AY94" s="113"/>
      <c r="AZ94" s="113"/>
      <c r="BA94" s="113"/>
      <c r="BB94" s="113"/>
      <c r="BC94" s="113"/>
      <c r="BD94" s="113"/>
      <c r="BE94" s="113"/>
      <c r="BF94" s="113"/>
      <c r="BG94" s="114"/>
      <c r="BI94" s="28"/>
      <c r="BK94" s="6" t="s">
        <v>487</v>
      </c>
      <c r="BL94" s="6">
        <v>5.0</v>
      </c>
      <c r="BM94" s="6">
        <v>12.0</v>
      </c>
      <c r="BN94" s="6">
        <v>2.0</v>
      </c>
      <c r="BO94" s="6">
        <v>19.0</v>
      </c>
    </row>
    <row r="95">
      <c r="B95" s="31" t="s">
        <v>670</v>
      </c>
      <c r="C95" s="54"/>
      <c r="D95" s="45"/>
      <c r="E95" s="45"/>
      <c r="F95" s="47"/>
      <c r="G95" s="112"/>
      <c r="H95" s="55" t="s">
        <v>349</v>
      </c>
      <c r="I95" s="38">
        <f>VLOOKUP(H95,'Machine List'!$A$1:$I$300,9,FALSE)</f>
        <v>4000</v>
      </c>
      <c r="J95" s="38">
        <f>IF(VLOOKUP(H95,'Machine List'!$A$1:$I$300,5,FALSE)="Multi",IF(VLOOKUP(H95,'Machine List'!$A$1:$I$300,6,FALSE)="Yes",AG95*3*10^Z95,AG95*(2*3)*10^(Z95-1)),0)</f>
        <v>6</v>
      </c>
      <c r="K95" s="38">
        <f>J95+IF(ISNUMBER(I95),I95,
  SWITCH(
      I95,
      "1T",1*10^Z95,
      "2T",2*10^Z95,
      "3T",3*10^Z95,
      "4T",4*10^Z95,
      "4000+500(7O-5)",4000+500*(7*I96-5),
      1
  )
)</f>
        <v>4006</v>
      </c>
      <c r="L95" s="38">
        <f>IF(VLOOKUP(H95,'Machine List'!$A$1:$I$300,5,FALSE)="Multi",IF(VLOOKUP(H95,'Machine List'!$A$1:$I$300,6,FALSE)="Yes",AU95*3*10^AT95,AU95*(2*3)*10^(AT95-1)),0)</f>
        <v>6000</v>
      </c>
      <c r="M95" s="38">
        <f>L95+IF(ISNUMBER(I95),I95,
  SWITCH(
      I95,
      "1T",1*10^AT95,
      "2T",2*10^AT95,
      "3T",3*10^AT95,
      "4T",4*10^AT95,
      "4000+500(7O-5)",4000+500*(7*I96-5),
      1
  )
)</f>
        <v>10000</v>
      </c>
      <c r="N95" s="38" t="str">
        <f>VLOOKUP(H95,'Machine List'!$A$1:$I$300,8,FALSE)</f>
        <v>Tier</v>
      </c>
      <c r="O95" s="38">
        <f>IF(ISNUMBER(N95),N95,10^Z95)</f>
        <v>10</v>
      </c>
      <c r="P95" s="38">
        <f>IF(ISNUMBER(N95),N95,10^AT95)</f>
        <v>10000</v>
      </c>
      <c r="Q95" s="38">
        <f>VLOOKUP(H95,'Machine List'!$A$1:$B$138,2,FALSE)</f>
        <v>1</v>
      </c>
      <c r="R95" s="38" t="s">
        <v>594</v>
      </c>
      <c r="S95" s="45">
        <f>IF(ISNUMBER(Q95),Q95,
  SWITCH(
      Q95,
      "1",1,
      "2T",Z95*2,
      "4T",Z95*4,
      "6T",Z95*6,
      "8T",Z95*8,
      "10T",Z95*10,
      "12T",Z95*12,
      "14T",Z95*14,
      "16T",Z95*16,
      "2(T+1)",2*(Z95+1),
      "1T*C",Z95*J97,
      1
  )
)</f>
        <v>1</v>
      </c>
      <c r="T95" s="38" t="s">
        <v>277</v>
      </c>
      <c r="U95" s="38">
        <f>IF(OR(T95="No",T95=""),S95,T95)</f>
        <v>1</v>
      </c>
      <c r="V95" s="38">
        <f>IF(ISNUMBER(Q95),Q95,
  SWITCH(
      Q95,
      "1",1,
      "2T",AT95*2,
      "4T",AT95*4,
      "6T",AT95*6,
      "8T",AT95*8,
      "10T",AT95*10,
      "12T",AT95*12,
      "14T",AT95*14,
      "16T",AT95*16,
      "2(T+1)",2*(AT95+1),
      "1T*C",AT95*J97,
      1
  )
)</f>
        <v>1</v>
      </c>
      <c r="W95" s="38" t="str">
        <f>T95</f>
        <v>No</v>
      </c>
      <c r="X95" s="38">
        <f>IF(OR(W95="No",W95=""),V95,W95)</f>
        <v>1</v>
      </c>
      <c r="Y95" s="38" t="s">
        <v>390</v>
      </c>
      <c r="Z95" s="38">
        <f>VLOOKUP(Y95,'Item Helper Sheet'!$A$2:$B$16,2,FALSE)</f>
        <v>1</v>
      </c>
      <c r="AA95" s="38">
        <v>480.0</v>
      </c>
      <c r="AB95" s="38">
        <f>0.5*20</f>
        <v>10</v>
      </c>
      <c r="AC95" s="38">
        <f>AB95*I97</f>
        <v>200</v>
      </c>
      <c r="AD95" s="38">
        <f>AA95*AC95</f>
        <v>96000</v>
      </c>
      <c r="AE95" s="75"/>
      <c r="AF95" s="38" t="str">
        <f>Y95</f>
        <v>01 - LV</v>
      </c>
      <c r="AG95" s="38">
        <v>1.0</v>
      </c>
      <c r="AH95" s="38">
        <v>1.0</v>
      </c>
      <c r="AI95" s="38">
        <f>AH95*8*4^Z95</f>
        <v>32</v>
      </c>
      <c r="AJ95" s="38">
        <f>MIN(ROUNDDOWN(AI95/AL95,0),U95)</f>
        <v>0</v>
      </c>
      <c r="AK95" s="38">
        <f>IF(OR(T95="No",T95=""),AG95*S95,AG95*T95)</f>
        <v>1</v>
      </c>
      <c r="AL95" s="38">
        <f>ROUNDUP(AA95*VLOOKUP(H95,'Machine List'!$A$2:$D$219,4,FALSE),0)</f>
        <v>480</v>
      </c>
      <c r="AM95" s="38">
        <f>AL95*AK95</f>
        <v>480</v>
      </c>
      <c r="AN95" s="38">
        <f>ROUNDUP(AB95*I97,0)</f>
        <v>200</v>
      </c>
      <c r="AO95" s="38">
        <f>ROUNDUP(AN95/VLOOKUP(H95,'Machine List'!$A$2:$D$219,3,FALSE),0)</f>
        <v>200</v>
      </c>
      <c r="AP95" s="38">
        <f>ROUNDUP(AO95/AK95,0)</f>
        <v>200</v>
      </c>
      <c r="AQ95" s="38">
        <f>AM95*AP95</f>
        <v>96000</v>
      </c>
      <c r="AR95" s="75"/>
      <c r="AS95" s="38" t="s">
        <v>401</v>
      </c>
      <c r="AT95" s="38">
        <f>VLOOKUP(AS95,'Item Helper Sheet'!$A$2:$B$16,2,FALSE)</f>
        <v>4</v>
      </c>
      <c r="AU95" s="38">
        <f>AG95</f>
        <v>1</v>
      </c>
      <c r="AV95" s="38">
        <v>1.0</v>
      </c>
      <c r="AW95" s="38">
        <f>AV95*8*4^AT95</f>
        <v>2048</v>
      </c>
      <c r="AX95" s="38">
        <f>MIN(ROUNDDOWN(AW95/AL95,0),X95)</f>
        <v>1</v>
      </c>
      <c r="AY95" s="38">
        <f>AX95*AU95</f>
        <v>1</v>
      </c>
      <c r="AZ95" s="38">
        <f>AL95</f>
        <v>480</v>
      </c>
      <c r="BA95" s="38">
        <f>MIN(AT95-Z95,IF(AW95&gt;=AZ96*4,
IF(AW95&gt;=AZ96*4^2,
IF(AW95&gt;=AZ96*4^3,
IF(AW95&gt;=AZ96*4^4,
IF(AW95&gt;=AZ96*4^5,
IF(AW95&gt;=AZ96*4^6,
IF(AW95&gt;=AZ96*4^7,
IF(AW95&gt;=AZ96*4^8,
IF(AW95&gt;=AZ96*4^9,
IF(AW95&gt;=AZ96*4^10,
9),
8),
7),
6),
5),
4),
3),
2),
1),
0))</f>
        <v>1</v>
      </c>
      <c r="BB95" s="38">
        <f>AZ95*AX95*4^BA95</f>
        <v>1920</v>
      </c>
      <c r="BC95" s="38">
        <f>BB95*AU95</f>
        <v>1920</v>
      </c>
      <c r="BD95" s="45">
        <f>ROUNDUP(IF(R95="Yes",AN95/(2^((BA95)*2)),AN95/(2^(BA95))),0)</f>
        <v>50</v>
      </c>
      <c r="BE95" s="45">
        <f>ROUNDUP(BD95/VLOOKUP(H95,'Machine List'!$A$2:$D$219,3,FALSE),0)</f>
        <v>50</v>
      </c>
      <c r="BF95" s="45">
        <f>ROUNDUP(BE95/AY95,0)</f>
        <v>50</v>
      </c>
      <c r="BG95" s="46">
        <f>BF95*BC95</f>
        <v>96000</v>
      </c>
      <c r="BI95" s="28"/>
    </row>
    <row r="96">
      <c r="B96" s="40"/>
      <c r="C96" s="41" t="s">
        <v>179</v>
      </c>
      <c r="D96" s="38">
        <f>10000*I97</f>
        <v>200000</v>
      </c>
      <c r="E96" s="38" t="s">
        <v>78</v>
      </c>
      <c r="F96" s="42">
        <f>11000*I97</f>
        <v>220000</v>
      </c>
      <c r="G96" s="112"/>
      <c r="H96" s="99" t="s">
        <v>584</v>
      </c>
      <c r="I96" s="45">
        <f t="array" ref="I96">match(TRUE,ISBLANK(F96:F108),0)-1</f>
        <v>1</v>
      </c>
      <c r="J96" s="120" t="s">
        <v>420</v>
      </c>
      <c r="K96" s="120" t="s">
        <v>585</v>
      </c>
      <c r="L96" s="121"/>
      <c r="M96" s="121"/>
      <c r="N96" s="121"/>
      <c r="O96" s="121"/>
      <c r="P96" s="121"/>
      <c r="Q96" s="121"/>
      <c r="R96" s="121"/>
      <c r="S96" s="121"/>
      <c r="T96" s="121"/>
      <c r="U96" s="121"/>
      <c r="V96" s="121"/>
      <c r="W96" s="121"/>
      <c r="X96" s="121"/>
      <c r="Y96" s="121"/>
      <c r="Z96" s="121"/>
      <c r="AA96" s="121"/>
      <c r="AB96" s="121"/>
      <c r="AC96" s="121"/>
      <c r="AD96" s="121"/>
      <c r="AE96" s="118"/>
      <c r="AF96" s="121"/>
      <c r="AG96" s="121"/>
      <c r="AH96" s="121"/>
      <c r="AI96" s="121"/>
      <c r="AJ96" s="121"/>
      <c r="AK96" s="121"/>
      <c r="AL96" s="121"/>
      <c r="AM96" s="121"/>
      <c r="AN96" s="121"/>
      <c r="AO96" s="121"/>
      <c r="AP96" s="121"/>
      <c r="AQ96" s="121"/>
      <c r="AR96" s="118"/>
      <c r="AS96" s="121"/>
      <c r="AT96" s="121"/>
      <c r="AU96" s="121"/>
      <c r="AV96" s="121"/>
      <c r="AW96" s="121"/>
      <c r="AX96" s="121"/>
      <c r="AY96" s="121"/>
      <c r="AZ96" s="116">
        <f>AZ95*AX95</f>
        <v>480</v>
      </c>
      <c r="BA96" s="121"/>
      <c r="BB96" s="121"/>
      <c r="BC96" s="121"/>
      <c r="BD96" s="121"/>
      <c r="BE96" s="121"/>
      <c r="BF96" s="121"/>
      <c r="BG96" s="122"/>
      <c r="BI96" s="28"/>
      <c r="BK96" s="6" t="s">
        <v>622</v>
      </c>
      <c r="BL96" s="6" t="s">
        <v>462</v>
      </c>
      <c r="BM96" s="6"/>
      <c r="BN96" s="6"/>
      <c r="BO96" s="6"/>
    </row>
    <row r="97">
      <c r="B97" s="40"/>
      <c r="C97" s="41" t="s">
        <v>238</v>
      </c>
      <c r="D97" s="38">
        <f>1000*I97</f>
        <v>20000</v>
      </c>
      <c r="E97" s="38"/>
      <c r="F97" s="42"/>
      <c r="G97" s="112"/>
      <c r="H97" s="48" t="s">
        <v>502</v>
      </c>
      <c r="I97" s="49">
        <v>20.0</v>
      </c>
      <c r="J97" s="100" t="s">
        <v>424</v>
      </c>
      <c r="K97" s="120">
        <v>0.0</v>
      </c>
      <c r="L97" s="121"/>
      <c r="M97" s="121"/>
      <c r="N97" s="121"/>
      <c r="O97" s="121"/>
      <c r="P97" s="121"/>
      <c r="Q97" s="121"/>
      <c r="R97" s="121"/>
      <c r="S97" s="121"/>
      <c r="T97" s="121"/>
      <c r="U97" s="121"/>
      <c r="V97" s="121"/>
      <c r="W97" s="121"/>
      <c r="X97" s="121"/>
      <c r="Y97" s="121"/>
      <c r="Z97" s="121"/>
      <c r="AA97" s="121"/>
      <c r="AB97" s="121"/>
      <c r="AC97" s="121"/>
      <c r="AD97" s="121"/>
      <c r="AE97" s="118"/>
      <c r="AF97" s="121"/>
      <c r="AG97" s="121"/>
      <c r="AH97" s="121"/>
      <c r="AI97" s="121"/>
      <c r="AJ97" s="121"/>
      <c r="AK97" s="121"/>
      <c r="AL97" s="121"/>
      <c r="AM97" s="121"/>
      <c r="AN97" s="121"/>
      <c r="AO97" s="121"/>
      <c r="AP97" s="121"/>
      <c r="AQ97" s="121"/>
      <c r="AR97" s="118"/>
      <c r="AS97" s="121"/>
      <c r="AT97" s="121"/>
      <c r="AU97" s="121"/>
      <c r="AV97" s="121"/>
      <c r="AW97" s="121"/>
      <c r="AX97" s="121"/>
      <c r="AY97" s="121"/>
      <c r="AZ97" s="121"/>
      <c r="BA97" s="121"/>
      <c r="BB97" s="121"/>
      <c r="BC97" s="121"/>
      <c r="BD97" s="121"/>
      <c r="BE97" s="121"/>
      <c r="BF97" s="121"/>
      <c r="BG97" s="122"/>
      <c r="BI97" s="28"/>
      <c r="BK97" s="6" t="s">
        <v>457</v>
      </c>
      <c r="BL97" s="6" t="s">
        <v>298</v>
      </c>
      <c r="BM97" s="6" t="s">
        <v>349</v>
      </c>
      <c r="BN97" s="6" t="s">
        <v>357</v>
      </c>
      <c r="BO97" s="6" t="s">
        <v>487</v>
      </c>
    </row>
    <row r="98">
      <c r="B98" s="50"/>
      <c r="C98" s="51"/>
      <c r="D98" s="52"/>
      <c r="E98" s="52"/>
      <c r="F98" s="52"/>
      <c r="G98" s="112"/>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2"/>
      <c r="AF98" s="113"/>
      <c r="AG98" s="113"/>
      <c r="AH98" s="113"/>
      <c r="AI98" s="113"/>
      <c r="AJ98" s="113"/>
      <c r="AK98" s="113"/>
      <c r="AL98" s="113"/>
      <c r="AM98" s="113"/>
      <c r="AN98" s="113"/>
      <c r="AO98" s="113"/>
      <c r="AP98" s="113"/>
      <c r="AQ98" s="113"/>
      <c r="AR98" s="112"/>
      <c r="AS98" s="113"/>
      <c r="AT98" s="113"/>
      <c r="AU98" s="113"/>
      <c r="AV98" s="113"/>
      <c r="AW98" s="113"/>
      <c r="AX98" s="113"/>
      <c r="AY98" s="113"/>
      <c r="AZ98" s="113"/>
      <c r="BA98" s="113"/>
      <c r="BB98" s="113"/>
      <c r="BC98" s="113"/>
      <c r="BD98" s="113"/>
      <c r="BE98" s="113"/>
      <c r="BF98" s="113"/>
      <c r="BG98" s="114"/>
      <c r="BI98" s="28"/>
      <c r="BK98" s="6" t="s">
        <v>657</v>
      </c>
      <c r="BL98" s="6">
        <v>4.0</v>
      </c>
      <c r="BM98" s="6"/>
      <c r="BN98" s="6"/>
      <c r="BO98" s="6">
        <v>4.0</v>
      </c>
    </row>
    <row r="99">
      <c r="B99" s="31" t="s">
        <v>671</v>
      </c>
      <c r="C99" s="54"/>
      <c r="D99" s="45"/>
      <c r="E99" s="45"/>
      <c r="F99" s="47"/>
      <c r="G99" s="35"/>
      <c r="H99" s="55" t="s">
        <v>349</v>
      </c>
      <c r="I99" s="38">
        <f>VLOOKUP(H99,'Machine List'!$A$1:$I$300,9,FALSE)</f>
        <v>4000</v>
      </c>
      <c r="J99" s="38">
        <f>IF(VLOOKUP(H99,'Machine List'!$A$1:$I$300,5,FALSE)="Multi",IF(VLOOKUP(H99,'Machine List'!$A$1:$I$300,6,FALSE)="Yes",AG99*3*10^Z99,AG99*(2*3)*10^(Z99-1)),0)</f>
        <v>6</v>
      </c>
      <c r="K99" s="38">
        <f>J99+IF(ISNUMBER(I99),I99,
  SWITCH(
      I99,
      "1T",1*10^Z99,
      "2T",2*10^Z99,
      "3T",3*10^Z99,
      "4T",4*10^Z99,
      "4000+500(7O-5)",4000+500*(7*I100-5),
      1
  )
)</f>
        <v>4006</v>
      </c>
      <c r="L99" s="38">
        <f>IF(VLOOKUP(H99,'Machine List'!$A$1:$I$300,5,FALSE)="Multi",IF(VLOOKUP(H99,'Machine List'!$A$1:$I$300,6,FALSE)="Yes",AU99*3*10^AT99,AU99*(2*3)*10^(AT99-1)),0)</f>
        <v>6000</v>
      </c>
      <c r="M99" s="38">
        <f>L99+IF(ISNUMBER(I99),I99,
  SWITCH(
      I99,
      "1T",1*10^AT99,
      "2T",2*10^AT99,
      "3T",3*10^AT99,
      "4T",4*10^AT99,
      "4000+500(7O-5)",4000+500*(7*I100-5),
      1
  )
)</f>
        <v>10000</v>
      </c>
      <c r="N99" s="38" t="str">
        <f>VLOOKUP(H99,'Machine List'!$A$1:$I$300,8,FALSE)</f>
        <v>Tier</v>
      </c>
      <c r="O99" s="38">
        <f>IF(ISNUMBER(N99),N99,10^Z99)</f>
        <v>10</v>
      </c>
      <c r="P99" s="38">
        <f>IF(ISNUMBER(N99),N99,10^AT99)</f>
        <v>10000</v>
      </c>
      <c r="Q99" s="38">
        <f>VLOOKUP(H99,'Machine List'!$A$1:$B$138,2,FALSE)</f>
        <v>1</v>
      </c>
      <c r="R99" s="38" t="s">
        <v>594</v>
      </c>
      <c r="S99" s="45">
        <f>IF(ISNUMBER(Q99),Q99,
  SWITCH(
      Q99,
      "1",1,
      "2T",Z99*2,
      "4T",Z99*4,
      "6T",Z99*6,
      "8T",Z99*8,
      "10T",Z99*10,
      "12T",Z99*12,
      "14T",Z99*14,
      "16T",Z99*16,
      "2(T+1)",2*(Z99+1),
      "1T*C",Z99*J101,
      1
  )
)</f>
        <v>1</v>
      </c>
      <c r="T99" s="38" t="s">
        <v>277</v>
      </c>
      <c r="U99" s="38">
        <f>IF(OR(T99="No",T99=""),S99,T99)</f>
        <v>1</v>
      </c>
      <c r="V99" s="38">
        <f>IF(ISNUMBER(Q99),Q99,
  SWITCH(
      Q99,
      "1",1,
      "2T",AT99*2,
      "4T",AT99*4,
      "6T",AT99*6,
      "8T",AT99*8,
      "10T",AT99*10,
      "12T",AT99*12,
      "14T",AT99*14,
      "16T",AT99*16,
      "2(T+1)",2*(AT99+1),
      "1T*C",AT99*J101,
      1
  )
)</f>
        <v>1</v>
      </c>
      <c r="W99" s="38" t="str">
        <f>T99</f>
        <v>No</v>
      </c>
      <c r="X99" s="38">
        <f>IF(OR(W99="No",W99=""),V99,W99)</f>
        <v>1</v>
      </c>
      <c r="Y99" s="38" t="s">
        <v>390</v>
      </c>
      <c r="Z99" s="38">
        <f>VLOOKUP(Y99,'Item Helper Sheet'!$A$2:$B$16,2,FALSE)</f>
        <v>1</v>
      </c>
      <c r="AA99" s="38">
        <v>1920.0</v>
      </c>
      <c r="AB99" s="38">
        <f>2.5*20</f>
        <v>50</v>
      </c>
      <c r="AC99" s="38">
        <f>AB99*I101</f>
        <v>550</v>
      </c>
      <c r="AD99" s="38">
        <f>AA99*AC99</f>
        <v>1056000</v>
      </c>
      <c r="AE99" s="75"/>
      <c r="AF99" s="38" t="str">
        <f>Y99</f>
        <v>01 - LV</v>
      </c>
      <c r="AG99" s="38">
        <v>1.0</v>
      </c>
      <c r="AH99" s="38">
        <v>1.0</v>
      </c>
      <c r="AI99" s="38">
        <f>AH99*8*4^Z99</f>
        <v>32</v>
      </c>
      <c r="AJ99" s="38">
        <f>MIN(ROUNDDOWN(AI99/AL99,0),U99)</f>
        <v>0</v>
      </c>
      <c r="AK99" s="38">
        <f>IF(OR(T99="No",T99=""),AG99*S99,AG99*T99)</f>
        <v>1</v>
      </c>
      <c r="AL99" s="38">
        <f>ROUNDUP(AA99*VLOOKUP(H99,'Machine List'!$A$2:$D$219,4,FALSE),0)</f>
        <v>1920</v>
      </c>
      <c r="AM99" s="38">
        <f>AL99*AK99</f>
        <v>1920</v>
      </c>
      <c r="AN99" s="38">
        <f>ROUNDUP(AB99*I101,0)</f>
        <v>550</v>
      </c>
      <c r="AO99" s="38">
        <f>ROUNDUP(AN99/VLOOKUP(H99,'Machine List'!$A$2:$D$219,3,FALSE),0)</f>
        <v>550</v>
      </c>
      <c r="AP99" s="38">
        <f>ROUNDUP(AO99/AK99,0)</f>
        <v>550</v>
      </c>
      <c r="AQ99" s="38">
        <f>AM99*AP99</f>
        <v>1056000</v>
      </c>
      <c r="AR99" s="75"/>
      <c r="AS99" s="38" t="s">
        <v>401</v>
      </c>
      <c r="AT99" s="38">
        <f>VLOOKUP(AS99,'Item Helper Sheet'!$A$2:$B$16,2,FALSE)</f>
        <v>4</v>
      </c>
      <c r="AU99" s="38">
        <f>AG99</f>
        <v>1</v>
      </c>
      <c r="AV99" s="38">
        <v>1.0</v>
      </c>
      <c r="AW99" s="38">
        <f>AV99*8*4^AT99</f>
        <v>2048</v>
      </c>
      <c r="AX99" s="38">
        <f>MIN(ROUNDDOWN(AW99/AL99,0),X99)</f>
        <v>1</v>
      </c>
      <c r="AY99" s="38">
        <f>AX99*AU99</f>
        <v>1</v>
      </c>
      <c r="AZ99" s="38">
        <f>AL99</f>
        <v>1920</v>
      </c>
      <c r="BA99" s="38">
        <f>MIN(AT99-Z99,IF(AW99&gt;=AZ100*4,
IF(AW99&gt;=AZ100*4^2,
IF(AW99&gt;=AZ100*4^3,
IF(AW99&gt;=AZ100*4^4,
IF(AW99&gt;=AZ100*4^5,
IF(AW99&gt;=AZ100*4^6,
IF(AW99&gt;=AZ100*4^7,
IF(AW99&gt;=AZ100*4^8,
IF(AW99&gt;=AZ100*4^9,
IF(AW99&gt;=AZ100*4^10,
9),
8),
7),
6),
5),
4),
3),
2),
1),
0))</f>
        <v>0</v>
      </c>
      <c r="BB99" s="38">
        <f>AZ99*AX99*4^BA99</f>
        <v>1920</v>
      </c>
      <c r="BC99" s="38">
        <f>BB99*AU99</f>
        <v>1920</v>
      </c>
      <c r="BD99" s="45">
        <f>ROUNDUP(IF(R99="Yes",AN99/(2^((BA99)*2)),AN99/(2^(BA99))),0)</f>
        <v>550</v>
      </c>
      <c r="BE99" s="45">
        <f>ROUNDUP(BD99/VLOOKUP(H99,'Machine List'!$A$2:$D$219,3,FALSE),0)</f>
        <v>550</v>
      </c>
      <c r="BF99" s="45">
        <f>ROUNDUP(BE99/AY99,0)</f>
        <v>550</v>
      </c>
      <c r="BG99" s="46">
        <f>BF99*BC99</f>
        <v>1056000</v>
      </c>
      <c r="BI99" s="28"/>
      <c r="BK99" s="6" t="s">
        <v>593</v>
      </c>
      <c r="BL99" s="6"/>
      <c r="BM99" s="6">
        <v>1.0</v>
      </c>
      <c r="BN99" s="6"/>
      <c r="BO99" s="6">
        <v>1.0</v>
      </c>
    </row>
    <row r="100">
      <c r="B100" s="40"/>
      <c r="C100" s="41" t="s">
        <v>78</v>
      </c>
      <c r="D100" s="38">
        <f>20000*I101</f>
        <v>220000</v>
      </c>
      <c r="E100" s="38" t="s">
        <v>83</v>
      </c>
      <c r="F100" s="42">
        <f>32000*I101</f>
        <v>352000</v>
      </c>
      <c r="G100" s="43"/>
      <c r="H100" s="99" t="s">
        <v>584</v>
      </c>
      <c r="I100" s="45">
        <f t="array" ref="I100">match(TRUE,ISBLANK(F100:F112),0)-1</f>
        <v>1</v>
      </c>
      <c r="J100" s="100" t="s">
        <v>420</v>
      </c>
      <c r="K100" s="100" t="s">
        <v>585</v>
      </c>
      <c r="L100" s="38"/>
      <c r="M100" s="38"/>
      <c r="N100" s="38"/>
      <c r="O100" s="38"/>
      <c r="P100" s="38"/>
      <c r="Q100" s="38"/>
      <c r="R100" s="101"/>
      <c r="S100" s="101"/>
      <c r="T100" s="101"/>
      <c r="U100" s="45"/>
      <c r="V100" s="45"/>
      <c r="W100" s="45"/>
      <c r="X100" s="45"/>
      <c r="Y100" s="45"/>
      <c r="Z100" s="45"/>
      <c r="AA100" s="45"/>
      <c r="AB100" s="45"/>
      <c r="AC100" s="45"/>
      <c r="AD100" s="45"/>
      <c r="AE100" s="79"/>
      <c r="AF100" s="45"/>
      <c r="AG100" s="45"/>
      <c r="AH100" s="45"/>
      <c r="AI100" s="45"/>
      <c r="AJ100" s="45"/>
      <c r="AK100" s="45"/>
      <c r="AL100" s="45"/>
      <c r="AM100" s="45"/>
      <c r="AN100" s="45"/>
      <c r="AO100" s="45"/>
      <c r="AP100" s="45"/>
      <c r="AQ100" s="45"/>
      <c r="AR100" s="79"/>
      <c r="AS100" s="45"/>
      <c r="AT100" s="45"/>
      <c r="AU100" s="45"/>
      <c r="AV100" s="45"/>
      <c r="AW100" s="45"/>
      <c r="AX100" s="45"/>
      <c r="AY100" s="45"/>
      <c r="AZ100" s="45">
        <f>AZ99*AX99</f>
        <v>1920</v>
      </c>
      <c r="BA100" s="45"/>
      <c r="BB100" s="45"/>
      <c r="BC100" s="45"/>
      <c r="BD100" s="45"/>
      <c r="BE100" s="45"/>
      <c r="BF100" s="45"/>
      <c r="BG100" s="46"/>
      <c r="BI100" s="28"/>
      <c r="BK100" s="6" t="s">
        <v>599</v>
      </c>
      <c r="BL100" s="6"/>
      <c r="BM100" s="6">
        <v>1.0</v>
      </c>
      <c r="BN100" s="6"/>
      <c r="BO100" s="6">
        <v>1.0</v>
      </c>
    </row>
    <row r="101">
      <c r="B101" s="40"/>
      <c r="C101" s="41" t="s">
        <v>137</v>
      </c>
      <c r="D101" s="38">
        <f>2000*I101</f>
        <v>22000</v>
      </c>
      <c r="E101" s="38"/>
      <c r="F101" s="42"/>
      <c r="G101" s="43"/>
      <c r="H101" s="56" t="s">
        <v>502</v>
      </c>
      <c r="I101" s="49">
        <v>11.0</v>
      </c>
      <c r="J101" s="100" t="s">
        <v>424</v>
      </c>
      <c r="K101" s="100">
        <v>0.0</v>
      </c>
      <c r="L101" s="45"/>
      <c r="M101" s="45"/>
      <c r="N101" s="45"/>
      <c r="O101" s="45"/>
      <c r="P101" s="45"/>
      <c r="Q101" s="45"/>
      <c r="R101" s="45"/>
      <c r="S101" s="101"/>
      <c r="T101" s="101"/>
      <c r="U101" s="45"/>
      <c r="V101" s="45"/>
      <c r="W101" s="45"/>
      <c r="X101" s="45"/>
      <c r="Y101" s="45"/>
      <c r="Z101" s="45"/>
      <c r="AA101" s="45"/>
      <c r="AB101" s="45"/>
      <c r="AC101" s="45"/>
      <c r="AD101" s="45"/>
      <c r="AE101" s="79"/>
      <c r="AF101" s="45"/>
      <c r="AG101" s="45"/>
      <c r="AH101" s="45"/>
      <c r="AI101" s="45"/>
      <c r="AJ101" s="45"/>
      <c r="AK101" s="45"/>
      <c r="AL101" s="45"/>
      <c r="AM101" s="45"/>
      <c r="AN101" s="45"/>
      <c r="AO101" s="45"/>
      <c r="AP101" s="45"/>
      <c r="AQ101" s="45"/>
      <c r="AR101" s="79"/>
      <c r="AS101" s="45"/>
      <c r="AT101" s="45"/>
      <c r="AU101" s="45"/>
      <c r="AV101" s="45"/>
      <c r="AW101" s="45"/>
      <c r="AX101" s="45"/>
      <c r="AY101" s="45"/>
      <c r="AZ101" s="45"/>
      <c r="BA101" s="45"/>
      <c r="BB101" s="45"/>
      <c r="BC101" s="45"/>
      <c r="BD101" s="45"/>
      <c r="BE101" s="45"/>
      <c r="BF101" s="45"/>
      <c r="BG101" s="46"/>
      <c r="BI101" s="28"/>
      <c r="BK101" s="6" t="s">
        <v>601</v>
      </c>
      <c r="BL101" s="6"/>
      <c r="BM101" s="6">
        <v>1.0</v>
      </c>
      <c r="BN101" s="6"/>
      <c r="BO101" s="6">
        <v>1.0</v>
      </c>
    </row>
    <row r="102">
      <c r="B102" s="40"/>
      <c r="C102" s="41" t="s">
        <v>134</v>
      </c>
      <c r="D102" s="38">
        <f>6000*I101</f>
        <v>66000</v>
      </c>
      <c r="E102" s="38"/>
      <c r="F102" s="42"/>
      <c r="G102" s="43"/>
      <c r="H102" s="44"/>
      <c r="I102" s="45"/>
      <c r="J102" s="45"/>
      <c r="K102" s="45"/>
      <c r="L102" s="45"/>
      <c r="M102" s="45"/>
      <c r="N102" s="45"/>
      <c r="O102" s="45"/>
      <c r="P102" s="45"/>
      <c r="Q102" s="45"/>
      <c r="R102" s="45"/>
      <c r="S102" s="101"/>
      <c r="T102" s="101"/>
      <c r="U102" s="45"/>
      <c r="V102" s="45"/>
      <c r="W102" s="45"/>
      <c r="X102" s="45"/>
      <c r="Y102" s="45"/>
      <c r="Z102" s="45"/>
      <c r="AA102" s="45"/>
      <c r="AB102" s="45"/>
      <c r="AC102" s="45"/>
      <c r="AD102" s="45"/>
      <c r="AE102" s="79"/>
      <c r="AF102" s="45"/>
      <c r="AG102" s="45"/>
      <c r="AH102" s="45"/>
      <c r="AI102" s="45"/>
      <c r="AJ102" s="45"/>
      <c r="AK102" s="45"/>
      <c r="AL102" s="45"/>
      <c r="AM102" s="45"/>
      <c r="AN102" s="45"/>
      <c r="AO102" s="45"/>
      <c r="AP102" s="45"/>
      <c r="AQ102" s="45"/>
      <c r="AR102" s="79"/>
      <c r="AS102" s="45"/>
      <c r="AT102" s="45"/>
      <c r="AU102" s="45"/>
      <c r="AV102" s="45"/>
      <c r="AW102" s="45"/>
      <c r="AX102" s="45"/>
      <c r="AY102" s="45"/>
      <c r="AZ102" s="45"/>
      <c r="BA102" s="45"/>
      <c r="BB102" s="45"/>
      <c r="BC102" s="45"/>
      <c r="BD102" s="45"/>
      <c r="BE102" s="45"/>
      <c r="BF102" s="45"/>
      <c r="BG102" s="46"/>
      <c r="BI102" s="28"/>
      <c r="BK102" s="6" t="s">
        <v>611</v>
      </c>
      <c r="BL102" s="6"/>
      <c r="BM102" s="6">
        <v>1.0</v>
      </c>
      <c r="BN102" s="6"/>
      <c r="BO102" s="6">
        <v>1.0</v>
      </c>
    </row>
    <row r="103">
      <c r="B103" s="40"/>
      <c r="C103" s="41" t="s">
        <v>26</v>
      </c>
      <c r="D103" s="38">
        <f>3000*I101</f>
        <v>33000</v>
      </c>
      <c r="E103" s="38"/>
      <c r="F103" s="42"/>
      <c r="G103" s="43"/>
      <c r="H103" s="44"/>
      <c r="I103" s="45"/>
      <c r="J103" s="45"/>
      <c r="K103" s="45"/>
      <c r="L103" s="45"/>
      <c r="M103" s="45"/>
      <c r="N103" s="45"/>
      <c r="O103" s="45"/>
      <c r="P103" s="45"/>
      <c r="Q103" s="45"/>
      <c r="R103" s="45"/>
      <c r="S103" s="101"/>
      <c r="T103" s="101"/>
      <c r="U103" s="45"/>
      <c r="V103" s="45"/>
      <c r="W103" s="45"/>
      <c r="X103" s="45"/>
      <c r="Y103" s="45"/>
      <c r="Z103" s="45"/>
      <c r="AA103" s="45"/>
      <c r="AB103" s="45"/>
      <c r="AC103" s="45"/>
      <c r="AD103" s="45"/>
      <c r="AE103" s="79"/>
      <c r="AF103" s="45"/>
      <c r="AG103" s="45"/>
      <c r="AH103" s="45"/>
      <c r="AI103" s="45"/>
      <c r="AJ103" s="45"/>
      <c r="AK103" s="45"/>
      <c r="AL103" s="45"/>
      <c r="AM103" s="45"/>
      <c r="AN103" s="45"/>
      <c r="AO103" s="45"/>
      <c r="AP103" s="45"/>
      <c r="AQ103" s="45"/>
      <c r="AR103" s="79"/>
      <c r="AS103" s="45"/>
      <c r="AT103" s="45"/>
      <c r="AU103" s="45"/>
      <c r="AV103" s="45"/>
      <c r="AW103" s="45"/>
      <c r="AX103" s="45"/>
      <c r="AY103" s="45"/>
      <c r="AZ103" s="45"/>
      <c r="BA103" s="45"/>
      <c r="BB103" s="45"/>
      <c r="BC103" s="45"/>
      <c r="BD103" s="45"/>
      <c r="BE103" s="45"/>
      <c r="BF103" s="45"/>
      <c r="BG103" s="46"/>
      <c r="BI103" s="28"/>
      <c r="BK103" s="6" t="s">
        <v>658</v>
      </c>
      <c r="BL103" s="6"/>
      <c r="BM103" s="6"/>
      <c r="BN103" s="6">
        <v>2.0</v>
      </c>
      <c r="BO103" s="6">
        <v>2.0</v>
      </c>
    </row>
    <row r="104">
      <c r="B104" s="40"/>
      <c r="C104" s="41" t="s">
        <v>238</v>
      </c>
      <c r="D104" s="133">
        <f>1000*I101</f>
        <v>11000</v>
      </c>
      <c r="E104" s="38"/>
      <c r="F104" s="42"/>
      <c r="G104" s="43"/>
      <c r="H104" s="44"/>
      <c r="I104" s="45"/>
      <c r="J104" s="45"/>
      <c r="K104" s="45"/>
      <c r="L104" s="45"/>
      <c r="M104" s="45"/>
      <c r="N104" s="45"/>
      <c r="O104" s="45"/>
      <c r="P104" s="45"/>
      <c r="Q104" s="45"/>
      <c r="R104" s="45"/>
      <c r="S104" s="101"/>
      <c r="T104" s="101"/>
      <c r="U104" s="45"/>
      <c r="V104" s="45"/>
      <c r="W104" s="45"/>
      <c r="X104" s="45"/>
      <c r="Y104" s="45"/>
      <c r="Z104" s="45"/>
      <c r="AA104" s="45"/>
      <c r="AB104" s="45"/>
      <c r="AC104" s="45"/>
      <c r="AD104" s="45"/>
      <c r="AE104" s="79"/>
      <c r="AF104" s="45"/>
      <c r="AG104" s="45"/>
      <c r="AH104" s="45"/>
      <c r="AI104" s="45"/>
      <c r="AJ104" s="45"/>
      <c r="AK104" s="45"/>
      <c r="AL104" s="45"/>
      <c r="AM104" s="45"/>
      <c r="AN104" s="45"/>
      <c r="AO104" s="45"/>
      <c r="AP104" s="45"/>
      <c r="AQ104" s="45"/>
      <c r="AR104" s="79"/>
      <c r="AS104" s="45"/>
      <c r="AT104" s="45"/>
      <c r="AU104" s="45"/>
      <c r="AV104" s="45"/>
      <c r="AW104" s="45"/>
      <c r="AX104" s="45"/>
      <c r="AY104" s="45"/>
      <c r="AZ104" s="45"/>
      <c r="BA104" s="45"/>
      <c r="BB104" s="45"/>
      <c r="BC104" s="45"/>
      <c r="BD104" s="45"/>
      <c r="BE104" s="45"/>
      <c r="BF104" s="45"/>
      <c r="BG104" s="46"/>
      <c r="BI104" s="28"/>
      <c r="BK104" s="6" t="s">
        <v>659</v>
      </c>
      <c r="BL104" s="6">
        <v>4.0</v>
      </c>
      <c r="BM104" s="6"/>
      <c r="BN104" s="6"/>
      <c r="BO104" s="6">
        <v>4.0</v>
      </c>
    </row>
    <row r="105">
      <c r="B105" s="50"/>
      <c r="C105" s="51"/>
      <c r="D105" s="134"/>
      <c r="E105" s="52"/>
      <c r="F105" s="52"/>
      <c r="G105" s="43"/>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43"/>
      <c r="AF105" s="52"/>
      <c r="AG105" s="52"/>
      <c r="AH105" s="52"/>
      <c r="AI105" s="52"/>
      <c r="AJ105" s="52"/>
      <c r="AK105" s="52"/>
      <c r="AL105" s="52"/>
      <c r="AM105" s="52"/>
      <c r="AN105" s="52"/>
      <c r="AO105" s="52"/>
      <c r="AP105" s="52"/>
      <c r="AQ105" s="52"/>
      <c r="AR105" s="43"/>
      <c r="AS105" s="52"/>
      <c r="AT105" s="52"/>
      <c r="AU105" s="52"/>
      <c r="AV105" s="52"/>
      <c r="AW105" s="52"/>
      <c r="AX105" s="52"/>
      <c r="AY105" s="52"/>
      <c r="AZ105" s="52"/>
      <c r="BA105" s="52"/>
      <c r="BB105" s="52"/>
      <c r="BC105" s="52"/>
      <c r="BD105" s="52"/>
      <c r="BE105" s="52"/>
      <c r="BF105" s="52"/>
      <c r="BG105" s="53"/>
      <c r="BI105" s="28"/>
      <c r="BK105" s="6" t="s">
        <v>660</v>
      </c>
      <c r="BL105" s="6"/>
      <c r="BM105" s="6"/>
      <c r="BN105" s="6">
        <v>2.0</v>
      </c>
      <c r="BO105" s="6">
        <v>2.0</v>
      </c>
    </row>
    <row r="106">
      <c r="BI106" s="28"/>
      <c r="BK106" s="6" t="s">
        <v>661</v>
      </c>
      <c r="BL106" s="6">
        <v>4.0</v>
      </c>
      <c r="BM106" s="6"/>
      <c r="BN106" s="6"/>
      <c r="BO106" s="6">
        <v>4.0</v>
      </c>
    </row>
    <row r="107">
      <c r="C107" s="103" t="s">
        <v>248</v>
      </c>
      <c r="E107" s="4" t="s">
        <v>40</v>
      </c>
      <c r="BI107" s="28"/>
      <c r="BK107" s="6" t="s">
        <v>662</v>
      </c>
      <c r="BL107" s="6">
        <v>1.0</v>
      </c>
      <c r="BM107" s="6"/>
      <c r="BN107" s="6"/>
      <c r="BO107" s="6">
        <v>1.0</v>
      </c>
    </row>
    <row r="108">
      <c r="C108" s="4" t="s">
        <v>83</v>
      </c>
      <c r="E108" s="4" t="s">
        <v>45</v>
      </c>
      <c r="G108" s="1" t="s">
        <v>672</v>
      </c>
      <c r="BK108" s="6" t="s">
        <v>663</v>
      </c>
      <c r="BL108" s="6"/>
      <c r="BM108" s="6">
        <v>1.0</v>
      </c>
      <c r="BN108" s="6"/>
      <c r="BO108" s="6">
        <v>1.0</v>
      </c>
    </row>
    <row r="109">
      <c r="C109" s="4" t="s">
        <v>43</v>
      </c>
      <c r="E109" s="4" t="s">
        <v>142</v>
      </c>
      <c r="G109" s="1" t="s">
        <v>673</v>
      </c>
      <c r="BK109" s="6" t="s">
        <v>664</v>
      </c>
      <c r="BL109" s="6"/>
      <c r="BM109" s="6">
        <v>1.0</v>
      </c>
      <c r="BN109" s="6"/>
      <c r="BO109" s="6">
        <v>1.0</v>
      </c>
    </row>
    <row r="110">
      <c r="C110" s="103" t="s">
        <v>118</v>
      </c>
      <c r="E110" s="4" t="s">
        <v>180</v>
      </c>
      <c r="G110" s="1" t="s">
        <v>674</v>
      </c>
      <c r="BK110" s="6" t="s">
        <v>665</v>
      </c>
      <c r="BL110" s="6">
        <v>1.0</v>
      </c>
      <c r="BM110" s="6"/>
      <c r="BN110" s="6"/>
      <c r="BO110" s="6">
        <v>1.0</v>
      </c>
    </row>
    <row r="111">
      <c r="C111" s="103" t="s">
        <v>44</v>
      </c>
      <c r="E111" s="4" t="s">
        <v>226</v>
      </c>
      <c r="G111" s="1" t="s">
        <v>675</v>
      </c>
      <c r="BK111" s="6" t="s">
        <v>666</v>
      </c>
      <c r="BL111" s="6"/>
      <c r="BM111" s="6">
        <v>1.0</v>
      </c>
      <c r="BN111" s="6"/>
      <c r="BO111" s="6">
        <v>1.0</v>
      </c>
    </row>
    <row r="112">
      <c r="C112" s="103" t="s">
        <v>61</v>
      </c>
      <c r="E112" s="4" t="s">
        <v>87</v>
      </c>
      <c r="G112" s="1" t="s">
        <v>676</v>
      </c>
      <c r="BK112" s="6" t="s">
        <v>667</v>
      </c>
      <c r="BL112" s="6"/>
      <c r="BM112" s="6">
        <v>1.0</v>
      </c>
      <c r="BN112" s="6"/>
      <c r="BO112" s="6">
        <v>1.0</v>
      </c>
    </row>
    <row r="113">
      <c r="C113" s="103" t="s">
        <v>162</v>
      </c>
      <c r="G113" s="1" t="s">
        <v>677</v>
      </c>
      <c r="BK113" s="6" t="s">
        <v>668</v>
      </c>
      <c r="BL113" s="6"/>
      <c r="BM113" s="6">
        <v>1.0</v>
      </c>
      <c r="BN113" s="6"/>
      <c r="BO113" s="6">
        <v>1.0</v>
      </c>
    </row>
    <row r="114">
      <c r="C114" s="103" t="s">
        <v>161</v>
      </c>
      <c r="G114" s="1" t="s">
        <v>678</v>
      </c>
      <c r="BK114" s="6" t="s">
        <v>669</v>
      </c>
      <c r="BL114" s="6"/>
      <c r="BM114" s="6">
        <v>1.0</v>
      </c>
      <c r="BN114" s="6"/>
      <c r="BO114" s="6">
        <v>1.0</v>
      </c>
    </row>
    <row r="115">
      <c r="C115" s="103" t="s">
        <v>37</v>
      </c>
      <c r="G115" s="1" t="s">
        <v>679</v>
      </c>
      <c r="BK115" s="6" t="s">
        <v>670</v>
      </c>
      <c r="BL115" s="6"/>
      <c r="BM115" s="6">
        <v>1.0</v>
      </c>
      <c r="BN115" s="6"/>
      <c r="BO115" s="6">
        <v>1.0</v>
      </c>
    </row>
    <row r="116">
      <c r="C116" s="103" t="s">
        <v>30</v>
      </c>
      <c r="G116" s="1" t="s">
        <v>680</v>
      </c>
      <c r="BK116" s="6" t="s">
        <v>671</v>
      </c>
      <c r="BL116" s="6"/>
      <c r="BM116" s="6">
        <v>1.0</v>
      </c>
      <c r="BN116" s="6"/>
      <c r="BO116" s="6">
        <v>1.0</v>
      </c>
    </row>
    <row r="117">
      <c r="C117" s="4" t="s">
        <v>147</v>
      </c>
      <c r="G117" s="1" t="s">
        <v>681</v>
      </c>
      <c r="BK117" s="6" t="s">
        <v>487</v>
      </c>
      <c r="BL117" s="6">
        <v>14.0</v>
      </c>
      <c r="BM117" s="6">
        <v>12.0</v>
      </c>
      <c r="BN117" s="6">
        <v>4.0</v>
      </c>
      <c r="BO117" s="6">
        <v>30.0</v>
      </c>
    </row>
    <row r="118">
      <c r="C118" s="4" t="s">
        <v>38</v>
      </c>
      <c r="G118" s="1" t="s">
        <v>682</v>
      </c>
    </row>
    <row r="119">
      <c r="C119" s="4" t="s">
        <v>125</v>
      </c>
    </row>
    <row r="120">
      <c r="C120" s="4" t="s">
        <v>88</v>
      </c>
    </row>
    <row r="126">
      <c r="G126" s="1" t="s">
        <v>683</v>
      </c>
    </row>
    <row r="127">
      <c r="G127" s="1" t="s">
        <v>684</v>
      </c>
    </row>
    <row r="128">
      <c r="G128" s="1" t="s">
        <v>685</v>
      </c>
    </row>
    <row r="148">
      <c r="G148" s="1" t="s">
        <v>686</v>
      </c>
    </row>
    <row r="149">
      <c r="G149" s="1" t="s">
        <v>687</v>
      </c>
    </row>
    <row r="258">
      <c r="A258" s="9" t="s">
        <v>688</v>
      </c>
      <c r="B258" s="10"/>
      <c r="C258" s="10"/>
      <c r="D258" s="10"/>
      <c r="E258" s="10"/>
      <c r="F258" s="10"/>
      <c r="G258" s="10"/>
      <c r="H258" s="10"/>
      <c r="I258" s="10"/>
      <c r="J258" s="10"/>
      <c r="K258" s="10"/>
      <c r="L258" s="10"/>
      <c r="M258" s="10"/>
      <c r="N258" s="10"/>
      <c r="O258" s="10"/>
      <c r="P258" s="10"/>
      <c r="Q258" s="10"/>
      <c r="R258" s="10"/>
      <c r="S258" s="10"/>
      <c r="T258" s="10"/>
      <c r="U258" s="13"/>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8"/>
    </row>
    <row r="259">
      <c r="A259" s="15" t="s">
        <v>656</v>
      </c>
      <c r="B259" s="16"/>
      <c r="C259" s="16"/>
      <c r="D259" s="16"/>
      <c r="E259" s="16"/>
      <c r="F259" s="16"/>
      <c r="G259" s="16"/>
      <c r="H259" s="16"/>
      <c r="I259" s="16"/>
      <c r="J259" s="16"/>
      <c r="K259" s="16"/>
      <c r="L259" s="16"/>
      <c r="M259" s="16"/>
      <c r="N259" s="16"/>
      <c r="O259" s="16"/>
      <c r="P259" s="16"/>
      <c r="Q259" s="16"/>
      <c r="R259" s="16"/>
      <c r="S259" s="16"/>
      <c r="T259" s="16"/>
      <c r="U259" s="18"/>
      <c r="V259" s="127"/>
      <c r="W259" s="127"/>
      <c r="X259" s="127"/>
      <c r="Y259" s="127"/>
      <c r="Z259" s="127"/>
      <c r="AA259" s="127"/>
      <c r="AB259" s="127"/>
      <c r="AC259" s="127"/>
      <c r="AD259" s="127"/>
      <c r="AE259" s="127"/>
      <c r="AF259" s="127"/>
      <c r="AG259" s="127"/>
      <c r="AH259" s="127"/>
      <c r="AI259" s="127"/>
      <c r="AJ259" s="127"/>
      <c r="AK259" s="127"/>
      <c r="AL259" s="127"/>
      <c r="AM259" s="127"/>
      <c r="AN259" s="127"/>
      <c r="AO259" s="127"/>
      <c r="AP259" s="127"/>
      <c r="AQ259" s="127"/>
      <c r="AR259" s="127"/>
      <c r="AS259" s="127"/>
      <c r="AT259" s="127"/>
      <c r="AU259" s="127"/>
      <c r="AV259" s="127"/>
      <c r="AW259" s="127"/>
      <c r="AX259" s="127"/>
      <c r="AY259" s="127"/>
      <c r="AZ259" s="127"/>
      <c r="BA259" s="127"/>
      <c r="BB259" s="127"/>
      <c r="BC259" s="127"/>
      <c r="BD259" s="127"/>
      <c r="BE259" s="127"/>
      <c r="BF259" s="127"/>
      <c r="BG259" s="127"/>
      <c r="BH259" s="129"/>
    </row>
    <row r="260">
      <c r="A260" s="19"/>
      <c r="B260" s="20"/>
      <c r="C260" s="20"/>
      <c r="D260" s="20"/>
      <c r="E260" s="20"/>
      <c r="F260" s="20"/>
      <c r="G260" s="20"/>
      <c r="H260" s="20"/>
      <c r="I260" s="20"/>
      <c r="J260" s="20"/>
      <c r="K260" s="20"/>
      <c r="L260" s="20"/>
      <c r="M260" s="20"/>
      <c r="N260" s="20"/>
      <c r="O260" s="20"/>
      <c r="P260" s="20"/>
      <c r="Q260" s="20"/>
      <c r="R260" s="20"/>
      <c r="S260" s="20"/>
      <c r="T260" s="20"/>
      <c r="U260" s="20"/>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70"/>
    </row>
    <row r="261">
      <c r="A261" s="23"/>
      <c r="B261" s="89" t="s">
        <v>457</v>
      </c>
      <c r="C261" s="90" t="s">
        <v>458</v>
      </c>
      <c r="D261" s="91" t="s">
        <v>459</v>
      </c>
      <c r="E261" s="92" t="s">
        <v>460</v>
      </c>
      <c r="F261" s="93" t="s">
        <v>461</v>
      </c>
      <c r="G261" s="90"/>
      <c r="H261" s="94" t="s">
        <v>462</v>
      </c>
      <c r="I261" s="90" t="s">
        <v>540</v>
      </c>
      <c r="J261" s="90" t="s">
        <v>541</v>
      </c>
      <c r="K261" s="90" t="s">
        <v>274</v>
      </c>
      <c r="L261" s="90" t="s">
        <v>542</v>
      </c>
      <c r="M261" s="90" t="s">
        <v>543</v>
      </c>
      <c r="N261" s="90" t="s">
        <v>544</v>
      </c>
      <c r="O261" s="90" t="s">
        <v>545</v>
      </c>
      <c r="P261" s="90" t="s">
        <v>546</v>
      </c>
      <c r="Q261" s="90" t="s">
        <v>547</v>
      </c>
      <c r="R261" s="91" t="s">
        <v>493</v>
      </c>
      <c r="S261" s="92" t="s">
        <v>494</v>
      </c>
      <c r="T261" s="90" t="s">
        <v>548</v>
      </c>
      <c r="U261" s="90" t="s">
        <v>549</v>
      </c>
      <c r="V261" s="90" t="s">
        <v>550</v>
      </c>
      <c r="W261" s="90" t="s">
        <v>551</v>
      </c>
      <c r="X261" s="90" t="s">
        <v>552</v>
      </c>
      <c r="Y261" s="92" t="s">
        <v>495</v>
      </c>
      <c r="Z261" s="90" t="s">
        <v>421</v>
      </c>
      <c r="AA261" s="92" t="s">
        <v>553</v>
      </c>
      <c r="AB261" s="90" t="s">
        <v>554</v>
      </c>
      <c r="AC261" s="92" t="s">
        <v>555</v>
      </c>
      <c r="AD261" s="93" t="s">
        <v>467</v>
      </c>
      <c r="AE261" s="90"/>
      <c r="AF261" s="90" t="s">
        <v>556</v>
      </c>
      <c r="AG261" s="94" t="s">
        <v>475</v>
      </c>
      <c r="AH261" s="90" t="s">
        <v>557</v>
      </c>
      <c r="AI261" s="90" t="s">
        <v>558</v>
      </c>
      <c r="AJ261" s="90" t="s">
        <v>559</v>
      </c>
      <c r="AK261" s="92" t="s">
        <v>560</v>
      </c>
      <c r="AL261" s="90" t="s">
        <v>561</v>
      </c>
      <c r="AM261" s="90" t="s">
        <v>562</v>
      </c>
      <c r="AN261" s="92" t="s">
        <v>563</v>
      </c>
      <c r="AO261" s="90" t="s">
        <v>564</v>
      </c>
      <c r="AP261" s="90" t="s">
        <v>565</v>
      </c>
      <c r="AQ261" s="95" t="s">
        <v>566</v>
      </c>
      <c r="AR261" s="90"/>
      <c r="AS261" s="90" t="s">
        <v>468</v>
      </c>
      <c r="AT261" s="92" t="s">
        <v>496</v>
      </c>
      <c r="AU261" s="94" t="s">
        <v>567</v>
      </c>
      <c r="AV261" s="90" t="s">
        <v>568</v>
      </c>
      <c r="AW261" s="90" t="s">
        <v>569</v>
      </c>
      <c r="AX261" s="90" t="s">
        <v>570</v>
      </c>
      <c r="AY261" s="92" t="s">
        <v>571</v>
      </c>
      <c r="AZ261" s="90" t="s">
        <v>572</v>
      </c>
      <c r="BA261" s="90" t="s">
        <v>573</v>
      </c>
      <c r="BB261" s="90" t="s">
        <v>574</v>
      </c>
      <c r="BC261" s="90" t="s">
        <v>575</v>
      </c>
      <c r="BD261" s="92" t="s">
        <v>576</v>
      </c>
      <c r="BE261" s="92" t="s">
        <v>577</v>
      </c>
      <c r="BF261" s="92" t="s">
        <v>578</v>
      </c>
      <c r="BG261" s="96" t="s">
        <v>471</v>
      </c>
    </row>
    <row r="262">
      <c r="A262" s="23"/>
      <c r="B262" s="31" t="s">
        <v>657</v>
      </c>
      <c r="C262" s="32"/>
      <c r="D262" s="33"/>
      <c r="E262" s="33"/>
      <c r="F262" s="34"/>
      <c r="G262" s="35"/>
      <c r="H262" s="55" t="s">
        <v>298</v>
      </c>
      <c r="I262" s="38" t="str">
        <f>VLOOKUP(H262,'Machine List'!$A$1:$I$300,9,FALSE)</f>
        <v>4000+500(7O-5)</v>
      </c>
      <c r="J262" s="38">
        <f>IF(VLOOKUP(H262,'Machine List'!$A$1:$I$300,5,FALSE)="Multi",IF(VLOOKUP(H262,'Machine List'!$A$1:$I$300,6,FALSE)="Yes",AG262*3*10^Z262,AG262*(2*3)*10^(Z262-1)),0)</f>
        <v>600</v>
      </c>
      <c r="K262" s="38">
        <f>J262+IF(ISNUMBER(I262),I262,
  SWITCH(
      I262,
      "1T",1*10^Z262,
      "2T",2*10^Z262,
      "3T",3*10^Z262,
      "4T",4*10^Z262,
      "4000+500(7O-5)",4000+500*(7*I263-5),
      1
  )
)</f>
        <v>19600</v>
      </c>
      <c r="L262" s="38">
        <f>IF(VLOOKUP(H262,'Machine List'!$A$1:$I$300,5,FALSE)="Multi",IF(VLOOKUP(H262,'Machine List'!$A$1:$I$300,6,FALSE)="Yes",AU262*3*10^AT262,AU262*(2*3)*10^(AT262-1)),0)</f>
        <v>2400</v>
      </c>
      <c r="M262" s="38">
        <f>L262+IF(ISNUMBER(I262),I262,
  SWITCH(
      I262,
      "1T",1*10^AT262,
      "2T",2*10^AT262,
      "3T",3*10^AT262,
      "4T",4*10^AT262,
      "4000+500(7O-5)",4000+500*(7*I263-5),
      1
  )
)</f>
        <v>21400</v>
      </c>
      <c r="N262" s="38" t="str">
        <f>VLOOKUP(H262,'Machine List'!$A$1:$I$300,8,FALSE)</f>
        <v>Tier</v>
      </c>
      <c r="O262" s="38">
        <f>IF(ISNUMBER(N262),N262,10^Z262)</f>
        <v>1000</v>
      </c>
      <c r="P262" s="38">
        <f>IF(ISNUMBER(N262),N262,10^AT262)</f>
        <v>1000</v>
      </c>
      <c r="Q262" s="38">
        <f>VLOOKUP(H262,'Machine List'!$A$1:$B$138,2,FALSE)</f>
        <v>1</v>
      </c>
      <c r="R262" s="38" t="s">
        <v>277</v>
      </c>
      <c r="S262" s="45">
        <f>IF(ISNUMBER(Q262),Q262,
  SWITCH(
      Q262,
      "1",1,
      "2T",Z262*2,
      "4T",Z262*4,
      "6T",Z262*6,
      "8T",Z262*8,
      "10T",Z262*10,
      "12T",Z262*12,
      "14T",Z262*14,
      "16T",Z262*16,
      "2(T+1)",2*(Z262+1),
      "1T*C",Z262*J264,
      1
  )
)</f>
        <v>1</v>
      </c>
      <c r="T262" s="38" t="s">
        <v>277</v>
      </c>
      <c r="U262" s="38">
        <f>IF(OR(T262="No",T262=""),S262,T262)</f>
        <v>1</v>
      </c>
      <c r="V262" s="38">
        <f>IF(ISNUMBER(Q262),Q262,
  SWITCH(
      Q262,
      "1",1,
      "2T",AT262*2,
      "4T",AT262*4,
      "6T",AT262*6,
      "8T",AT262*8,
      "10T",AT262*10,
      "12T",AT262*12,
      "14T",AT262*14,
      "16T",AT262*16,
      "2(T+1)",2*(AT262+1),
      "1T*C",AT262*J264,
      1
  )
)</f>
        <v>1</v>
      </c>
      <c r="W262" s="38" t="str">
        <f>T262</f>
        <v>No</v>
      </c>
      <c r="X262" s="38">
        <f>IF(OR(W262="No",W262=""),V262,W262)</f>
        <v>1</v>
      </c>
      <c r="Y262" s="38" t="s">
        <v>397</v>
      </c>
      <c r="Z262" s="38">
        <f>VLOOKUP(Y262,'Item Helper Sheet'!$A$2:$B$16,2,FALSE)</f>
        <v>3</v>
      </c>
      <c r="AA262" s="38">
        <v>480.0</v>
      </c>
      <c r="AB262" s="38">
        <f>1.6*20</f>
        <v>32</v>
      </c>
      <c r="AC262" s="38">
        <f>AB262*I264</f>
        <v>32</v>
      </c>
      <c r="AD262" s="38">
        <f>AA262*AC262</f>
        <v>15360</v>
      </c>
      <c r="AE262" s="75"/>
      <c r="AF262" s="38" t="str">
        <f>Y262</f>
        <v>03 - HV</v>
      </c>
      <c r="AG262" s="38">
        <v>1.0</v>
      </c>
      <c r="AH262" s="38">
        <v>1.0</v>
      </c>
      <c r="AI262" s="38">
        <f>AH262*8*4^Z262</f>
        <v>512</v>
      </c>
      <c r="AJ262" s="38">
        <f>MIN(ROUNDDOWN(AI262/AL262,0),U262)</f>
        <v>1</v>
      </c>
      <c r="AK262" s="38">
        <f>AJ262*AG262</f>
        <v>1</v>
      </c>
      <c r="AL262" s="38">
        <f>ROUNDUP(AA262*VLOOKUP(H262,'Machine List'!$A$2:$D$219,4,FALSE),0)</f>
        <v>480</v>
      </c>
      <c r="AM262" s="38">
        <f>AL262*AK262</f>
        <v>480</v>
      </c>
      <c r="AN262" s="38">
        <f>ROUNDUP(AB262*I264,0)</f>
        <v>32</v>
      </c>
      <c r="AO262" s="38">
        <f>ROUNDUP(AN262/VLOOKUP(H262,'Machine List'!$A$2:$D$219,3,FALSE),0)</f>
        <v>32</v>
      </c>
      <c r="AP262" s="38">
        <f>ROUNDUP(AO262/AK262,0)</f>
        <v>32</v>
      </c>
      <c r="AQ262" s="38">
        <f>AM262*AP262</f>
        <v>15360</v>
      </c>
      <c r="AR262" s="75"/>
      <c r="AS262" s="38" t="s">
        <v>397</v>
      </c>
      <c r="AT262" s="38">
        <f>VLOOKUP(AS262,'Item Helper Sheet'!$A$2:$B$16,2,FALSE)</f>
        <v>3</v>
      </c>
      <c r="AU262" s="38">
        <v>4.0</v>
      </c>
      <c r="AV262" s="38">
        <v>1.0</v>
      </c>
      <c r="AW262" s="38">
        <f>AV262*8*4^AT262</f>
        <v>512</v>
      </c>
      <c r="AX262" s="38">
        <f>MIN(ROUNDDOWN(AW262/AL262,0),X262)</f>
        <v>1</v>
      </c>
      <c r="AY262" s="38">
        <f>AX262*AU262</f>
        <v>4</v>
      </c>
      <c r="AZ262" s="38">
        <f>AL262</f>
        <v>480</v>
      </c>
      <c r="BA262" s="38">
        <f>MIN(AT262-Z262,IF(AW262&gt;=AZ263*4,
IF(AW262&gt;=AZ263*4^2,
IF(AW262&gt;=AZ263*4^3,
IF(AW262&gt;=AZ263*4^4,
IF(AW262&gt;=AZ263*4^5,
IF(AW262&gt;=AZ263*4^6,
IF(AW262&gt;=AZ263*4^7,
IF(AW262&gt;=AZ263*4^8,
IF(AW262&gt;=AZ263*4^9,
IF(AW262&gt;=AZ263*4^10,
9),
8),
7),
6),
5),
4),
3),
2),
1),
0))</f>
        <v>0</v>
      </c>
      <c r="BB262" s="38">
        <f>AZ262*AX262*4^BA262</f>
        <v>480</v>
      </c>
      <c r="BC262" s="38">
        <f>BB262*AU262</f>
        <v>1920</v>
      </c>
      <c r="BD262" s="45">
        <f>ROUNDUP(IF(R262="Yes",AN262/(2^((BA262)*2)),AN262/(2^(BA262))),0)</f>
        <v>32</v>
      </c>
      <c r="BE262" s="45">
        <f>ROUNDUP(BD262/VLOOKUP(H262,'Machine List'!$A$2:$D$219,3,FALSE),0)</f>
        <v>32</v>
      </c>
      <c r="BF262" s="45">
        <f>ROUNDUP(BE262/AY262,0)</f>
        <v>8</v>
      </c>
      <c r="BG262" s="46">
        <f>BF262*BC262</f>
        <v>15360</v>
      </c>
    </row>
    <row r="263">
      <c r="A263" s="29"/>
      <c r="B263" s="40"/>
      <c r="C263" s="41" t="s">
        <v>180</v>
      </c>
      <c r="D263" s="38">
        <f>1000*I264</f>
        <v>1000</v>
      </c>
      <c r="E263" s="38" t="s">
        <v>228</v>
      </c>
      <c r="F263" s="42">
        <f>600*I264</f>
        <v>600</v>
      </c>
      <c r="G263" s="43"/>
      <c r="H263" s="99" t="s">
        <v>584</v>
      </c>
      <c r="I263" s="45">
        <f t="array" ref="I263">match(TRUE,ISBLANK(F263:F275),0)-1</f>
        <v>5</v>
      </c>
      <c r="J263" s="100" t="s">
        <v>420</v>
      </c>
      <c r="K263" s="100" t="s">
        <v>585</v>
      </c>
      <c r="L263" s="38"/>
      <c r="M263" s="38"/>
      <c r="N263" s="38"/>
      <c r="O263" s="38"/>
      <c r="P263" s="38"/>
      <c r="Q263" s="38"/>
      <c r="R263" s="101"/>
      <c r="S263" s="101"/>
      <c r="T263" s="101"/>
      <c r="U263" s="45"/>
      <c r="V263" s="45"/>
      <c r="W263" s="45"/>
      <c r="X263" s="45"/>
      <c r="Y263" s="45"/>
      <c r="Z263" s="45"/>
      <c r="AA263" s="45"/>
      <c r="AB263" s="45"/>
      <c r="AC263" s="45"/>
      <c r="AD263" s="45"/>
      <c r="AE263" s="79"/>
      <c r="AF263" s="45"/>
      <c r="AG263" s="45"/>
      <c r="AH263" s="45"/>
      <c r="AI263" s="45"/>
      <c r="AJ263" s="45"/>
      <c r="AK263" s="45"/>
      <c r="AL263" s="45"/>
      <c r="AM263" s="45"/>
      <c r="AN263" s="45"/>
      <c r="AO263" s="45"/>
      <c r="AP263" s="45"/>
      <c r="AQ263" s="45"/>
      <c r="AR263" s="79"/>
      <c r="AS263" s="45"/>
      <c r="AT263" s="45"/>
      <c r="AU263" s="45"/>
      <c r="AV263" s="45"/>
      <c r="AW263" s="45"/>
      <c r="AX263" s="45"/>
      <c r="AY263" s="45"/>
      <c r="AZ263" s="45">
        <f>AZ262*AX262</f>
        <v>480</v>
      </c>
      <c r="BA263" s="45"/>
      <c r="BB263" s="45"/>
      <c r="BC263" s="45"/>
      <c r="BD263" s="45"/>
      <c r="BE263" s="45"/>
      <c r="BF263" s="45"/>
      <c r="BG263" s="46"/>
    </row>
    <row r="264">
      <c r="A264" s="29"/>
      <c r="B264" s="40"/>
      <c r="C264" s="41"/>
      <c r="D264" s="38"/>
      <c r="E264" s="38" t="s">
        <v>231</v>
      </c>
      <c r="F264" s="42">
        <f>1500*I264</f>
        <v>1500</v>
      </c>
      <c r="G264" s="43"/>
      <c r="H264" s="56" t="s">
        <v>502</v>
      </c>
      <c r="I264" s="49">
        <v>1.0</v>
      </c>
      <c r="J264" s="100" t="s">
        <v>424</v>
      </c>
      <c r="K264" s="100">
        <v>0.0</v>
      </c>
      <c r="L264" s="45"/>
      <c r="M264" s="45"/>
      <c r="N264" s="45"/>
      <c r="O264" s="45"/>
      <c r="P264" s="45"/>
      <c r="Q264" s="45"/>
      <c r="R264" s="45"/>
      <c r="S264" s="101"/>
      <c r="T264" s="101"/>
      <c r="U264" s="45"/>
      <c r="V264" s="45"/>
      <c r="W264" s="45"/>
      <c r="X264" s="45"/>
      <c r="Y264" s="45"/>
      <c r="Z264" s="45"/>
      <c r="AA264" s="45"/>
      <c r="AB264" s="45"/>
      <c r="AC264" s="45"/>
      <c r="AD264" s="45"/>
      <c r="AE264" s="79"/>
      <c r="AF264" s="45"/>
      <c r="AG264" s="45"/>
      <c r="AH264" s="45"/>
      <c r="AI264" s="45"/>
      <c r="AJ264" s="45"/>
      <c r="AK264" s="45"/>
      <c r="AL264" s="45"/>
      <c r="AM264" s="45"/>
      <c r="AN264" s="45"/>
      <c r="AO264" s="45"/>
      <c r="AP264" s="45"/>
      <c r="AQ264" s="45"/>
      <c r="AR264" s="79"/>
      <c r="AS264" s="45"/>
      <c r="AT264" s="45"/>
      <c r="AU264" s="45"/>
      <c r="AV264" s="45"/>
      <c r="AW264" s="45"/>
      <c r="AX264" s="45"/>
      <c r="AY264" s="45"/>
      <c r="AZ264" s="45"/>
      <c r="BA264" s="45"/>
      <c r="BB264" s="45"/>
      <c r="BC264" s="45"/>
      <c r="BD264" s="45"/>
      <c r="BE264" s="45"/>
      <c r="BF264" s="45"/>
      <c r="BG264" s="46"/>
    </row>
    <row r="265">
      <c r="A265" s="29"/>
      <c r="B265" s="40"/>
      <c r="C265" s="41"/>
      <c r="D265" s="38"/>
      <c r="E265" s="38" t="s">
        <v>230</v>
      </c>
      <c r="F265" s="42">
        <f>500*I264</f>
        <v>500</v>
      </c>
      <c r="G265" s="43"/>
      <c r="H265" s="44"/>
      <c r="I265" s="45"/>
      <c r="J265" s="45"/>
      <c r="K265" s="45"/>
      <c r="L265" s="45"/>
      <c r="M265" s="45"/>
      <c r="N265" s="45"/>
      <c r="O265" s="45"/>
      <c r="P265" s="45"/>
      <c r="Q265" s="45"/>
      <c r="R265" s="45"/>
      <c r="S265" s="101"/>
      <c r="T265" s="101"/>
      <c r="U265" s="45"/>
      <c r="V265" s="45"/>
      <c r="W265" s="45"/>
      <c r="X265" s="45"/>
      <c r="Y265" s="45"/>
      <c r="Z265" s="45"/>
      <c r="AA265" s="45"/>
      <c r="AB265" s="45"/>
      <c r="AC265" s="45"/>
      <c r="AD265" s="45"/>
      <c r="AE265" s="79"/>
      <c r="AF265" s="45"/>
      <c r="AG265" s="45"/>
      <c r="AH265" s="45"/>
      <c r="AI265" s="45"/>
      <c r="AJ265" s="45"/>
      <c r="AK265" s="45"/>
      <c r="AL265" s="45"/>
      <c r="AM265" s="45"/>
      <c r="AN265" s="45"/>
      <c r="AO265" s="45"/>
      <c r="AP265" s="45"/>
      <c r="AQ265" s="45"/>
      <c r="AR265" s="79"/>
      <c r="AS265" s="45"/>
      <c r="AT265" s="45"/>
      <c r="AU265" s="45"/>
      <c r="AV265" s="45"/>
      <c r="AW265" s="45"/>
      <c r="AX265" s="45"/>
      <c r="AY265" s="45"/>
      <c r="AZ265" s="45"/>
      <c r="BA265" s="45"/>
      <c r="BB265" s="45"/>
      <c r="BC265" s="45"/>
      <c r="BD265" s="45"/>
      <c r="BE265" s="45"/>
      <c r="BF265" s="45"/>
      <c r="BG265" s="46"/>
    </row>
    <row r="266">
      <c r="A266" s="29"/>
      <c r="B266" s="40"/>
      <c r="C266" s="41"/>
      <c r="D266" s="38"/>
      <c r="E266" s="38" t="s">
        <v>229</v>
      </c>
      <c r="F266" s="42">
        <f>100*I264</f>
        <v>100</v>
      </c>
      <c r="G266" s="43"/>
      <c r="H266" s="44"/>
      <c r="I266" s="45"/>
      <c r="J266" s="45"/>
      <c r="K266" s="45"/>
      <c r="L266" s="45"/>
      <c r="M266" s="45"/>
      <c r="N266" s="45"/>
      <c r="O266" s="45"/>
      <c r="P266" s="45"/>
      <c r="Q266" s="45"/>
      <c r="R266" s="45"/>
      <c r="S266" s="101"/>
      <c r="T266" s="101"/>
      <c r="U266" s="45"/>
      <c r="V266" s="45"/>
      <c r="W266" s="45"/>
      <c r="X266" s="45"/>
      <c r="Y266" s="45"/>
      <c r="Z266" s="45"/>
      <c r="AA266" s="45"/>
      <c r="AB266" s="45"/>
      <c r="AC266" s="45"/>
      <c r="AD266" s="45"/>
      <c r="AE266" s="79"/>
      <c r="AF266" s="45"/>
      <c r="AG266" s="45"/>
      <c r="AH266" s="45"/>
      <c r="AI266" s="45"/>
      <c r="AJ266" s="45"/>
      <c r="AK266" s="45"/>
      <c r="AL266" s="45"/>
      <c r="AM266" s="45"/>
      <c r="AN266" s="45"/>
      <c r="AO266" s="45"/>
      <c r="AP266" s="45"/>
      <c r="AQ266" s="45"/>
      <c r="AR266" s="79"/>
      <c r="AS266" s="45"/>
      <c r="AT266" s="45"/>
      <c r="AU266" s="45"/>
      <c r="AV266" s="45"/>
      <c r="AW266" s="45"/>
      <c r="AX266" s="45"/>
      <c r="AY266" s="45"/>
      <c r="AZ266" s="45"/>
      <c r="BA266" s="45"/>
      <c r="BB266" s="45"/>
      <c r="BC266" s="45"/>
      <c r="BD266" s="45"/>
      <c r="BE266" s="45"/>
      <c r="BF266" s="45"/>
      <c r="BG266" s="46"/>
    </row>
    <row r="267">
      <c r="A267" s="29"/>
      <c r="B267" s="40"/>
      <c r="C267" s="41"/>
      <c r="D267" s="38"/>
      <c r="E267" s="38" t="s">
        <v>125</v>
      </c>
      <c r="F267" s="42">
        <f>25*I264</f>
        <v>25</v>
      </c>
      <c r="G267" s="43"/>
      <c r="H267" s="44"/>
      <c r="I267" s="45"/>
      <c r="J267" s="45"/>
      <c r="K267" s="45"/>
      <c r="L267" s="45"/>
      <c r="M267" s="45"/>
      <c r="N267" s="45"/>
      <c r="O267" s="45"/>
      <c r="P267" s="45"/>
      <c r="Q267" s="45"/>
      <c r="R267" s="45"/>
      <c r="S267" s="101"/>
      <c r="T267" s="101"/>
      <c r="U267" s="45"/>
      <c r="V267" s="45"/>
      <c r="W267" s="45"/>
      <c r="X267" s="45"/>
      <c r="Y267" s="45"/>
      <c r="Z267" s="45"/>
      <c r="AA267" s="45"/>
      <c r="AB267" s="45"/>
      <c r="AC267" s="45"/>
      <c r="AD267" s="45"/>
      <c r="AE267" s="79"/>
      <c r="AF267" s="45"/>
      <c r="AG267" s="45"/>
      <c r="AH267" s="45"/>
      <c r="AI267" s="45"/>
      <c r="AJ267" s="45"/>
      <c r="AK267" s="45"/>
      <c r="AL267" s="45"/>
      <c r="AM267" s="45"/>
      <c r="AN267" s="45"/>
      <c r="AO267" s="45"/>
      <c r="AP267" s="45"/>
      <c r="AQ267" s="45"/>
      <c r="AR267" s="79"/>
      <c r="AS267" s="45"/>
      <c r="AT267" s="45"/>
      <c r="AU267" s="45"/>
      <c r="AV267" s="45"/>
      <c r="AW267" s="45"/>
      <c r="AX267" s="45"/>
      <c r="AY267" s="45"/>
      <c r="AZ267" s="45"/>
      <c r="BA267" s="45"/>
      <c r="BB267" s="45"/>
      <c r="BC267" s="45"/>
      <c r="BD267" s="45"/>
      <c r="BE267" s="45"/>
      <c r="BF267" s="45"/>
      <c r="BG267" s="46"/>
    </row>
    <row r="268">
      <c r="A268" s="29"/>
      <c r="B268" s="50"/>
      <c r="C268" s="51"/>
      <c r="D268" s="52"/>
      <c r="E268" s="52"/>
      <c r="F268" s="52"/>
      <c r="G268" s="43"/>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43"/>
      <c r="AF268" s="52"/>
      <c r="AG268" s="52"/>
      <c r="AH268" s="52"/>
      <c r="AI268" s="52"/>
      <c r="AJ268" s="52"/>
      <c r="AK268" s="52"/>
      <c r="AL268" s="52"/>
      <c r="AM268" s="52"/>
      <c r="AN268" s="52"/>
      <c r="AO268" s="52"/>
      <c r="AP268" s="52"/>
      <c r="AQ268" s="52"/>
      <c r="AR268" s="43"/>
      <c r="AS268" s="52"/>
      <c r="AT268" s="52"/>
      <c r="AU268" s="52"/>
      <c r="AV268" s="52"/>
      <c r="AW268" s="52"/>
      <c r="AX268" s="52"/>
      <c r="AY268" s="52"/>
      <c r="AZ268" s="52"/>
      <c r="BA268" s="52"/>
      <c r="BB268" s="52"/>
      <c r="BC268" s="52"/>
      <c r="BD268" s="52"/>
      <c r="BE268" s="52"/>
      <c r="BF268" s="52"/>
      <c r="BG268" s="53"/>
    </row>
    <row r="269">
      <c r="A269" s="23"/>
      <c r="B269" s="31" t="s">
        <v>593</v>
      </c>
      <c r="C269" s="54"/>
      <c r="D269" s="45"/>
      <c r="E269" s="45"/>
      <c r="F269" s="47"/>
      <c r="G269" s="35"/>
      <c r="H269" s="55" t="s">
        <v>349</v>
      </c>
      <c r="I269" s="38">
        <f>VLOOKUP(H269,'Machine List'!$A$1:$I$300,9,FALSE)</f>
        <v>4000</v>
      </c>
      <c r="J269" s="38">
        <f>IF(VLOOKUP(H269,'Machine List'!$A$1:$I$300,5,FALSE)="Multi",IF(VLOOKUP(H269,'Machine List'!$A$1:$I$300,6,FALSE)="Yes",AG269*3*10^Z269,AG269*(2*3)*10^(Z269-1)),0)</f>
        <v>6</v>
      </c>
      <c r="K269" s="38">
        <f>J269+IF(ISNUMBER(I269),I269,
  SWITCH(
      I269,
      "1T",1*10^Z269,
      "2T",2*10^Z269,
      "3T",3*10^Z269,
      "4T",4*10^Z269,
      "4000+500(7O-5)",4000+500*(7*I270-5),
      1
  )
)</f>
        <v>4006</v>
      </c>
      <c r="L269" s="38">
        <f>IF(VLOOKUP(H269,'Machine List'!$A$1:$I$300,5,FALSE)="Multi",IF(VLOOKUP(H269,'Machine List'!$A$1:$I$300,6,FALSE)="Yes",AU269*3*10^AT269,AU269*(2*3)*10^(AT269-1)),0)</f>
        <v>600</v>
      </c>
      <c r="M269" s="38">
        <f>L269+IF(ISNUMBER(I269),I269,
  SWITCH(
      I269,
      "1T",1*10^AT269,
      "2T",2*10^AT269,
      "3T",3*10^AT269,
      "4T",4*10^AT269,
      "4000+500(7O-5)",4000+500*(7*I270-5),
      1
  )
)</f>
        <v>4600</v>
      </c>
      <c r="N269" s="38" t="str">
        <f>VLOOKUP(H269,'Machine List'!$A$1:$I$300,8,FALSE)</f>
        <v>Tier</v>
      </c>
      <c r="O269" s="38">
        <f>IF(ISNUMBER(N269),N269,10^Z269)</f>
        <v>10</v>
      </c>
      <c r="P269" s="38">
        <f>IF(ISNUMBER(N269),N269,10^AT269)</f>
        <v>1000</v>
      </c>
      <c r="Q269" s="38">
        <f>VLOOKUP(H269,'Machine List'!$A$1:$B$138,2,FALSE)</f>
        <v>1</v>
      </c>
      <c r="R269" s="38" t="s">
        <v>594</v>
      </c>
      <c r="S269" s="45">
        <f>IF(ISNUMBER(Q269),Q269,
  SWITCH(
      Q269,
      "1",1,
      "2T",Z269*2,
      "4T",Z269*4,
      "6T",Z269*6,
      "8T",Z269*8,
      "10T",Z269*10,
      "12T",Z269*12,
      "14T",Z269*14,
      "16T",Z269*16,
      "2(T+1)",2*(Z269+1),
      "1T*C",Z269*J271,
      1
  )
)</f>
        <v>1</v>
      </c>
      <c r="T269" s="38" t="s">
        <v>277</v>
      </c>
      <c r="U269" s="38">
        <f>IF(OR(T269="No",T269=""),S269,T269)</f>
        <v>1</v>
      </c>
      <c r="V269" s="38">
        <f>IF(ISNUMBER(Q269),Q269,
  SWITCH(
      Q269,
      "1",1,
      "2T",AT269*2,
      "4T",AT269*4,
      "6T",AT269*6,
      "8T",AT269*8,
      "10T",AT269*10,
      "12T",AT269*12,
      "14T",AT269*14,
      "16T",AT269*16,
      "2(T+1)",2*(AT269+1),
      "1T*C",AT269*J271,
      1
  )
)</f>
        <v>1</v>
      </c>
      <c r="W269" s="38" t="str">
        <f>T269</f>
        <v>No</v>
      </c>
      <c r="X269" s="38">
        <f>IF(OR(W269="No",W269=""),V269,W269)</f>
        <v>1</v>
      </c>
      <c r="Y269" s="38" t="s">
        <v>390</v>
      </c>
      <c r="Z269" s="38">
        <f>VLOOKUP(Y269,'Item Helper Sheet'!$A$2:$B$16,2,FALSE)</f>
        <v>1</v>
      </c>
      <c r="AA269" s="38">
        <v>30.0</v>
      </c>
      <c r="AB269" s="38">
        <f>8*20</f>
        <v>160</v>
      </c>
      <c r="AC269" s="38">
        <f>AB269*I271</f>
        <v>160</v>
      </c>
      <c r="AD269" s="38">
        <f>AA269*AC269</f>
        <v>4800</v>
      </c>
      <c r="AE269" s="75"/>
      <c r="AF269" s="38" t="str">
        <f>Y269</f>
        <v>01 - LV</v>
      </c>
      <c r="AG269" s="38">
        <v>1.0</v>
      </c>
      <c r="AH269" s="38">
        <v>1.0</v>
      </c>
      <c r="AI269" s="38">
        <f>AH269*8*4^Z269</f>
        <v>32</v>
      </c>
      <c r="AJ269" s="38">
        <f>MIN(ROUNDDOWN(AI269/AL269,0),U269)</f>
        <v>1</v>
      </c>
      <c r="AK269" s="38">
        <f>IF(OR(T269="No",T269=""),AG269*S269,AG269*T269)</f>
        <v>1</v>
      </c>
      <c r="AL269" s="38">
        <f>ROUNDUP(AA269*VLOOKUP(H269,'Machine List'!$A$2:$D$219,4,FALSE),0)</f>
        <v>30</v>
      </c>
      <c r="AM269" s="38">
        <f>AL269*AK269</f>
        <v>30</v>
      </c>
      <c r="AN269" s="38">
        <f>ROUNDUP(AB269*I271,0)</f>
        <v>160</v>
      </c>
      <c r="AO269" s="38">
        <f>ROUNDUP(AN269/VLOOKUP(H269,'Machine List'!$A$2:$D$219,3,FALSE),0)</f>
        <v>160</v>
      </c>
      <c r="AP269" s="38">
        <f>ROUNDUP(AO269/AK269,0)</f>
        <v>160</v>
      </c>
      <c r="AQ269" s="38">
        <f>AM269*AP269</f>
        <v>4800</v>
      </c>
      <c r="AR269" s="75"/>
      <c r="AS269" s="38" t="s">
        <v>397</v>
      </c>
      <c r="AT269" s="38">
        <f>VLOOKUP(AS269,'Item Helper Sheet'!$A$2:$B$16,2,FALSE)</f>
        <v>3</v>
      </c>
      <c r="AU269" s="38">
        <f>AG269</f>
        <v>1</v>
      </c>
      <c r="AV269" s="38">
        <v>1.0</v>
      </c>
      <c r="AW269" s="38">
        <f>AV269*8*4^AT269</f>
        <v>512</v>
      </c>
      <c r="AX269" s="38">
        <f>MIN(ROUNDDOWN(AW269/AL269,0),X269)</f>
        <v>1</v>
      </c>
      <c r="AY269" s="38">
        <f>AX269*AU269</f>
        <v>1</v>
      </c>
      <c r="AZ269" s="38">
        <f>AL269</f>
        <v>30</v>
      </c>
      <c r="BA269" s="38">
        <f>MIN(AT269-Z269,IF(AW269&gt;=AZ270*4,
IF(AW269&gt;=AZ270*4^2,
IF(AW269&gt;=AZ270*4^3,
IF(AW269&gt;=AZ270*4^4,
IF(AW269&gt;=AZ270*4^5,
IF(AW269&gt;=AZ270*4^6,
IF(AW269&gt;=AZ270*4^7,
IF(AW269&gt;=AZ270*4^8,
IF(AW269&gt;=AZ270*4^9,
IF(AW269&gt;=AZ270*4^10,
9),
8),
7),
6),
5),
4),
3),
2),
1),
0))</f>
        <v>2</v>
      </c>
      <c r="BB269" s="38">
        <f>AZ269*AX269*4^BA269</f>
        <v>480</v>
      </c>
      <c r="BC269" s="38">
        <f>BB269*AU269</f>
        <v>480</v>
      </c>
      <c r="BD269" s="45">
        <f>ROUNDUP(IF(R269="Yes",AN269/(2^((BA269)*2)),AN269/(2^(BA269))),0)</f>
        <v>10</v>
      </c>
      <c r="BE269" s="45">
        <f>ROUNDUP(BD269/VLOOKUP(H269,'Machine List'!$A$2:$D$219,3,FALSE),0)</f>
        <v>10</v>
      </c>
      <c r="BF269" s="45">
        <f>ROUNDUP(BE269/AY269,0)</f>
        <v>10</v>
      </c>
      <c r="BG269" s="46">
        <f>BF269*BC269</f>
        <v>4800</v>
      </c>
    </row>
    <row r="270">
      <c r="A270" s="29"/>
      <c r="B270" s="40"/>
      <c r="C270" s="41" t="s">
        <v>228</v>
      </c>
      <c r="D270" s="38">
        <f>16000*I271</f>
        <v>16000</v>
      </c>
      <c r="E270" s="38" t="s">
        <v>183</v>
      </c>
      <c r="F270" s="42">
        <f>16000*I271</f>
        <v>16000</v>
      </c>
      <c r="G270" s="43"/>
      <c r="H270" s="99" t="s">
        <v>584</v>
      </c>
      <c r="I270" s="45">
        <f t="array" ref="I270">match(TRUE,ISBLANK(F270:F282),0)-1</f>
        <v>2</v>
      </c>
      <c r="J270" s="100" t="s">
        <v>420</v>
      </c>
      <c r="K270" s="100" t="s">
        <v>585</v>
      </c>
      <c r="L270" s="38"/>
      <c r="M270" s="38"/>
      <c r="N270" s="38"/>
      <c r="O270" s="38"/>
      <c r="P270" s="38"/>
      <c r="Q270" s="38"/>
      <c r="R270" s="101"/>
      <c r="S270" s="101"/>
      <c r="T270" s="101"/>
      <c r="U270" s="45"/>
      <c r="V270" s="45"/>
      <c r="W270" s="45"/>
      <c r="X270" s="45"/>
      <c r="Y270" s="45"/>
      <c r="Z270" s="45"/>
      <c r="AA270" s="45"/>
      <c r="AB270" s="45"/>
      <c r="AC270" s="45"/>
      <c r="AD270" s="45"/>
      <c r="AE270" s="79"/>
      <c r="AF270" s="45"/>
      <c r="AG270" s="45"/>
      <c r="AH270" s="45"/>
      <c r="AI270" s="45"/>
      <c r="AJ270" s="45"/>
      <c r="AK270" s="45"/>
      <c r="AL270" s="45"/>
      <c r="AM270" s="45"/>
      <c r="AN270" s="45"/>
      <c r="AO270" s="45"/>
      <c r="AP270" s="45"/>
      <c r="AQ270" s="45"/>
      <c r="AR270" s="79"/>
      <c r="AS270" s="45"/>
      <c r="AT270" s="45"/>
      <c r="AU270" s="45"/>
      <c r="AV270" s="45"/>
      <c r="AW270" s="45"/>
      <c r="AX270" s="45"/>
      <c r="AY270" s="45"/>
      <c r="AZ270" s="45">
        <f>AZ269*AX269</f>
        <v>30</v>
      </c>
      <c r="BA270" s="45"/>
      <c r="BB270" s="45"/>
      <c r="BC270" s="45"/>
      <c r="BD270" s="45"/>
      <c r="BE270" s="45"/>
      <c r="BF270" s="45"/>
      <c r="BG270" s="46"/>
    </row>
    <row r="271">
      <c r="A271" s="29"/>
      <c r="B271" s="40"/>
      <c r="C271" s="41" t="s">
        <v>87</v>
      </c>
      <c r="D271" s="38">
        <f>2000*I271</f>
        <v>2000</v>
      </c>
      <c r="E271" s="38" t="s">
        <v>88</v>
      </c>
      <c r="F271" s="42">
        <f>1000*I271</f>
        <v>1000</v>
      </c>
      <c r="G271" s="43"/>
      <c r="H271" s="56" t="s">
        <v>502</v>
      </c>
      <c r="I271" s="57">
        <v>1.0</v>
      </c>
      <c r="J271" s="100" t="s">
        <v>424</v>
      </c>
      <c r="K271" s="100">
        <v>0.0</v>
      </c>
      <c r="L271" s="45"/>
      <c r="M271" s="45"/>
      <c r="N271" s="45"/>
      <c r="O271" s="45"/>
      <c r="P271" s="45"/>
      <c r="Q271" s="45"/>
      <c r="R271" s="45"/>
      <c r="S271" s="101"/>
      <c r="T271" s="101"/>
      <c r="U271" s="45"/>
      <c r="V271" s="45"/>
      <c r="W271" s="45"/>
      <c r="X271" s="45"/>
      <c r="Y271" s="45"/>
      <c r="Z271" s="45"/>
      <c r="AA271" s="45"/>
      <c r="AB271" s="45"/>
      <c r="AC271" s="45"/>
      <c r="AD271" s="45"/>
      <c r="AE271" s="79"/>
      <c r="AF271" s="45"/>
      <c r="AG271" s="45"/>
      <c r="AH271" s="45"/>
      <c r="AI271" s="45"/>
      <c r="AJ271" s="45"/>
      <c r="AK271" s="45"/>
      <c r="AL271" s="45"/>
      <c r="AM271" s="45"/>
      <c r="AN271" s="45"/>
      <c r="AO271" s="45"/>
      <c r="AP271" s="45"/>
      <c r="AQ271" s="45"/>
      <c r="AR271" s="79"/>
      <c r="AS271" s="45"/>
      <c r="AT271" s="45"/>
      <c r="AU271" s="45"/>
      <c r="AV271" s="45"/>
      <c r="AW271" s="45"/>
      <c r="AX271" s="45"/>
      <c r="AY271" s="45"/>
      <c r="AZ271" s="45"/>
      <c r="BA271" s="45"/>
      <c r="BB271" s="45"/>
      <c r="BC271" s="45"/>
      <c r="BD271" s="45"/>
      <c r="BE271" s="45"/>
      <c r="BF271" s="45"/>
      <c r="BG271" s="46"/>
    </row>
    <row r="272">
      <c r="A272" s="29"/>
      <c r="B272" s="50"/>
      <c r="C272" s="51"/>
      <c r="D272" s="52"/>
      <c r="E272" s="52"/>
      <c r="F272" s="52"/>
      <c r="G272" s="43"/>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43"/>
      <c r="AF272" s="52"/>
      <c r="AG272" s="52"/>
      <c r="AH272" s="52"/>
      <c r="AI272" s="52"/>
      <c r="AJ272" s="52"/>
      <c r="AK272" s="52"/>
      <c r="AL272" s="52"/>
      <c r="AM272" s="52"/>
      <c r="AN272" s="52"/>
      <c r="AO272" s="52"/>
      <c r="AP272" s="52"/>
      <c r="AQ272" s="52"/>
      <c r="AR272" s="43"/>
      <c r="AS272" s="52"/>
      <c r="AT272" s="52"/>
      <c r="AU272" s="52"/>
      <c r="AV272" s="52"/>
      <c r="AW272" s="52"/>
      <c r="AX272" s="52"/>
      <c r="AY272" s="52"/>
      <c r="AZ272" s="52"/>
      <c r="BA272" s="52"/>
      <c r="BB272" s="52"/>
      <c r="BC272" s="52"/>
      <c r="BD272" s="52"/>
      <c r="BE272" s="52"/>
      <c r="BF272" s="52"/>
      <c r="BG272" s="53"/>
    </row>
    <row r="273">
      <c r="A273" s="23"/>
      <c r="B273" s="31" t="s">
        <v>599</v>
      </c>
      <c r="C273" s="54"/>
      <c r="D273" s="45"/>
      <c r="E273" s="45"/>
      <c r="F273" s="47"/>
      <c r="G273" s="35"/>
      <c r="H273" s="55" t="s">
        <v>349</v>
      </c>
      <c r="I273" s="38">
        <f>VLOOKUP(H273,'Machine List'!$A$1:$I$300,9,FALSE)</f>
        <v>4000</v>
      </c>
      <c r="J273" s="38">
        <f>IF(VLOOKUP(H273,'Machine List'!$A$1:$I$300,5,FALSE)="Multi",IF(VLOOKUP(H273,'Machine List'!$A$1:$I$300,6,FALSE)="Yes",AG273*3*10^Z273,AG273*(2*3)*10^(Z273-1)),0)</f>
        <v>6</v>
      </c>
      <c r="K273" s="38">
        <f>J273+IF(ISNUMBER(I273),I273,
  SWITCH(
      I273,
      "1T",1*10^Z273,
      "2T",2*10^Z273,
      "3T",3*10^Z273,
      "4T",4*10^Z273,
      "4000+500(7O-5)",4000+500*(7*I274-5),
      1
  )
)</f>
        <v>4006</v>
      </c>
      <c r="L273" s="38">
        <f>IF(VLOOKUP(H273,'Machine List'!$A$1:$I$300,5,FALSE)="Multi",IF(VLOOKUP(H273,'Machine List'!$A$1:$I$300,6,FALSE)="Yes",AU273*3*10^AT273,AU273*(2*3)*10^(AT273-1)),0)</f>
        <v>600</v>
      </c>
      <c r="M273" s="38">
        <f>L273+IF(ISNUMBER(I273),I273,
  SWITCH(
      I273,
      "1T",1*10^AT273,
      "2T",2*10^AT273,
      "3T",3*10^AT273,
      "4T",4*10^AT273,
      "4000+500(7O-5)",4000+500*(7*I274-5),
      1
  )
)</f>
        <v>4600</v>
      </c>
      <c r="N273" s="38" t="str">
        <f>VLOOKUP(H273,'Machine List'!$A$1:$I$300,8,FALSE)</f>
        <v>Tier</v>
      </c>
      <c r="O273" s="38">
        <f>IF(ISNUMBER(N273),N273,10^Z273)</f>
        <v>10</v>
      </c>
      <c r="P273" s="38">
        <f>IF(ISNUMBER(N273),N273,10^AT273)</f>
        <v>1000</v>
      </c>
      <c r="Q273" s="38">
        <f>VLOOKUP(H273,'Machine List'!$A$1:$B$138,2,FALSE)</f>
        <v>1</v>
      </c>
      <c r="R273" s="38" t="s">
        <v>594</v>
      </c>
      <c r="S273" s="45">
        <f>IF(ISNUMBER(Q273),Q273,
  SWITCH(
      Q273,
      "1",1,
      "2T",Z273*2,
      "4T",Z273*4,
      "6T",Z273*6,
      "8T",Z273*8,
      "10T",Z273*10,
      "12T",Z273*12,
      "14T",Z273*14,
      "16T",Z273*16,
      "2(T+1)",2*(Z273+1),
      "1T*C",Z273*J275,
      1
  )
)</f>
        <v>1</v>
      </c>
      <c r="T273" s="38" t="s">
        <v>277</v>
      </c>
      <c r="U273" s="38">
        <f>IF(OR(T273="No",T273=""),S273,T273)</f>
        <v>1</v>
      </c>
      <c r="V273" s="38">
        <f>IF(ISNUMBER(Q273),Q273,
  SWITCH(
      Q273,
      "1",1,
      "2T",AT273*2,
      "4T",AT273*4,
      "6T",AT273*6,
      "8T",AT273*8,
      "10T",AT273*10,
      "12T",AT273*12,
      "14T",AT273*14,
      "16T",AT273*16,
      "2(T+1)",2*(AT273+1),
      "1T*C",AT273*J275,
      1
  )
)</f>
        <v>1</v>
      </c>
      <c r="W273" s="38" t="str">
        <f>T273</f>
        <v>No</v>
      </c>
      <c r="X273" s="38">
        <f>IF(OR(W273="No",W273=""),V273,W273)</f>
        <v>1</v>
      </c>
      <c r="Y273" s="38" t="s">
        <v>390</v>
      </c>
      <c r="Z273" s="38">
        <f>VLOOKUP(Y273,'Item Helper Sheet'!$A$2:$B$16,2,FALSE)</f>
        <v>1</v>
      </c>
      <c r="AA273" s="38">
        <v>30.0</v>
      </c>
      <c r="AB273" s="38">
        <f>8*20</f>
        <v>160</v>
      </c>
      <c r="AC273" s="38">
        <f>AB273*I275</f>
        <v>160</v>
      </c>
      <c r="AD273" s="38">
        <f>AA273*AC273</f>
        <v>4800</v>
      </c>
      <c r="AE273" s="75"/>
      <c r="AF273" s="38" t="str">
        <f>Y273</f>
        <v>01 - LV</v>
      </c>
      <c r="AG273" s="38">
        <v>1.0</v>
      </c>
      <c r="AH273" s="38">
        <v>1.0</v>
      </c>
      <c r="AI273" s="38">
        <f>AH273*8*4^Z273</f>
        <v>32</v>
      </c>
      <c r="AJ273" s="38">
        <f>MIN(ROUNDDOWN(AI273/AL273,0),U273)</f>
        <v>1</v>
      </c>
      <c r="AK273" s="38">
        <f>IF(OR(T273="No",T273=""),AG273*S273,AG273*T273)</f>
        <v>1</v>
      </c>
      <c r="AL273" s="38">
        <f>ROUNDUP(AA273*VLOOKUP(H273,'Machine List'!$A$2:$D$219,4,FALSE),0)</f>
        <v>30</v>
      </c>
      <c r="AM273" s="38">
        <f>AL273*AK273</f>
        <v>30</v>
      </c>
      <c r="AN273" s="38">
        <f>ROUNDUP(AB273*I275,0)</f>
        <v>160</v>
      </c>
      <c r="AO273" s="38">
        <f>ROUNDUP(AN273/VLOOKUP(H273,'Machine List'!$A$2:$D$219,3,FALSE),0)</f>
        <v>160</v>
      </c>
      <c r="AP273" s="38">
        <f>ROUNDUP(AO273/AK273,0)</f>
        <v>160</v>
      </c>
      <c r="AQ273" s="38">
        <f>AM273*AP273</f>
        <v>4800</v>
      </c>
      <c r="AR273" s="75"/>
      <c r="AS273" s="38" t="s">
        <v>397</v>
      </c>
      <c r="AT273" s="38">
        <f>VLOOKUP(AS273,'Item Helper Sheet'!$A$2:$B$16,2,FALSE)</f>
        <v>3</v>
      </c>
      <c r="AU273" s="38">
        <f>AG273</f>
        <v>1</v>
      </c>
      <c r="AV273" s="38">
        <v>1.0</v>
      </c>
      <c r="AW273" s="38">
        <f>AV273*8*4^AT273</f>
        <v>512</v>
      </c>
      <c r="AX273" s="38">
        <f>MIN(ROUNDDOWN(AW273/AL273,0),X273)</f>
        <v>1</v>
      </c>
      <c r="AY273" s="38">
        <f>AX273*AU273</f>
        <v>1</v>
      </c>
      <c r="AZ273" s="38">
        <f>AL273</f>
        <v>30</v>
      </c>
      <c r="BA273" s="38">
        <f>MIN(AT273-Z273,IF(AW273&gt;=AZ274*4,
IF(AW273&gt;=AZ274*4^2,
IF(AW273&gt;=AZ274*4^3,
IF(AW273&gt;=AZ274*4^4,
IF(AW273&gt;=AZ274*4^5,
IF(AW273&gt;=AZ274*4^6,
IF(AW273&gt;=AZ274*4^7,
IF(AW273&gt;=AZ274*4^8,
IF(AW273&gt;=AZ274*4^9,
IF(AW273&gt;=AZ274*4^10,
9),
8),
7),
6),
5),
4),
3),
2),
1),
0))</f>
        <v>2</v>
      </c>
      <c r="BB273" s="38">
        <f>AZ273*AX273*4^BA273</f>
        <v>480</v>
      </c>
      <c r="BC273" s="38">
        <f>BB273*AU273</f>
        <v>480</v>
      </c>
      <c r="BD273" s="45">
        <f>ROUNDUP(IF(R273="Yes",AN273/(2^((BA273)*2)),AN273/(2^(BA273))),0)</f>
        <v>10</v>
      </c>
      <c r="BE273" s="45">
        <f>ROUNDUP(BD273/VLOOKUP(H273,'Machine List'!$A$2:$D$219,3,FALSE),0)</f>
        <v>10</v>
      </c>
      <c r="BF273" s="45">
        <f>ROUNDUP(BE273/AY273,0)</f>
        <v>10</v>
      </c>
      <c r="BG273" s="46">
        <f>BF273*BC273</f>
        <v>4800</v>
      </c>
    </row>
    <row r="274">
      <c r="A274" s="29"/>
      <c r="B274" s="40"/>
      <c r="C274" s="41" t="s">
        <v>231</v>
      </c>
      <c r="D274" s="38">
        <f>12000*I275</f>
        <v>12000</v>
      </c>
      <c r="E274" s="38" t="s">
        <v>124</v>
      </c>
      <c r="F274" s="42">
        <f>12000*I275</f>
        <v>12000</v>
      </c>
      <c r="G274" s="43"/>
      <c r="H274" s="99" t="s">
        <v>584</v>
      </c>
      <c r="I274" s="45">
        <f t="array" ref="I274">match(TRUE,ISBLANK(F274:F286),0)-1</f>
        <v>2</v>
      </c>
      <c r="J274" s="100" t="s">
        <v>420</v>
      </c>
      <c r="K274" s="100" t="s">
        <v>585</v>
      </c>
      <c r="L274" s="38"/>
      <c r="M274" s="38"/>
      <c r="N274" s="38"/>
      <c r="O274" s="38"/>
      <c r="P274" s="38"/>
      <c r="Q274" s="38"/>
      <c r="R274" s="101"/>
      <c r="S274" s="101"/>
      <c r="T274" s="101"/>
      <c r="U274" s="45"/>
      <c r="V274" s="45"/>
      <c r="W274" s="45"/>
      <c r="X274" s="45"/>
      <c r="Y274" s="45"/>
      <c r="Z274" s="45"/>
      <c r="AA274" s="45"/>
      <c r="AB274" s="45"/>
      <c r="AC274" s="45"/>
      <c r="AD274" s="45"/>
      <c r="AE274" s="79"/>
      <c r="AF274" s="45"/>
      <c r="AG274" s="45"/>
      <c r="AH274" s="45"/>
      <c r="AI274" s="45"/>
      <c r="AJ274" s="45"/>
      <c r="AK274" s="45"/>
      <c r="AL274" s="45"/>
      <c r="AM274" s="45"/>
      <c r="AN274" s="45"/>
      <c r="AO274" s="45"/>
      <c r="AP274" s="45"/>
      <c r="AQ274" s="45"/>
      <c r="AR274" s="79"/>
      <c r="AS274" s="45"/>
      <c r="AT274" s="45"/>
      <c r="AU274" s="45"/>
      <c r="AV274" s="45"/>
      <c r="AW274" s="45"/>
      <c r="AX274" s="45"/>
      <c r="AY274" s="45"/>
      <c r="AZ274" s="45">
        <f>AZ273*AX273</f>
        <v>30</v>
      </c>
      <c r="BA274" s="45"/>
      <c r="BB274" s="45"/>
      <c r="BC274" s="45"/>
      <c r="BD274" s="45"/>
      <c r="BE274" s="45"/>
      <c r="BF274" s="45"/>
      <c r="BG274" s="46"/>
    </row>
    <row r="275">
      <c r="A275" s="29"/>
      <c r="B275" s="40"/>
      <c r="C275" s="41" t="s">
        <v>87</v>
      </c>
      <c r="D275" s="38">
        <f>2000*I275</f>
        <v>2000</v>
      </c>
      <c r="E275" s="38" t="s">
        <v>88</v>
      </c>
      <c r="F275" s="42">
        <f>1000*I275</f>
        <v>1000</v>
      </c>
      <c r="G275" s="43"/>
      <c r="H275" s="56" t="s">
        <v>502</v>
      </c>
      <c r="I275" s="57">
        <v>1.0</v>
      </c>
      <c r="J275" s="100" t="s">
        <v>424</v>
      </c>
      <c r="K275" s="100">
        <v>0.0</v>
      </c>
      <c r="L275" s="45"/>
      <c r="M275" s="45"/>
      <c r="N275" s="45"/>
      <c r="O275" s="45"/>
      <c r="P275" s="45"/>
      <c r="Q275" s="45"/>
      <c r="R275" s="45"/>
      <c r="S275" s="101"/>
      <c r="T275" s="101"/>
      <c r="U275" s="45"/>
      <c r="V275" s="45"/>
      <c r="W275" s="45"/>
      <c r="X275" s="45"/>
      <c r="Y275" s="45"/>
      <c r="Z275" s="45"/>
      <c r="AA275" s="45"/>
      <c r="AB275" s="45"/>
      <c r="AC275" s="45"/>
      <c r="AD275" s="45"/>
      <c r="AE275" s="79"/>
      <c r="AF275" s="45"/>
      <c r="AG275" s="45"/>
      <c r="AH275" s="45"/>
      <c r="AI275" s="45"/>
      <c r="AJ275" s="45"/>
      <c r="AK275" s="45"/>
      <c r="AL275" s="45"/>
      <c r="AM275" s="45"/>
      <c r="AN275" s="45"/>
      <c r="AO275" s="45"/>
      <c r="AP275" s="45"/>
      <c r="AQ275" s="45"/>
      <c r="AR275" s="79"/>
      <c r="AS275" s="45"/>
      <c r="AT275" s="45"/>
      <c r="AU275" s="45"/>
      <c r="AV275" s="45"/>
      <c r="AW275" s="45"/>
      <c r="AX275" s="45"/>
      <c r="AY275" s="45"/>
      <c r="AZ275" s="45"/>
      <c r="BA275" s="45"/>
      <c r="BB275" s="45"/>
      <c r="BC275" s="45"/>
      <c r="BD275" s="45"/>
      <c r="BE275" s="45"/>
      <c r="BF275" s="45"/>
      <c r="BG275" s="46"/>
    </row>
    <row r="276">
      <c r="A276" s="29"/>
      <c r="B276" s="50"/>
      <c r="C276" s="51"/>
      <c r="D276" s="52"/>
      <c r="E276" s="52"/>
      <c r="F276" s="52"/>
      <c r="G276" s="43"/>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43"/>
      <c r="AF276" s="52"/>
      <c r="AG276" s="52"/>
      <c r="AH276" s="52"/>
      <c r="AI276" s="52"/>
      <c r="AJ276" s="52"/>
      <c r="AK276" s="52"/>
      <c r="AL276" s="52"/>
      <c r="AM276" s="52"/>
      <c r="AN276" s="52"/>
      <c r="AO276" s="52"/>
      <c r="AP276" s="52"/>
      <c r="AQ276" s="52"/>
      <c r="AR276" s="43"/>
      <c r="AS276" s="52"/>
      <c r="AT276" s="52"/>
      <c r="AU276" s="52"/>
      <c r="AV276" s="52"/>
      <c r="AW276" s="52"/>
      <c r="AX276" s="52"/>
      <c r="AY276" s="52"/>
      <c r="AZ276" s="52"/>
      <c r="BA276" s="52"/>
      <c r="BB276" s="52"/>
      <c r="BC276" s="52"/>
      <c r="BD276" s="52"/>
      <c r="BE276" s="52"/>
      <c r="BF276" s="52"/>
      <c r="BG276" s="53"/>
    </row>
    <row r="277">
      <c r="A277" s="29"/>
      <c r="B277" s="31" t="s">
        <v>601</v>
      </c>
      <c r="C277" s="54"/>
      <c r="D277" s="45"/>
      <c r="E277" s="45"/>
      <c r="F277" s="47"/>
      <c r="G277" s="35"/>
      <c r="H277" s="55" t="s">
        <v>349</v>
      </c>
      <c r="I277" s="38">
        <f>VLOOKUP(H277,'Machine List'!$A$1:$I$300,9,FALSE)</f>
        <v>4000</v>
      </c>
      <c r="J277" s="38">
        <f>IF(VLOOKUP(H277,'Machine List'!$A$1:$I$300,5,FALSE)="Multi",IF(VLOOKUP(H277,'Machine List'!$A$1:$I$300,6,FALSE)="Yes",AG277*3*10^Z277,AG277*(2*3)*10^(Z277-1)),0)</f>
        <v>6</v>
      </c>
      <c r="K277" s="38">
        <f>J277+IF(ISNUMBER(I277),I277,
  SWITCH(
      I277,
      "1T",1*10^Z277,
      "2T",2*10^Z277,
      "3T",3*10^Z277,
      "4T",4*10^Z277,
      "4000+500(7O-5)",4000+500*(7*I278-5),
      1
  )
)</f>
        <v>4006</v>
      </c>
      <c r="L277" s="38">
        <f>IF(VLOOKUP(H277,'Machine List'!$A$1:$I$300,5,FALSE)="Multi",IF(VLOOKUP(H277,'Machine List'!$A$1:$I$300,6,FALSE)="Yes",AU277*3*10^AT277,AU277*(2*3)*10^(AT277-1)),0)</f>
        <v>600</v>
      </c>
      <c r="M277" s="38">
        <f>L277+IF(ISNUMBER(I277),I277,
  SWITCH(
      I277,
      "1T",1*10^AT277,
      "2T",2*10^AT277,
      "3T",3*10^AT277,
      "4T",4*10^AT277,
      "4000+500(7O-5)",4000+500*(7*I278-5),
      1
  )
)</f>
        <v>4600</v>
      </c>
      <c r="N277" s="38" t="str">
        <f>VLOOKUP(H277,'Machine List'!$A$1:$I$300,8,FALSE)</f>
        <v>Tier</v>
      </c>
      <c r="O277" s="38">
        <f>IF(ISNUMBER(N277),N277,10^Z277)</f>
        <v>10</v>
      </c>
      <c r="P277" s="38">
        <f>IF(ISNUMBER(N277),N277,10^AT277)</f>
        <v>1000</v>
      </c>
      <c r="Q277" s="38">
        <f>VLOOKUP(H277,'Machine List'!$A$1:$B$138,2,FALSE)</f>
        <v>1</v>
      </c>
      <c r="R277" s="38" t="s">
        <v>594</v>
      </c>
      <c r="S277" s="45">
        <f>IF(ISNUMBER(Q277),Q277,
  SWITCH(
      Q277,
      "1",1,
      "2T",Z277*2,
      "4T",Z277*4,
      "6T",Z277*6,
      "8T",Z277*8,
      "10T",Z277*10,
      "12T",Z277*12,
      "14T",Z277*14,
      "16T",Z277*16,
      "2(T+1)",2*(Z277+1),
      "1T*C",Z277*J279,
      1
  )
)</f>
        <v>1</v>
      </c>
      <c r="T277" s="38" t="s">
        <v>277</v>
      </c>
      <c r="U277" s="38">
        <f>IF(OR(T277="No",T277=""),S277,T277)</f>
        <v>1</v>
      </c>
      <c r="V277" s="38">
        <f>IF(ISNUMBER(Q277),Q277,
  SWITCH(
      Q277,
      "1",1,
      "2T",AT277*2,
      "4T",AT277*4,
      "6T",AT277*6,
      "8T",AT277*8,
      "10T",AT277*10,
      "12T",AT277*12,
      "14T",AT277*14,
      "16T",AT277*16,
      "2(T+1)",2*(AT277+1),
      "1T*C",AT277*J279,
      1
  )
)</f>
        <v>1</v>
      </c>
      <c r="W277" s="38" t="str">
        <f>T277</f>
        <v>No</v>
      </c>
      <c r="X277" s="38">
        <f>IF(OR(W277="No",W277=""),V277,W277)</f>
        <v>1</v>
      </c>
      <c r="Y277" s="38" t="s">
        <v>390</v>
      </c>
      <c r="Z277" s="38">
        <f>VLOOKUP(Y277,'Item Helper Sheet'!$A$2:$B$16,2,FALSE)</f>
        <v>1</v>
      </c>
      <c r="AA277" s="38">
        <v>30.0</v>
      </c>
      <c r="AB277" s="38">
        <f>8*20</f>
        <v>160</v>
      </c>
      <c r="AC277" s="38">
        <f>AB277*I279</f>
        <v>160</v>
      </c>
      <c r="AD277" s="38">
        <f>AA277*AC277</f>
        <v>4800</v>
      </c>
      <c r="AE277" s="75"/>
      <c r="AF277" s="38" t="str">
        <f>Y277</f>
        <v>01 - LV</v>
      </c>
      <c r="AG277" s="38">
        <v>1.0</v>
      </c>
      <c r="AH277" s="38">
        <v>1.0</v>
      </c>
      <c r="AI277" s="38">
        <f>AH277*8*4^Z277</f>
        <v>32</v>
      </c>
      <c r="AJ277" s="38">
        <f>MIN(ROUNDDOWN(AI277/AL277,0),U277)</f>
        <v>1</v>
      </c>
      <c r="AK277" s="38">
        <f>IF(OR(T277="No",T277=""),AG277*S277,AG277*T277)</f>
        <v>1</v>
      </c>
      <c r="AL277" s="38">
        <f>ROUNDUP(AA277*VLOOKUP(H277,'Machine List'!$A$2:$D$219,4,FALSE),0)</f>
        <v>30</v>
      </c>
      <c r="AM277" s="38">
        <f>AL277*AK277</f>
        <v>30</v>
      </c>
      <c r="AN277" s="38">
        <f>ROUNDUP(AB277*I279,0)</f>
        <v>160</v>
      </c>
      <c r="AO277" s="38">
        <f>ROUNDUP(AN277/VLOOKUP(H277,'Machine List'!$A$2:$D$219,3,FALSE),0)</f>
        <v>160</v>
      </c>
      <c r="AP277" s="38">
        <f>ROUNDUP(AO277/AK277,0)</f>
        <v>160</v>
      </c>
      <c r="AQ277" s="38">
        <f>AM277*AP277</f>
        <v>4800</v>
      </c>
      <c r="AR277" s="75"/>
      <c r="AS277" s="38" t="s">
        <v>397</v>
      </c>
      <c r="AT277" s="38">
        <f>VLOOKUP(AS277,'Item Helper Sheet'!$A$2:$B$16,2,FALSE)</f>
        <v>3</v>
      </c>
      <c r="AU277" s="38">
        <f>AG277</f>
        <v>1</v>
      </c>
      <c r="AV277" s="38">
        <v>1.0</v>
      </c>
      <c r="AW277" s="38">
        <f>AV277*8*4^AT277</f>
        <v>512</v>
      </c>
      <c r="AX277" s="38">
        <f>MIN(ROUNDDOWN(AW277/AL277,0),X277)</f>
        <v>1</v>
      </c>
      <c r="AY277" s="38">
        <f>AX277*AU277</f>
        <v>1</v>
      </c>
      <c r="AZ277" s="38">
        <f>AL277</f>
        <v>30</v>
      </c>
      <c r="BA277" s="38">
        <f>MIN(AT277-Z277,IF(AW277&gt;=AZ278*4,
IF(AW277&gt;=AZ278*4^2,
IF(AW277&gt;=AZ278*4^3,
IF(AW277&gt;=AZ278*4^4,
IF(AW277&gt;=AZ278*4^5,
IF(AW277&gt;=AZ278*4^6,
IF(AW277&gt;=AZ278*4^7,
IF(AW277&gt;=AZ278*4^8,
IF(AW277&gt;=AZ278*4^9,
IF(AW277&gt;=AZ278*4^10,
9),
8),
7),
6),
5),
4),
3),
2),
1),
0))</f>
        <v>2</v>
      </c>
      <c r="BB277" s="38">
        <f>AZ277*AX277*4^BA277</f>
        <v>480</v>
      </c>
      <c r="BC277" s="38">
        <f>BB277*AU277</f>
        <v>480</v>
      </c>
      <c r="BD277" s="45">
        <f>ROUNDUP(IF(R277="Yes",AN277/(2^((BA277)*2)),AN277/(2^(BA277))),0)</f>
        <v>10</v>
      </c>
      <c r="BE277" s="45">
        <f>ROUNDUP(BD277/VLOOKUP(H277,'Machine List'!$A$2:$D$219,3,FALSE),0)</f>
        <v>10</v>
      </c>
      <c r="BF277" s="45">
        <f>ROUNDUP(BE277/AY277,0)</f>
        <v>10</v>
      </c>
      <c r="BG277" s="46">
        <f>BF277*BC277</f>
        <v>4800</v>
      </c>
    </row>
    <row r="278">
      <c r="A278" s="29"/>
      <c r="B278" s="40"/>
      <c r="C278" s="41" t="s">
        <v>230</v>
      </c>
      <c r="D278" s="38">
        <f>12000*I279</f>
        <v>12000</v>
      </c>
      <c r="E278" s="38" t="s">
        <v>106</v>
      </c>
      <c r="F278" s="42">
        <f>12000*I279</f>
        <v>12000</v>
      </c>
      <c r="G278" s="43"/>
      <c r="H278" s="99" t="s">
        <v>584</v>
      </c>
      <c r="I278" s="45">
        <f t="array" ref="I278">match(TRUE,ISBLANK(F278:F290),0)-1</f>
        <v>2</v>
      </c>
      <c r="J278" s="100" t="s">
        <v>420</v>
      </c>
      <c r="K278" s="100" t="s">
        <v>585</v>
      </c>
      <c r="L278" s="38"/>
      <c r="M278" s="38"/>
      <c r="N278" s="38"/>
      <c r="O278" s="38"/>
      <c r="P278" s="38"/>
      <c r="Q278" s="38"/>
      <c r="R278" s="101"/>
      <c r="S278" s="101"/>
      <c r="T278" s="101"/>
      <c r="U278" s="45"/>
      <c r="V278" s="45"/>
      <c r="W278" s="45"/>
      <c r="X278" s="45"/>
      <c r="Y278" s="45"/>
      <c r="Z278" s="45"/>
      <c r="AA278" s="45"/>
      <c r="AB278" s="45"/>
      <c r="AC278" s="45"/>
      <c r="AD278" s="45"/>
      <c r="AE278" s="79"/>
      <c r="AF278" s="45"/>
      <c r="AG278" s="45"/>
      <c r="AH278" s="45"/>
      <c r="AI278" s="45"/>
      <c r="AJ278" s="45"/>
      <c r="AK278" s="45"/>
      <c r="AL278" s="45"/>
      <c r="AM278" s="45"/>
      <c r="AN278" s="45"/>
      <c r="AO278" s="45"/>
      <c r="AP278" s="45"/>
      <c r="AQ278" s="45"/>
      <c r="AR278" s="79"/>
      <c r="AS278" s="45"/>
      <c r="AT278" s="45"/>
      <c r="AU278" s="45"/>
      <c r="AV278" s="45"/>
      <c r="AW278" s="45"/>
      <c r="AX278" s="45"/>
      <c r="AY278" s="45"/>
      <c r="AZ278" s="45">
        <f>AZ277*AX277</f>
        <v>30</v>
      </c>
      <c r="BA278" s="45"/>
      <c r="BB278" s="45"/>
      <c r="BC278" s="45"/>
      <c r="BD278" s="45"/>
      <c r="BE278" s="45"/>
      <c r="BF278" s="45"/>
      <c r="BG278" s="46"/>
    </row>
    <row r="279">
      <c r="A279" s="29"/>
      <c r="B279" s="40"/>
      <c r="C279" s="41" t="s">
        <v>87</v>
      </c>
      <c r="D279" s="38">
        <f>2000*I279</f>
        <v>2000</v>
      </c>
      <c r="E279" s="38" t="s">
        <v>88</v>
      </c>
      <c r="F279" s="42">
        <f>1000*I279</f>
        <v>1000</v>
      </c>
      <c r="G279" s="43"/>
      <c r="H279" s="56" t="s">
        <v>502</v>
      </c>
      <c r="I279" s="57">
        <v>1.0</v>
      </c>
      <c r="J279" s="100" t="s">
        <v>424</v>
      </c>
      <c r="K279" s="100">
        <v>0.0</v>
      </c>
      <c r="L279" s="45"/>
      <c r="M279" s="45"/>
      <c r="N279" s="45"/>
      <c r="O279" s="45"/>
      <c r="P279" s="45"/>
      <c r="Q279" s="45"/>
      <c r="R279" s="45"/>
      <c r="S279" s="101"/>
      <c r="T279" s="101"/>
      <c r="U279" s="45"/>
      <c r="V279" s="45"/>
      <c r="W279" s="45"/>
      <c r="X279" s="45"/>
      <c r="Y279" s="45"/>
      <c r="Z279" s="45"/>
      <c r="AA279" s="45"/>
      <c r="AB279" s="45"/>
      <c r="AC279" s="45"/>
      <c r="AD279" s="45"/>
      <c r="AE279" s="79"/>
      <c r="AF279" s="45"/>
      <c r="AG279" s="45"/>
      <c r="AH279" s="45"/>
      <c r="AI279" s="45"/>
      <c r="AJ279" s="45"/>
      <c r="AK279" s="45"/>
      <c r="AL279" s="45"/>
      <c r="AM279" s="45"/>
      <c r="AN279" s="45"/>
      <c r="AO279" s="45"/>
      <c r="AP279" s="45"/>
      <c r="AQ279" s="45"/>
      <c r="AR279" s="79"/>
      <c r="AS279" s="45"/>
      <c r="AT279" s="45"/>
      <c r="AU279" s="45"/>
      <c r="AV279" s="45"/>
      <c r="AW279" s="45"/>
      <c r="AX279" s="45"/>
      <c r="AY279" s="45"/>
      <c r="AZ279" s="45"/>
      <c r="BA279" s="45"/>
      <c r="BB279" s="45"/>
      <c r="BC279" s="45"/>
      <c r="BD279" s="45"/>
      <c r="BE279" s="45"/>
      <c r="BF279" s="45"/>
      <c r="BG279" s="46"/>
    </row>
    <row r="280">
      <c r="A280" s="29"/>
      <c r="B280" s="50"/>
      <c r="C280" s="51"/>
      <c r="D280" s="52"/>
      <c r="E280" s="52"/>
      <c r="F280" s="52"/>
      <c r="G280" s="43"/>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43"/>
      <c r="AF280" s="52"/>
      <c r="AG280" s="52"/>
      <c r="AH280" s="52"/>
      <c r="AI280" s="52"/>
      <c r="AJ280" s="52"/>
      <c r="AK280" s="52"/>
      <c r="AL280" s="52"/>
      <c r="AM280" s="52"/>
      <c r="AN280" s="52"/>
      <c r="AO280" s="52"/>
      <c r="AP280" s="52"/>
      <c r="AQ280" s="52"/>
      <c r="AR280" s="43"/>
      <c r="AS280" s="52"/>
      <c r="AT280" s="52"/>
      <c r="AU280" s="52"/>
      <c r="AV280" s="52"/>
      <c r="AW280" s="52"/>
      <c r="AX280" s="52"/>
      <c r="AY280" s="52"/>
      <c r="AZ280" s="52"/>
      <c r="BA280" s="52"/>
      <c r="BB280" s="52"/>
      <c r="BC280" s="52"/>
      <c r="BD280" s="52"/>
      <c r="BE280" s="52"/>
      <c r="BF280" s="52"/>
      <c r="BG280" s="53"/>
    </row>
    <row r="281">
      <c r="A281" s="29"/>
      <c r="B281" s="31" t="s">
        <v>611</v>
      </c>
      <c r="C281" s="54"/>
      <c r="D281" s="45"/>
      <c r="E281" s="45"/>
      <c r="F281" s="47"/>
      <c r="G281" s="35"/>
      <c r="H281" s="55" t="s">
        <v>349</v>
      </c>
      <c r="I281" s="38">
        <f>VLOOKUP(H281,'Machine List'!$A$1:$I$300,9,FALSE)</f>
        <v>4000</v>
      </c>
      <c r="J281" s="38">
        <f>IF(VLOOKUP(H281,'Machine List'!$A$1:$I$300,5,FALSE)="Multi",IF(VLOOKUP(H281,'Machine List'!$A$1:$I$300,6,FALSE)="Yes",AG281*3*10^Z281,AG281*(2*3)*10^(Z281-1)),0)</f>
        <v>6</v>
      </c>
      <c r="K281" s="38">
        <f>J281+IF(ISNUMBER(I281),I281,
  SWITCH(
      I281,
      "1T",1*10^Z281,
      "2T",2*10^Z281,
      "3T",3*10^Z281,
      "4T",4*10^Z281,
      "4000+500(7O-5)",4000+500*(7*I282-5),
      1
  )
)</f>
        <v>4006</v>
      </c>
      <c r="L281" s="38">
        <f>IF(VLOOKUP(H281,'Machine List'!$A$1:$I$300,5,FALSE)="Multi",IF(VLOOKUP(H281,'Machine List'!$A$1:$I$300,6,FALSE)="Yes",AU281*3*10^AT281,AU281*(2*3)*10^(AT281-1)),0)</f>
        <v>600</v>
      </c>
      <c r="M281" s="38">
        <f>L281+IF(ISNUMBER(I281),I281,
  SWITCH(
      I281,
      "1T",1*10^AT281,
      "2T",2*10^AT281,
      "3T",3*10^AT281,
      "4T",4*10^AT281,
      "4000+500(7O-5)",4000+500*(7*I282-5),
      1
  )
)</f>
        <v>4600</v>
      </c>
      <c r="N281" s="38" t="str">
        <f>VLOOKUP(H281,'Machine List'!$A$1:$I$300,8,FALSE)</f>
        <v>Tier</v>
      </c>
      <c r="O281" s="38">
        <f>IF(ISNUMBER(N281),N281,10^Z281)</f>
        <v>10</v>
      </c>
      <c r="P281" s="38">
        <f>IF(ISNUMBER(N281),N281,10^AT281)</f>
        <v>1000</v>
      </c>
      <c r="Q281" s="38">
        <f>VLOOKUP(H281,'Machine List'!$A$1:$B$138,2,FALSE)</f>
        <v>1</v>
      </c>
      <c r="R281" s="38" t="s">
        <v>594</v>
      </c>
      <c r="S281" s="45">
        <f>IF(ISNUMBER(Q281),Q281,
  SWITCH(
      Q281,
      "1",1,
      "2T",Z281*2,
      "4T",Z281*4,
      "6T",Z281*6,
      "8T",Z281*8,
      "10T",Z281*10,
      "12T",Z281*12,
      "14T",Z281*14,
      "16T",Z281*16,
      "2(T+1)",2*(Z281+1),
      "1T*C",Z281*J283,
      1
  )
)</f>
        <v>1</v>
      </c>
      <c r="T281" s="38" t="s">
        <v>277</v>
      </c>
      <c r="U281" s="38">
        <f>IF(OR(T281="No",T281=""),S281,T281)</f>
        <v>1</v>
      </c>
      <c r="V281" s="38">
        <f>IF(ISNUMBER(Q281),Q281,
  SWITCH(
      Q281,
      "1",1,
      "2T",AT281*2,
      "4T",AT281*4,
      "6T",AT281*6,
      "8T",AT281*8,
      "10T",AT281*10,
      "12T",AT281*12,
      "14T",AT281*14,
      "16T",AT281*16,
      "2(T+1)",2*(AT281+1),
      "1T*C",AT281*J283,
      1
  )
)</f>
        <v>1</v>
      </c>
      <c r="W281" s="38" t="str">
        <f>T281</f>
        <v>No</v>
      </c>
      <c r="X281" s="38">
        <f>IF(OR(W281="No",W281=""),V281,W281)</f>
        <v>1</v>
      </c>
      <c r="Y281" s="38" t="s">
        <v>390</v>
      </c>
      <c r="Z281" s="38">
        <f>VLOOKUP(Y281,'Item Helper Sheet'!$A$2:$B$16,2,FALSE)</f>
        <v>1</v>
      </c>
      <c r="AA281" s="38">
        <v>30.0</v>
      </c>
      <c r="AB281" s="38">
        <f>8*20</f>
        <v>160</v>
      </c>
      <c r="AC281" s="38">
        <f>AB281*I283</f>
        <v>160</v>
      </c>
      <c r="AD281" s="38">
        <f>AA281*AC281</f>
        <v>4800</v>
      </c>
      <c r="AE281" s="75"/>
      <c r="AF281" s="38" t="str">
        <f>Y281</f>
        <v>01 - LV</v>
      </c>
      <c r="AG281" s="38">
        <v>1.0</v>
      </c>
      <c r="AH281" s="38">
        <v>1.0</v>
      </c>
      <c r="AI281" s="38">
        <f>AH281*8*4^Z281</f>
        <v>32</v>
      </c>
      <c r="AJ281" s="38">
        <f>MIN(ROUNDDOWN(AI281/AL281,0),U281)</f>
        <v>1</v>
      </c>
      <c r="AK281" s="38">
        <f>IF(OR(T281="No",T281=""),AG281*S281,AG281*T281)</f>
        <v>1</v>
      </c>
      <c r="AL281" s="38">
        <f>ROUNDUP(AA281*VLOOKUP(H281,'Machine List'!$A$2:$D$219,4,FALSE),0)</f>
        <v>30</v>
      </c>
      <c r="AM281" s="38">
        <f>AL281*AK281</f>
        <v>30</v>
      </c>
      <c r="AN281" s="38">
        <f>ROUNDUP(AB281*I283,0)</f>
        <v>160</v>
      </c>
      <c r="AO281" s="38">
        <f>ROUNDUP(AN281/VLOOKUP(H281,'Machine List'!$A$2:$D$219,3,FALSE),0)</f>
        <v>160</v>
      </c>
      <c r="AP281" s="38">
        <f>ROUNDUP(AO281/AK281,0)</f>
        <v>160</v>
      </c>
      <c r="AQ281" s="38">
        <f>AM281*AP281</f>
        <v>4800</v>
      </c>
      <c r="AR281" s="75"/>
      <c r="AS281" s="38" t="s">
        <v>397</v>
      </c>
      <c r="AT281" s="38">
        <f>VLOOKUP(AS281,'Item Helper Sheet'!$A$2:$B$16,2,FALSE)</f>
        <v>3</v>
      </c>
      <c r="AU281" s="38">
        <f>AG281</f>
        <v>1</v>
      </c>
      <c r="AV281" s="38">
        <v>1.0</v>
      </c>
      <c r="AW281" s="38">
        <f>AV281*8*4^AT281</f>
        <v>512</v>
      </c>
      <c r="AX281" s="38">
        <f>MIN(ROUNDDOWN(AW281/AL281,0),X281)</f>
        <v>1</v>
      </c>
      <c r="AY281" s="38">
        <f>AX281*AU281</f>
        <v>1</v>
      </c>
      <c r="AZ281" s="38">
        <f>AL281</f>
        <v>30</v>
      </c>
      <c r="BA281" s="38">
        <f>MIN(AT281-Z281,IF(AW281&gt;=AZ282*4,
IF(AW281&gt;=AZ282*4^2,
IF(AW281&gt;=AZ282*4^3,
IF(AW281&gt;=AZ282*4^4,
IF(AW281&gt;=AZ282*4^5,
IF(AW281&gt;=AZ282*4^6,
IF(AW281&gt;=AZ282*4^7,
IF(AW281&gt;=AZ282*4^8,
IF(AW281&gt;=AZ282*4^9,
IF(AW281&gt;=AZ282*4^10,
9),
8),
7),
6),
5),
4),
3),
2),
1),
0))</f>
        <v>2</v>
      </c>
      <c r="BB281" s="38">
        <f>AZ281*AX281*4^BA281</f>
        <v>480</v>
      </c>
      <c r="BC281" s="38">
        <f>BB281*AU281</f>
        <v>480</v>
      </c>
      <c r="BD281" s="45">
        <f>ROUNDUP(IF(R281="Yes",AN281/(2^((BA281)*2)),AN281/(2^(BA281))),0)</f>
        <v>10</v>
      </c>
      <c r="BE281" s="45">
        <f>ROUNDUP(BD281/VLOOKUP(H281,'Machine List'!$A$2:$D$219,3,FALSE),0)</f>
        <v>10</v>
      </c>
      <c r="BF281" s="45">
        <f>ROUNDUP(BE281/AY281,0)</f>
        <v>10</v>
      </c>
      <c r="BG281" s="46">
        <f>BF281*BC281</f>
        <v>4800</v>
      </c>
    </row>
    <row r="282">
      <c r="A282" s="29"/>
      <c r="B282" s="40"/>
      <c r="C282" s="41" t="s">
        <v>229</v>
      </c>
      <c r="D282" s="38">
        <f>8000*I283</f>
        <v>8000</v>
      </c>
      <c r="E282" s="38" t="s">
        <v>81</v>
      </c>
      <c r="F282" s="42">
        <f>8000*I283</f>
        <v>8000</v>
      </c>
      <c r="G282" s="43"/>
      <c r="H282" s="99" t="s">
        <v>584</v>
      </c>
      <c r="I282" s="45">
        <f t="array" ref="I282">match(TRUE,ISBLANK(F282:F294),0)-1</f>
        <v>2</v>
      </c>
      <c r="J282" s="100" t="s">
        <v>420</v>
      </c>
      <c r="K282" s="100" t="s">
        <v>585</v>
      </c>
      <c r="L282" s="38"/>
      <c r="M282" s="38"/>
      <c r="N282" s="38"/>
      <c r="O282" s="38"/>
      <c r="P282" s="38"/>
      <c r="Q282" s="38"/>
      <c r="R282" s="101"/>
      <c r="S282" s="101"/>
      <c r="T282" s="101"/>
      <c r="U282" s="45"/>
      <c r="V282" s="45"/>
      <c r="W282" s="45"/>
      <c r="X282" s="45"/>
      <c r="Y282" s="45"/>
      <c r="Z282" s="45"/>
      <c r="AA282" s="45"/>
      <c r="AB282" s="45"/>
      <c r="AC282" s="45"/>
      <c r="AD282" s="45"/>
      <c r="AE282" s="79"/>
      <c r="AF282" s="45"/>
      <c r="AG282" s="45"/>
      <c r="AH282" s="45"/>
      <c r="AI282" s="45"/>
      <c r="AJ282" s="45"/>
      <c r="AK282" s="45"/>
      <c r="AL282" s="45"/>
      <c r="AM282" s="45"/>
      <c r="AN282" s="45"/>
      <c r="AO282" s="45"/>
      <c r="AP282" s="45"/>
      <c r="AQ282" s="45"/>
      <c r="AR282" s="79"/>
      <c r="AS282" s="45"/>
      <c r="AT282" s="45"/>
      <c r="AU282" s="45"/>
      <c r="AV282" s="45"/>
      <c r="AW282" s="45"/>
      <c r="AX282" s="45"/>
      <c r="AY282" s="45"/>
      <c r="AZ282" s="45">
        <f>AZ281*AX281</f>
        <v>30</v>
      </c>
      <c r="BA282" s="45"/>
      <c r="BB282" s="45"/>
      <c r="BC282" s="45"/>
      <c r="BD282" s="45"/>
      <c r="BE282" s="45"/>
      <c r="BF282" s="45"/>
      <c r="BG282" s="46"/>
    </row>
    <row r="283">
      <c r="A283" s="29"/>
      <c r="B283" s="40"/>
      <c r="C283" s="41" t="s">
        <v>87</v>
      </c>
      <c r="D283" s="38">
        <f>2000*I283</f>
        <v>2000</v>
      </c>
      <c r="E283" s="38" t="s">
        <v>88</v>
      </c>
      <c r="F283" s="42">
        <f>1000*I283</f>
        <v>1000</v>
      </c>
      <c r="G283" s="43"/>
      <c r="H283" s="56" t="s">
        <v>502</v>
      </c>
      <c r="I283" s="57">
        <v>1.0</v>
      </c>
      <c r="J283" s="100" t="s">
        <v>424</v>
      </c>
      <c r="K283" s="100">
        <v>0.0</v>
      </c>
      <c r="L283" s="45"/>
      <c r="M283" s="45"/>
      <c r="N283" s="45"/>
      <c r="O283" s="45"/>
      <c r="P283" s="45"/>
      <c r="Q283" s="45"/>
      <c r="R283" s="45"/>
      <c r="S283" s="101"/>
      <c r="T283" s="101"/>
      <c r="U283" s="45"/>
      <c r="V283" s="45"/>
      <c r="W283" s="45"/>
      <c r="X283" s="45"/>
      <c r="Y283" s="45"/>
      <c r="Z283" s="45"/>
      <c r="AA283" s="45"/>
      <c r="AB283" s="45"/>
      <c r="AC283" s="45"/>
      <c r="AD283" s="45"/>
      <c r="AE283" s="79"/>
      <c r="AF283" s="45"/>
      <c r="AG283" s="45"/>
      <c r="AH283" s="45"/>
      <c r="AI283" s="45"/>
      <c r="AJ283" s="45"/>
      <c r="AK283" s="45"/>
      <c r="AL283" s="45"/>
      <c r="AM283" s="45"/>
      <c r="AN283" s="45"/>
      <c r="AO283" s="45"/>
      <c r="AP283" s="45"/>
      <c r="AQ283" s="45"/>
      <c r="AR283" s="79"/>
      <c r="AS283" s="45"/>
      <c r="AT283" s="45"/>
      <c r="AU283" s="45"/>
      <c r="AV283" s="45"/>
      <c r="AW283" s="45"/>
      <c r="AX283" s="45"/>
      <c r="AY283" s="45"/>
      <c r="AZ283" s="45"/>
      <c r="BA283" s="45"/>
      <c r="BB283" s="45"/>
      <c r="BC283" s="45"/>
      <c r="BD283" s="45"/>
      <c r="BE283" s="45"/>
      <c r="BF283" s="45"/>
      <c r="BG283" s="46"/>
    </row>
    <row r="284">
      <c r="B284" s="50"/>
      <c r="C284" s="51"/>
      <c r="D284" s="52"/>
      <c r="E284" s="52"/>
      <c r="F284" s="52"/>
      <c r="G284" s="43"/>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43"/>
      <c r="AF284" s="52"/>
      <c r="AG284" s="52"/>
      <c r="AH284" s="52"/>
      <c r="AI284" s="52"/>
      <c r="AJ284" s="52"/>
      <c r="AK284" s="52"/>
      <c r="AL284" s="52"/>
      <c r="AM284" s="52"/>
      <c r="AN284" s="52"/>
      <c r="AO284" s="52"/>
      <c r="AP284" s="52"/>
      <c r="AQ284" s="52"/>
      <c r="AR284" s="43"/>
      <c r="AS284" s="52"/>
      <c r="AT284" s="52"/>
      <c r="AU284" s="52"/>
      <c r="AV284" s="52"/>
      <c r="AW284" s="52"/>
      <c r="AX284" s="52"/>
      <c r="AY284" s="52"/>
      <c r="AZ284" s="52"/>
      <c r="BA284" s="52"/>
      <c r="BB284" s="52"/>
      <c r="BC284" s="52"/>
      <c r="BD284" s="52"/>
      <c r="BE284" s="52"/>
      <c r="BF284" s="52"/>
      <c r="BG284" s="53"/>
    </row>
    <row r="285">
      <c r="B285" s="31" t="s">
        <v>658</v>
      </c>
      <c r="C285" s="54"/>
      <c r="D285" s="45"/>
      <c r="E285" s="45"/>
      <c r="F285" s="47"/>
      <c r="G285" s="35"/>
      <c r="H285" s="55" t="s">
        <v>357</v>
      </c>
      <c r="I285" s="38" t="str">
        <f>VLOOKUP(H285,'Machine List'!$A$1:$I$300,9,FALSE)</f>
        <v>13500 + 16C</v>
      </c>
      <c r="J285" s="38">
        <f>IF(VLOOKUP(H285,'Machine List'!$A$1:$I$300,5,FALSE)="Multi",IF(VLOOKUP(H285,'Machine List'!$A$1:$I$300,6,FALSE)="Yes",AG285*3*10^Z285,AG285*(2*3)*10^(Z285-1)),0)</f>
        <v>6</v>
      </c>
      <c r="K285" s="38">
        <f>J285+IF(ISNUMBER(I285),I285,
  SWITCH(
      I285,
      "1T",1*10^Z285,
      "2T",2*10^Z285,
      "3T",3*10^Z285,
      "4T",4*10^Z285,
      "4000+500(7O-5)",4000+500*(7*I286-5),
      1
  )
)</f>
        <v>7</v>
      </c>
      <c r="L285" s="38">
        <f>IF(VLOOKUP(H285,'Machine List'!$A$1:$I$300,5,FALSE)="Multi",IF(VLOOKUP(H285,'Machine List'!$A$1:$I$300,6,FALSE)="Yes",AU285*3*10^AT285,AU285*(2*3)*10^(AT285-1)),0)</f>
        <v>600</v>
      </c>
      <c r="M285" s="38">
        <f>L285+IF(ISNUMBER(I285),I285,
  SWITCH(
      I285,
      "1T",1*10^AT285,
      "2T",2*10^AT285,
      "3T",3*10^AT285,
      "4T",4*10^AT285,
      "4000+500(7O-5)",4000+500*(7*I286-5),
      1
  )
)</f>
        <v>601</v>
      </c>
      <c r="N285" s="38" t="str">
        <f>VLOOKUP(H285,'Machine List'!$A$1:$I$300,8,FALSE)</f>
        <v>Tier</v>
      </c>
      <c r="O285" s="38">
        <f>IF(ISNUMBER(N285),N285,10^Z285)</f>
        <v>10</v>
      </c>
      <c r="P285" s="38">
        <f>IF(ISNUMBER(N285),N285,10^AT285)</f>
        <v>1000</v>
      </c>
      <c r="Q285" s="38">
        <f>VLOOKUP(H285,'Machine List'!$A$1:$B$138,2,FALSE)</f>
        <v>1</v>
      </c>
      <c r="R285" s="38" t="s">
        <v>277</v>
      </c>
      <c r="S285" s="45">
        <f>IF(ISNUMBER(Q285),Q285,
  SWITCH(
      Q285,
      "1",1,
      "2T",Z285*2,
      "4T",Z285*4,
      "6T",Z285*6,
      "8T",Z285*8,
      "10T",Z285*10,
      "12T",Z285*12,
      "14T",Z285*14,
      "16T",Z285*16,
      "2(T+1)",2*(Z285+1),
      "1T*C",Z285*J287,
      1
  )
)</f>
        <v>1</v>
      </c>
      <c r="T285" s="38" t="s">
        <v>277</v>
      </c>
      <c r="U285" s="38">
        <f>IF(OR(T285="No",T285=""),S285,T285)</f>
        <v>1</v>
      </c>
      <c r="V285" s="38">
        <f>IF(ISNUMBER(Q285),Q285,
  SWITCH(
      Q285,
      "1",1,
      "2T",AT285*2,
      "4T",AT285*4,
      "6T",AT285*6,
      "8T",AT285*8,
      "10T",AT285*10,
      "12T",AT285*12,
      "14T",AT285*14,
      "16T",AT285*16,
      "2(T+1)",2*(AT285+1),
      "1T*C",AT285*J287,
      1
  )
)</f>
        <v>1</v>
      </c>
      <c r="W285" s="38" t="str">
        <f>T285</f>
        <v>No</v>
      </c>
      <c r="X285" s="38">
        <f>IF(OR(W285="No",W285=""),V285,W285)</f>
        <v>1</v>
      </c>
      <c r="Y285" s="38" t="s">
        <v>390</v>
      </c>
      <c r="Z285" s="38">
        <f>VLOOKUP(Y285,'Item Helper Sheet'!$A$2:$B$16,2,FALSE)</f>
        <v>1</v>
      </c>
      <c r="AA285" s="38">
        <v>240.0</v>
      </c>
      <c r="AB285" s="38">
        <f>1*20</f>
        <v>20</v>
      </c>
      <c r="AC285" s="38">
        <f>AB285*I287</f>
        <v>20</v>
      </c>
      <c r="AD285" s="38">
        <f>AA285*AC285</f>
        <v>4800</v>
      </c>
      <c r="AE285" s="75"/>
      <c r="AF285" s="38" t="str">
        <f>Y285</f>
        <v>01 - LV</v>
      </c>
      <c r="AG285" s="38">
        <v>1.0</v>
      </c>
      <c r="AH285" s="38">
        <v>1.0</v>
      </c>
      <c r="AI285" s="38">
        <f>AH285*8*4^Z285</f>
        <v>32</v>
      </c>
      <c r="AJ285" s="38">
        <f>MIN(ROUNDDOWN(AI285/AL285,0),U285)</f>
        <v>0</v>
      </c>
      <c r="AK285" s="38">
        <f>IF(OR(T285="No",T285=""),AG285*S285,AG285*T285)</f>
        <v>1</v>
      </c>
      <c r="AL285" s="38">
        <f>ROUNDUP(AA285*VLOOKUP(H285,'Machine List'!$A$2:$D$219,4,FALSE),0)</f>
        <v>240</v>
      </c>
      <c r="AM285" s="38">
        <f>AL285*AK285</f>
        <v>240</v>
      </c>
      <c r="AN285" s="38">
        <f>ROUNDUP(AB285*I287,0)</f>
        <v>20</v>
      </c>
      <c r="AO285" s="38">
        <f>ROUNDUP(AN285/VLOOKUP(H285,'Machine List'!$A$2:$D$219,3,FALSE),0)</f>
        <v>20</v>
      </c>
      <c r="AP285" s="38">
        <f>ROUNDUP(AO285/AK285,0)</f>
        <v>20</v>
      </c>
      <c r="AQ285" s="38">
        <f>AM285*AP285</f>
        <v>4800</v>
      </c>
      <c r="AR285" s="75"/>
      <c r="AS285" s="38" t="s">
        <v>397</v>
      </c>
      <c r="AT285" s="38">
        <f>VLOOKUP(AS285,'Item Helper Sheet'!$A$2:$B$16,2,FALSE)</f>
        <v>3</v>
      </c>
      <c r="AU285" s="38">
        <f>AG285</f>
        <v>1</v>
      </c>
      <c r="AV285" s="38">
        <v>1.0</v>
      </c>
      <c r="AW285" s="38">
        <f>AV285*8*4^AT285</f>
        <v>512</v>
      </c>
      <c r="AX285" s="38">
        <f>MIN(ROUNDDOWN(AW285/AL285,0),X285)</f>
        <v>1</v>
      </c>
      <c r="AY285" s="38">
        <f>AX285*AU285</f>
        <v>1</v>
      </c>
      <c r="AZ285" s="38">
        <f>AL285</f>
        <v>240</v>
      </c>
      <c r="BA285" s="38">
        <f>MIN(AT285-Z285,IF(AW285&gt;=AZ286*4,
IF(AW285&gt;=AZ286*4^2,
IF(AW285&gt;=AZ286*4^3,
IF(AW285&gt;=AZ286*4^4,
IF(AW285&gt;=AZ286*4^5,
IF(AW285&gt;=AZ286*4^6,
IF(AW285&gt;=AZ286*4^7,
IF(AW285&gt;=AZ286*4^8,
IF(AW285&gt;=AZ286*4^9,
IF(AW285&gt;=AZ286*4^10,
9),
8),
7),
6),
5),
4),
3),
2),
1),
0))</f>
        <v>0</v>
      </c>
      <c r="BB285" s="38">
        <f>AZ285*AX285*4^BA285</f>
        <v>240</v>
      </c>
      <c r="BC285" s="38">
        <f>BB285*AU285</f>
        <v>240</v>
      </c>
      <c r="BD285" s="45">
        <f>ROUNDUP(IF(R285="Yes",AN285/(2^((BA285)*2)),AN285/(2^(BA285))),0)</f>
        <v>20</v>
      </c>
      <c r="BE285" s="45">
        <f>ROUNDUP(BD285/VLOOKUP(H285,'Machine List'!$A$2:$D$219,3,FALSE),0)</f>
        <v>20</v>
      </c>
      <c r="BF285" s="45">
        <f>ROUNDUP(BE285/AY285,0)</f>
        <v>20</v>
      </c>
      <c r="BG285" s="46">
        <f>BF285*BC285</f>
        <v>4800</v>
      </c>
    </row>
    <row r="286">
      <c r="B286" s="40"/>
      <c r="C286" s="41" t="s">
        <v>106</v>
      </c>
      <c r="D286" s="38">
        <f>1000*I287</f>
        <v>1000</v>
      </c>
      <c r="E286" s="38" t="s">
        <v>104</v>
      </c>
      <c r="F286" s="42">
        <f>1000*I287</f>
        <v>1000</v>
      </c>
      <c r="G286" s="43"/>
      <c r="H286" s="99" t="s">
        <v>584</v>
      </c>
      <c r="I286" s="45">
        <f t="array" ref="I286">match(TRUE,ISBLANK(F286:F298),0)-1</f>
        <v>1</v>
      </c>
      <c r="J286" s="100" t="s">
        <v>420</v>
      </c>
      <c r="K286" s="100" t="s">
        <v>585</v>
      </c>
      <c r="L286" s="38"/>
      <c r="M286" s="38"/>
      <c r="N286" s="38"/>
      <c r="O286" s="38"/>
      <c r="P286" s="38"/>
      <c r="Q286" s="38"/>
      <c r="R286" s="101"/>
      <c r="S286" s="101"/>
      <c r="T286" s="101"/>
      <c r="U286" s="45"/>
      <c r="V286" s="45"/>
      <c r="W286" s="45"/>
      <c r="X286" s="45"/>
      <c r="Y286" s="45"/>
      <c r="Z286" s="45"/>
      <c r="AA286" s="45"/>
      <c r="AB286" s="45"/>
      <c r="AC286" s="45"/>
      <c r="AD286" s="45"/>
      <c r="AE286" s="79"/>
      <c r="AF286" s="45"/>
      <c r="AG286" s="45"/>
      <c r="AH286" s="45"/>
      <c r="AI286" s="45"/>
      <c r="AJ286" s="45"/>
      <c r="AK286" s="45"/>
      <c r="AL286" s="45"/>
      <c r="AM286" s="45"/>
      <c r="AN286" s="45"/>
      <c r="AO286" s="45"/>
      <c r="AP286" s="45"/>
      <c r="AQ286" s="45"/>
      <c r="AR286" s="79"/>
      <c r="AS286" s="45"/>
      <c r="AT286" s="45"/>
      <c r="AU286" s="45"/>
      <c r="AV286" s="45"/>
      <c r="AW286" s="45"/>
      <c r="AX286" s="45"/>
      <c r="AY286" s="45"/>
      <c r="AZ286" s="45">
        <f>AZ285*AX285</f>
        <v>240</v>
      </c>
      <c r="BA286" s="45"/>
      <c r="BB286" s="45"/>
      <c r="BC286" s="45"/>
      <c r="BD286" s="45"/>
      <c r="BE286" s="45"/>
      <c r="BF286" s="45"/>
      <c r="BG286" s="46"/>
    </row>
    <row r="287">
      <c r="B287" s="40"/>
      <c r="C287" s="41" t="s">
        <v>87</v>
      </c>
      <c r="D287" s="38">
        <f>1600*I287</f>
        <v>1600</v>
      </c>
      <c r="E287" s="38"/>
      <c r="F287" s="42"/>
      <c r="G287" s="43"/>
      <c r="H287" s="56" t="s">
        <v>502</v>
      </c>
      <c r="I287" s="57">
        <v>1.0</v>
      </c>
      <c r="J287" s="100" t="s">
        <v>427</v>
      </c>
      <c r="K287" s="100">
        <v>0.0</v>
      </c>
      <c r="L287" s="45"/>
      <c r="M287" s="45"/>
      <c r="N287" s="45"/>
      <c r="O287" s="45"/>
      <c r="P287" s="45"/>
      <c r="Q287" s="45"/>
      <c r="R287" s="45"/>
      <c r="S287" s="101"/>
      <c r="T287" s="101"/>
      <c r="U287" s="45"/>
      <c r="V287" s="45"/>
      <c r="W287" s="45"/>
      <c r="X287" s="45"/>
      <c r="Y287" s="45"/>
      <c r="Z287" s="45"/>
      <c r="AA287" s="45"/>
      <c r="AB287" s="45"/>
      <c r="AC287" s="45"/>
      <c r="AD287" s="45"/>
      <c r="AE287" s="79"/>
      <c r="AF287" s="45"/>
      <c r="AG287" s="45"/>
      <c r="AH287" s="45"/>
      <c r="AI287" s="45"/>
      <c r="AJ287" s="45"/>
      <c r="AK287" s="45"/>
      <c r="AL287" s="45"/>
      <c r="AM287" s="45"/>
      <c r="AN287" s="45"/>
      <c r="AO287" s="45"/>
      <c r="AP287" s="45"/>
      <c r="AQ287" s="45"/>
      <c r="AR287" s="79"/>
      <c r="AS287" s="45"/>
      <c r="AT287" s="45"/>
      <c r="AU287" s="45"/>
      <c r="AV287" s="45"/>
      <c r="AW287" s="45"/>
      <c r="AX287" s="45"/>
      <c r="AY287" s="45"/>
      <c r="AZ287" s="45"/>
      <c r="BA287" s="45"/>
      <c r="BB287" s="45"/>
      <c r="BC287" s="45"/>
      <c r="BD287" s="45"/>
      <c r="BE287" s="45"/>
      <c r="BF287" s="45"/>
      <c r="BG287" s="46"/>
    </row>
    <row r="288">
      <c r="B288" s="50"/>
      <c r="C288" s="51"/>
      <c r="D288" s="52"/>
      <c r="E288" s="52"/>
      <c r="F288" s="52"/>
      <c r="G288" s="43"/>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43"/>
      <c r="AF288" s="52"/>
      <c r="AG288" s="52"/>
      <c r="AH288" s="52"/>
      <c r="AI288" s="52"/>
      <c r="AJ288" s="52"/>
      <c r="AK288" s="52"/>
      <c r="AL288" s="52"/>
      <c r="AM288" s="52"/>
      <c r="AN288" s="52"/>
      <c r="AO288" s="52"/>
      <c r="AP288" s="52"/>
      <c r="AQ288" s="52"/>
      <c r="AR288" s="43"/>
      <c r="AS288" s="52"/>
      <c r="AT288" s="52"/>
      <c r="AU288" s="52"/>
      <c r="AV288" s="52"/>
      <c r="AW288" s="52"/>
      <c r="AX288" s="52"/>
      <c r="AY288" s="52"/>
      <c r="AZ288" s="52"/>
      <c r="BA288" s="52"/>
      <c r="BB288" s="52"/>
      <c r="BC288" s="52"/>
      <c r="BD288" s="52"/>
      <c r="BE288" s="52"/>
      <c r="BF288" s="52"/>
      <c r="BG288" s="53"/>
    </row>
    <row r="289">
      <c r="B289" s="31" t="s">
        <v>659</v>
      </c>
      <c r="C289" s="54"/>
      <c r="D289" s="45"/>
      <c r="E289" s="45"/>
      <c r="F289" s="47"/>
      <c r="G289" s="35"/>
      <c r="H289" s="55" t="s">
        <v>298</v>
      </c>
      <c r="I289" s="38" t="str">
        <f>VLOOKUP(H289,'Machine List'!$A$1:$I$300,9,FALSE)</f>
        <v>4000+500(7O-5)</v>
      </c>
      <c r="J289" s="38">
        <f>IF(VLOOKUP(H289,'Machine List'!$A$1:$I$300,5,FALSE)="Multi",IF(VLOOKUP(H289,'Machine List'!$A$1:$I$300,6,FALSE)="Yes",AG289*3*10^Z289,AG289*(2*3)*10^(Z289-1)),0)</f>
        <v>6</v>
      </c>
      <c r="K289" s="38">
        <f>J289+IF(ISNUMBER(I289),I289,
  SWITCH(
      I289,
      "1T",1*10^Z289,
      "2T",2*10^Z289,
      "3T",3*10^Z289,
      "4T",4*10^Z289,
      "4000+500(7O-5)",4000+500*(7*I290-5),
      1
  )
)</f>
        <v>22506</v>
      </c>
      <c r="L289" s="38">
        <f>IF(VLOOKUP(H289,'Machine List'!$A$1:$I$300,5,FALSE)="Multi",IF(VLOOKUP(H289,'Machine List'!$A$1:$I$300,6,FALSE)="Yes",AU289*3*10^AT289,AU289*(2*3)*10^(AT289-1)),0)</f>
        <v>12000</v>
      </c>
      <c r="M289" s="38">
        <f>L289+IF(ISNUMBER(I289),I289,
  SWITCH(
      I289,
      "1T",1*10^AT289,
      "2T",2*10^AT289,
      "3T",3*10^AT289,
      "4T",4*10^AT289,
      "4000+500(7O-5)",4000+500*(7*I290-5),
      1
  )
)</f>
        <v>34500</v>
      </c>
      <c r="N289" s="38" t="str">
        <f>VLOOKUP(H289,'Machine List'!$A$1:$I$300,8,FALSE)</f>
        <v>Tier</v>
      </c>
      <c r="O289" s="38">
        <f>IF(ISNUMBER(N289),N289,10^Z289)</f>
        <v>10</v>
      </c>
      <c r="P289" s="38">
        <f>IF(ISNUMBER(N289),N289,10^AT289)</f>
        <v>10000</v>
      </c>
      <c r="Q289" s="38">
        <f>VLOOKUP(H289,'Machine List'!$A$1:$B$138,2,FALSE)</f>
        <v>1</v>
      </c>
      <c r="R289" s="38" t="s">
        <v>277</v>
      </c>
      <c r="S289" s="45">
        <f>IF(ISNUMBER(Q289),Q289,
  SWITCH(
      Q289,
      "1",1,
      "2T",Z289*2,
      "4T",Z289*4,
      "6T",Z289*6,
      "8T",Z289*8,
      "10T",Z289*10,
      "12T",Z289*12,
      "14T",Z289*14,
      "16T",Z289*16,
      "2(T+1)",2*(Z289+1),
      "1T*C",Z289*J291,
      1
  )
)</f>
        <v>1</v>
      </c>
      <c r="T289" s="38" t="s">
        <v>277</v>
      </c>
      <c r="U289" s="38">
        <f>IF(OR(T289="No",T289=""),S289,T289)</f>
        <v>1</v>
      </c>
      <c r="V289" s="38">
        <f>IF(ISNUMBER(Q289),Q289,
  SWITCH(
      Q289,
      "1",1,
      "2T",AT289*2,
      "4T",AT289*4,
      "6T",AT289*6,
      "8T",AT289*8,
      "10T",AT289*10,
      "12T",AT289*12,
      "14T",AT289*14,
      "16T",AT289*16,
      "2(T+1)",2*(AT289+1),
      "1T*C",AT289*J291,
      1
  )
)</f>
        <v>1</v>
      </c>
      <c r="W289" s="38" t="str">
        <f>T289</f>
        <v>No</v>
      </c>
      <c r="X289" s="38">
        <f>IF(OR(W289="No",W289=""),V289,W289)</f>
        <v>1</v>
      </c>
      <c r="Y289" s="38" t="s">
        <v>390</v>
      </c>
      <c r="Z289" s="38">
        <f>VLOOKUP(Y289,'Item Helper Sheet'!$A$2:$B$16,2,FALSE)</f>
        <v>1</v>
      </c>
      <c r="AA289" s="38">
        <v>120.0</v>
      </c>
      <c r="AB289" s="38">
        <f>6*20</f>
        <v>120</v>
      </c>
      <c r="AC289" s="38">
        <f>AB289*I291</f>
        <v>120</v>
      </c>
      <c r="AD289" s="38">
        <f>AA289*AC289</f>
        <v>14400</v>
      </c>
      <c r="AE289" s="75"/>
      <c r="AF289" s="38" t="str">
        <f>Y289</f>
        <v>01 - LV</v>
      </c>
      <c r="AG289" s="38">
        <v>1.0</v>
      </c>
      <c r="AH289" s="38">
        <v>1.0</v>
      </c>
      <c r="AI289" s="38">
        <f>AH289*8*4^Z289</f>
        <v>32</v>
      </c>
      <c r="AJ289" s="38">
        <f>MIN(ROUNDDOWN(AI289/AL289,0),U289)</f>
        <v>0</v>
      </c>
      <c r="AK289" s="38">
        <f>IF(OR(T289="No",T289=""),AG289*S289,AG289*T289)</f>
        <v>1</v>
      </c>
      <c r="AL289" s="38">
        <f>ROUNDUP(AA289*VLOOKUP(H289,'Machine List'!$A$2:$D$219,4,FALSE),0)</f>
        <v>120</v>
      </c>
      <c r="AM289" s="38">
        <f>AL289*AK289</f>
        <v>120</v>
      </c>
      <c r="AN289" s="38">
        <f>ROUNDUP(AB289*I291,0)</f>
        <v>120</v>
      </c>
      <c r="AO289" s="38">
        <f>ROUNDUP(AN289/VLOOKUP(H289,'Machine List'!$A$2:$D$219,3,FALSE),0)</f>
        <v>120</v>
      </c>
      <c r="AP289" s="38">
        <f>ROUNDUP(AO289/AK289,0)</f>
        <v>120</v>
      </c>
      <c r="AQ289" s="38">
        <f>AM289*AP289</f>
        <v>14400</v>
      </c>
      <c r="AR289" s="75"/>
      <c r="AS289" s="38" t="s">
        <v>401</v>
      </c>
      <c r="AT289" s="38">
        <f>VLOOKUP(AS289,'Item Helper Sheet'!$A$2:$B$16,2,FALSE)</f>
        <v>4</v>
      </c>
      <c r="AU289" s="38">
        <v>2.0</v>
      </c>
      <c r="AV289" s="38">
        <v>1.0</v>
      </c>
      <c r="AW289" s="38">
        <f>AV289*8*4^AT289</f>
        <v>2048</v>
      </c>
      <c r="AX289" s="38">
        <f>MIN(ROUNDDOWN(AW289/AL289,0),X289)</f>
        <v>1</v>
      </c>
      <c r="AY289" s="38">
        <f>AX289*AU289</f>
        <v>2</v>
      </c>
      <c r="AZ289" s="38">
        <f>AL289</f>
        <v>120</v>
      </c>
      <c r="BA289" s="38">
        <f>MIN(AT289-Z289,IF(AW289&gt;=AZ290*4,
IF(AW289&gt;=AZ290*4^2,
IF(AW289&gt;=AZ290*4^3,
IF(AW289&gt;=AZ290*4^4,
IF(AW289&gt;=AZ290*4^5,
IF(AW289&gt;=AZ290*4^6,
IF(AW289&gt;=AZ290*4^7,
IF(AW289&gt;=AZ290*4^8,
IF(AW289&gt;=AZ290*4^9,
IF(AW289&gt;=AZ290*4^10,
9),
8),
7),
6),
5),
4),
3),
2),
1),
0))</f>
        <v>2</v>
      </c>
      <c r="BB289" s="38">
        <f>AZ289*AX289*4^BA289</f>
        <v>1920</v>
      </c>
      <c r="BC289" s="38">
        <f>BB289*AU289</f>
        <v>3840</v>
      </c>
      <c r="BD289" s="45">
        <f>ROUNDUP(IF(R289="Yes",AN289/(2^((BA289)*2)),AN289/(2^(BA289))),0)</f>
        <v>30</v>
      </c>
      <c r="BE289" s="45">
        <f>ROUNDUP(BD289/VLOOKUP(H289,'Machine List'!$A$2:$D$219,3,FALSE),0)</f>
        <v>30</v>
      </c>
      <c r="BF289" s="45">
        <f>ROUNDUP(BE289/AY289,0)</f>
        <v>15</v>
      </c>
      <c r="BG289" s="46">
        <f>BF289*BC289</f>
        <v>57600</v>
      </c>
    </row>
    <row r="290">
      <c r="B290" s="40"/>
      <c r="C290" s="41" t="s">
        <v>104</v>
      </c>
      <c r="D290" s="38">
        <f>1000*I291</f>
        <v>1000</v>
      </c>
      <c r="E290" s="38" t="s">
        <v>118</v>
      </c>
      <c r="F290" s="42">
        <f>125*I291</f>
        <v>125</v>
      </c>
      <c r="G290" s="43"/>
      <c r="H290" s="99" t="s">
        <v>584</v>
      </c>
      <c r="I290" s="45">
        <f t="array" ref="I290">match(TRUE,ISBLANK(F290:F302),0)-1</f>
        <v>6</v>
      </c>
      <c r="J290" s="100" t="s">
        <v>420</v>
      </c>
      <c r="K290" s="100" t="s">
        <v>585</v>
      </c>
      <c r="L290" s="38"/>
      <c r="M290" s="38"/>
      <c r="N290" s="38"/>
      <c r="O290" s="38"/>
      <c r="P290" s="38"/>
      <c r="Q290" s="38"/>
      <c r="R290" s="101"/>
      <c r="S290" s="101"/>
      <c r="T290" s="101"/>
      <c r="U290" s="45"/>
      <c r="V290" s="45"/>
      <c r="W290" s="45"/>
      <c r="X290" s="45"/>
      <c r="Y290" s="45"/>
      <c r="Z290" s="45"/>
      <c r="AA290" s="45"/>
      <c r="AB290" s="45"/>
      <c r="AC290" s="45"/>
      <c r="AD290" s="45"/>
      <c r="AE290" s="79"/>
      <c r="AF290" s="45"/>
      <c r="AG290" s="45"/>
      <c r="AH290" s="45"/>
      <c r="AI290" s="45"/>
      <c r="AJ290" s="45"/>
      <c r="AK290" s="45"/>
      <c r="AL290" s="45"/>
      <c r="AM290" s="45"/>
      <c r="AN290" s="45"/>
      <c r="AO290" s="45"/>
      <c r="AP290" s="45"/>
      <c r="AQ290" s="45"/>
      <c r="AR290" s="79"/>
      <c r="AS290" s="45"/>
      <c r="AT290" s="45"/>
      <c r="AU290" s="45"/>
      <c r="AV290" s="45"/>
      <c r="AW290" s="45"/>
      <c r="AX290" s="45"/>
      <c r="AY290" s="45"/>
      <c r="AZ290" s="45">
        <f>AZ289*AX289</f>
        <v>120</v>
      </c>
      <c r="BA290" s="45"/>
      <c r="BB290" s="45"/>
      <c r="BC290" s="45"/>
      <c r="BD290" s="45"/>
      <c r="BE290" s="45"/>
      <c r="BF290" s="45"/>
      <c r="BG290" s="46"/>
    </row>
    <row r="291">
      <c r="B291" s="40"/>
      <c r="C291" s="41"/>
      <c r="D291" s="38"/>
      <c r="E291" s="38" t="s">
        <v>61</v>
      </c>
      <c r="F291" s="42">
        <f>150*I291</f>
        <v>150</v>
      </c>
      <c r="G291" s="43"/>
      <c r="H291" s="56" t="s">
        <v>502</v>
      </c>
      <c r="I291" s="57">
        <v>1.0</v>
      </c>
      <c r="J291" s="100" t="s">
        <v>424</v>
      </c>
      <c r="K291" s="100">
        <v>0.0</v>
      </c>
      <c r="L291" s="45"/>
      <c r="M291" s="45"/>
      <c r="N291" s="45"/>
      <c r="O291" s="45"/>
      <c r="P291" s="45"/>
      <c r="Q291" s="45"/>
      <c r="R291" s="45"/>
      <c r="S291" s="101"/>
      <c r="T291" s="101"/>
      <c r="U291" s="45"/>
      <c r="V291" s="45"/>
      <c r="W291" s="45"/>
      <c r="X291" s="45"/>
      <c r="Y291" s="45"/>
      <c r="Z291" s="45"/>
      <c r="AA291" s="45"/>
      <c r="AB291" s="45"/>
      <c r="AC291" s="45"/>
      <c r="AD291" s="45"/>
      <c r="AE291" s="79"/>
      <c r="AF291" s="45"/>
      <c r="AG291" s="45"/>
      <c r="AH291" s="45"/>
      <c r="AI291" s="45"/>
      <c r="AJ291" s="45"/>
      <c r="AK291" s="45"/>
      <c r="AL291" s="45"/>
      <c r="AM291" s="45"/>
      <c r="AN291" s="45"/>
      <c r="AO291" s="45"/>
      <c r="AP291" s="45"/>
      <c r="AQ291" s="45"/>
      <c r="AR291" s="79"/>
      <c r="AS291" s="45"/>
      <c r="AT291" s="45"/>
      <c r="AU291" s="45"/>
      <c r="AV291" s="45"/>
      <c r="AW291" s="45"/>
      <c r="AX291" s="45"/>
      <c r="AY291" s="45"/>
      <c r="AZ291" s="45"/>
      <c r="BA291" s="45"/>
      <c r="BB291" s="45"/>
      <c r="BC291" s="45"/>
      <c r="BD291" s="45"/>
      <c r="BE291" s="45"/>
      <c r="BF291" s="45"/>
      <c r="BG291" s="46"/>
    </row>
    <row r="292">
      <c r="B292" s="40"/>
      <c r="C292" s="41"/>
      <c r="D292" s="38"/>
      <c r="E292" s="38" t="s">
        <v>161</v>
      </c>
      <c r="F292" s="42">
        <f>200*I291</f>
        <v>200</v>
      </c>
      <c r="G292" s="43"/>
      <c r="H292" s="123"/>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79"/>
      <c r="AF292" s="101"/>
      <c r="AG292" s="101"/>
      <c r="AH292" s="101"/>
      <c r="AI292" s="101"/>
      <c r="AJ292" s="101"/>
      <c r="AK292" s="101"/>
      <c r="AL292" s="101"/>
      <c r="AM292" s="101"/>
      <c r="AN292" s="101"/>
      <c r="AO292" s="101"/>
      <c r="AP292" s="101"/>
      <c r="AQ292" s="101"/>
      <c r="AR292" s="79"/>
      <c r="AS292" s="101"/>
      <c r="AT292" s="101"/>
      <c r="AU292" s="101"/>
      <c r="AV292" s="101"/>
      <c r="AW292" s="101"/>
      <c r="AX292" s="101"/>
      <c r="AY292" s="101"/>
      <c r="AZ292" s="101"/>
      <c r="BA292" s="101"/>
      <c r="BB292" s="101"/>
      <c r="BC292" s="101"/>
      <c r="BD292" s="101"/>
      <c r="BE292" s="101"/>
      <c r="BF292" s="101"/>
      <c r="BG292" s="124"/>
    </row>
    <row r="293">
      <c r="B293" s="40"/>
      <c r="C293" s="41"/>
      <c r="D293" s="38"/>
      <c r="E293" s="38" t="s">
        <v>38</v>
      </c>
      <c r="F293" s="42">
        <f>150*I291</f>
        <v>150</v>
      </c>
      <c r="G293" s="35"/>
      <c r="H293" s="131"/>
      <c r="I293" s="132"/>
      <c r="J293" s="132"/>
      <c r="K293" s="132"/>
      <c r="L293" s="132"/>
      <c r="M293" s="132"/>
      <c r="N293" s="132"/>
      <c r="O293" s="132"/>
      <c r="P293" s="132"/>
      <c r="Q293" s="132"/>
      <c r="R293" s="132"/>
      <c r="S293" s="101"/>
      <c r="T293" s="132"/>
      <c r="U293" s="132"/>
      <c r="V293" s="132"/>
      <c r="W293" s="132"/>
      <c r="X293" s="132"/>
      <c r="Y293" s="132"/>
      <c r="Z293" s="132"/>
      <c r="AA293" s="132"/>
      <c r="AB293" s="132"/>
      <c r="AC293" s="132"/>
      <c r="AD293" s="132"/>
      <c r="AE293" s="79"/>
      <c r="AF293" s="132"/>
      <c r="AG293" s="132"/>
      <c r="AH293" s="132"/>
      <c r="AI293" s="132"/>
      <c r="AJ293" s="132"/>
      <c r="AK293" s="132"/>
      <c r="AL293" s="132"/>
      <c r="AM293" s="132"/>
      <c r="AN293" s="132"/>
      <c r="AO293" s="132"/>
      <c r="AP293" s="132"/>
      <c r="AQ293" s="132"/>
      <c r="AR293" s="79"/>
      <c r="AS293" s="132"/>
      <c r="AT293" s="132"/>
      <c r="AU293" s="132"/>
      <c r="AV293" s="132"/>
      <c r="AW293" s="132"/>
      <c r="AX293" s="132"/>
      <c r="AY293" s="132"/>
      <c r="AZ293" s="132"/>
      <c r="BA293" s="132"/>
      <c r="BB293" s="132"/>
      <c r="BC293" s="132"/>
      <c r="BD293" s="101"/>
      <c r="BE293" s="101"/>
      <c r="BF293" s="101"/>
      <c r="BG293" s="124"/>
    </row>
    <row r="294">
      <c r="B294" s="40"/>
      <c r="C294" s="41"/>
      <c r="D294" s="38"/>
      <c r="E294" s="38" t="s">
        <v>137</v>
      </c>
      <c r="F294" s="42">
        <f>100*I291</f>
        <v>100</v>
      </c>
      <c r="G294" s="43"/>
      <c r="H294" s="131"/>
      <c r="I294" s="101"/>
      <c r="J294" s="132"/>
      <c r="K294" s="132"/>
      <c r="L294" s="132"/>
      <c r="M294" s="132"/>
      <c r="N294" s="132"/>
      <c r="O294" s="132"/>
      <c r="P294" s="132"/>
      <c r="Q294" s="132"/>
      <c r="R294" s="101"/>
      <c r="S294" s="101"/>
      <c r="T294" s="101"/>
      <c r="U294" s="101"/>
      <c r="V294" s="101"/>
      <c r="W294" s="101"/>
      <c r="X294" s="101"/>
      <c r="Y294" s="101"/>
      <c r="Z294" s="101"/>
      <c r="AA294" s="101"/>
      <c r="AB294" s="101"/>
      <c r="AC294" s="101"/>
      <c r="AD294" s="101"/>
      <c r="AE294" s="79"/>
      <c r="AF294" s="101"/>
      <c r="AG294" s="101"/>
      <c r="AH294" s="101"/>
      <c r="AI294" s="101"/>
      <c r="AJ294" s="101"/>
      <c r="AK294" s="101"/>
      <c r="AL294" s="101"/>
      <c r="AM294" s="101"/>
      <c r="AN294" s="101"/>
      <c r="AO294" s="101"/>
      <c r="AP294" s="101"/>
      <c r="AQ294" s="101"/>
      <c r="AR294" s="79"/>
      <c r="AS294" s="101"/>
      <c r="AT294" s="101"/>
      <c r="AU294" s="101"/>
      <c r="AV294" s="101"/>
      <c r="AW294" s="101"/>
      <c r="AX294" s="101"/>
      <c r="AY294" s="101"/>
      <c r="AZ294" s="101"/>
      <c r="BA294" s="101"/>
      <c r="BB294" s="101"/>
      <c r="BC294" s="101"/>
      <c r="BD294" s="101"/>
      <c r="BE294" s="101"/>
      <c r="BF294" s="101"/>
      <c r="BG294" s="124"/>
    </row>
    <row r="295">
      <c r="B295" s="40"/>
      <c r="C295" s="41"/>
      <c r="D295" s="38"/>
      <c r="E295" s="38" t="s">
        <v>124</v>
      </c>
      <c r="F295" s="42">
        <f>800*I291</f>
        <v>800</v>
      </c>
      <c r="G295" s="43"/>
      <c r="H295" s="131"/>
      <c r="I295" s="132"/>
      <c r="J295" s="132"/>
      <c r="K295" s="132"/>
      <c r="L295" s="101"/>
      <c r="M295" s="101"/>
      <c r="N295" s="101"/>
      <c r="O295" s="101"/>
      <c r="P295" s="101"/>
      <c r="Q295" s="101"/>
      <c r="R295" s="101"/>
      <c r="S295" s="101"/>
      <c r="T295" s="101"/>
      <c r="U295" s="101"/>
      <c r="V295" s="101"/>
      <c r="W295" s="101"/>
      <c r="X295" s="101"/>
      <c r="Y295" s="101"/>
      <c r="Z295" s="101"/>
      <c r="AA295" s="101"/>
      <c r="AB295" s="101"/>
      <c r="AC295" s="101"/>
      <c r="AD295" s="101"/>
      <c r="AE295" s="79"/>
      <c r="AF295" s="101"/>
      <c r="AG295" s="101"/>
      <c r="AH295" s="101"/>
      <c r="AI295" s="101"/>
      <c r="AJ295" s="101"/>
      <c r="AK295" s="101"/>
      <c r="AL295" s="101"/>
      <c r="AM295" s="101"/>
      <c r="AN295" s="101"/>
      <c r="AO295" s="101"/>
      <c r="AP295" s="101"/>
      <c r="AQ295" s="101"/>
      <c r="AR295" s="79"/>
      <c r="AS295" s="101"/>
      <c r="AT295" s="101"/>
      <c r="AU295" s="101"/>
      <c r="AV295" s="101"/>
      <c r="AW295" s="101"/>
      <c r="AX295" s="101"/>
      <c r="AY295" s="101"/>
      <c r="AZ295" s="101"/>
      <c r="BA295" s="101"/>
      <c r="BB295" s="101"/>
      <c r="BC295" s="101"/>
      <c r="BD295" s="101"/>
      <c r="BE295" s="101"/>
      <c r="BF295" s="101"/>
      <c r="BG295" s="124"/>
    </row>
    <row r="296">
      <c r="B296" s="50"/>
      <c r="C296" s="51"/>
      <c r="D296" s="52"/>
      <c r="E296" s="52"/>
      <c r="F296" s="52"/>
      <c r="G296" s="112"/>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2"/>
      <c r="AF296" s="113"/>
      <c r="AG296" s="113"/>
      <c r="AH296" s="113"/>
      <c r="AI296" s="113"/>
      <c r="AJ296" s="113"/>
      <c r="AK296" s="113"/>
      <c r="AL296" s="113"/>
      <c r="AM296" s="113"/>
      <c r="AN296" s="113"/>
      <c r="AO296" s="113"/>
      <c r="AP296" s="113"/>
      <c r="AQ296" s="113"/>
      <c r="AR296" s="112"/>
      <c r="AS296" s="113"/>
      <c r="AT296" s="113"/>
      <c r="AU296" s="113"/>
      <c r="AV296" s="113"/>
      <c r="AW296" s="113"/>
      <c r="AX296" s="113"/>
      <c r="AY296" s="113"/>
      <c r="AZ296" s="113"/>
      <c r="BA296" s="113"/>
      <c r="BB296" s="113"/>
      <c r="BC296" s="113"/>
      <c r="BD296" s="113"/>
      <c r="BE296" s="113"/>
      <c r="BF296" s="113"/>
      <c r="BG296" s="114"/>
    </row>
    <row r="297">
      <c r="B297" s="31" t="s">
        <v>660</v>
      </c>
      <c r="C297" s="54"/>
      <c r="D297" s="45"/>
      <c r="E297" s="45"/>
      <c r="F297" s="47"/>
      <c r="G297" s="112"/>
      <c r="H297" s="55" t="s">
        <v>357</v>
      </c>
      <c r="I297" s="38" t="str">
        <f>VLOOKUP(H297,'Machine List'!$A$1:$I$300,9,FALSE)</f>
        <v>13500 + 16C</v>
      </c>
      <c r="J297" s="38">
        <f>IF(VLOOKUP(H297,'Machine List'!$A$1:$I$300,5,FALSE)="Multi",IF(VLOOKUP(H297,'Machine List'!$A$1:$I$300,6,FALSE)="Yes",AG297*3*10^Z297,AG297*(2*3)*10^(Z297-1)),0)</f>
        <v>6</v>
      </c>
      <c r="K297" s="38">
        <f>J297+IF(ISNUMBER(I297),I297,
  SWITCH(
      I297,
      "1T",1*10^Z297,
      "2T",2*10^Z297,
      "3T",3*10^Z297,
      "4T",4*10^Z297,
      "4000+500(7O-5)",4000+500*(7*I298-5),
      1
  )
)</f>
        <v>7</v>
      </c>
      <c r="L297" s="38">
        <f>IF(VLOOKUP(H297,'Machine List'!$A$1:$I$300,5,FALSE)="Multi",IF(VLOOKUP(H297,'Machine List'!$A$1:$I$300,6,FALSE)="Yes",AU297*3*10^AT297,AU297*(2*3)*10^(AT297-1)),0)</f>
        <v>120000</v>
      </c>
      <c r="M297" s="38">
        <f>L297+IF(ISNUMBER(I297),I297,
  SWITCH(
      I297,
      "1T",1*10^AT297,
      "2T",2*10^AT297,
      "3T",3*10^AT297,
      "4T",4*10^AT297,
      "4000+500(7O-5)",4000+500*(7*I298-5),
      1
  )
)</f>
        <v>120001</v>
      </c>
      <c r="N297" s="38" t="str">
        <f>VLOOKUP(H297,'Machine List'!$A$1:$I$300,8,FALSE)</f>
        <v>Tier</v>
      </c>
      <c r="O297" s="38">
        <f>IF(ISNUMBER(N297),N297,10^Z297)</f>
        <v>10</v>
      </c>
      <c r="P297" s="38">
        <f>IF(ISNUMBER(N297),N297,10^AT297)</f>
        <v>100000</v>
      </c>
      <c r="Q297" s="38">
        <f>VLOOKUP(H297,'Machine List'!$A$1:$B$138,2,FALSE)</f>
        <v>1</v>
      </c>
      <c r="R297" s="38" t="s">
        <v>277</v>
      </c>
      <c r="S297" s="45">
        <f>IF(ISNUMBER(Q297),Q297,
  SWITCH(
      Q297,
      "1",1,
      "2T",Z297*2,
      "4T",Z297*4,
      "6T",Z297*6,
      "8T",Z297*8,
      "10T",Z297*10,
      "12T",Z297*12,
      "14T",Z297*14,
      "16T",Z297*16,
      "2(T+1)",2*(Z297+1),
      "1T*C",Z297*J299,
      1
  )
)</f>
        <v>1</v>
      </c>
      <c r="T297" s="38" t="s">
        <v>277</v>
      </c>
      <c r="U297" s="38">
        <f>IF(OR(T297="No",T297=""),S297,T297)</f>
        <v>1</v>
      </c>
      <c r="V297" s="38">
        <f>IF(ISNUMBER(Q297),Q297,
  SWITCH(
      Q297,
      "1",1,
      "2T",AT297*2,
      "4T",AT297*4,
      "6T",AT297*6,
      "8T",AT297*8,
      "10T",AT297*10,
      "12T",AT297*12,
      "14T",AT297*14,
      "16T",AT297*16,
      "2(T+1)",2*(AT297+1),
      "1T*C",AT297*J299,
      1
  )
)</f>
        <v>1</v>
      </c>
      <c r="W297" s="38" t="str">
        <f>T297</f>
        <v>No</v>
      </c>
      <c r="X297" s="38">
        <f>IF(OR(W297="No",W297=""),V297,W297)</f>
        <v>1</v>
      </c>
      <c r="Y297" s="38" t="s">
        <v>390</v>
      </c>
      <c r="Z297" s="38">
        <f>VLOOKUP(Y297,'Item Helper Sheet'!$A$2:$B$16,2,FALSE)</f>
        <v>1</v>
      </c>
      <c r="AA297" s="38">
        <v>240.0</v>
      </c>
      <c r="AB297" s="38">
        <f>1.5*20</f>
        <v>30</v>
      </c>
      <c r="AC297" s="38">
        <f>AB297*I299</f>
        <v>30</v>
      </c>
      <c r="AD297" s="38">
        <f>AA297*AC297</f>
        <v>7200</v>
      </c>
      <c r="AE297" s="75"/>
      <c r="AF297" s="38" t="str">
        <f>Y297</f>
        <v>01 - LV</v>
      </c>
      <c r="AG297" s="38">
        <v>1.0</v>
      </c>
      <c r="AH297" s="38">
        <v>1.0</v>
      </c>
      <c r="AI297" s="38">
        <f>AH297*8*4^Z297</f>
        <v>32</v>
      </c>
      <c r="AJ297" s="38">
        <f>MIN(ROUNDDOWN(AI297/AL297,0),U297)</f>
        <v>0</v>
      </c>
      <c r="AK297" s="38">
        <f>IF(OR(T297="No",T297=""),AG297*S297,AG297*T297)</f>
        <v>1</v>
      </c>
      <c r="AL297" s="38">
        <f>ROUNDUP(AA297*VLOOKUP(H297,'Machine List'!$A$2:$D$219,4,FALSE),0)</f>
        <v>240</v>
      </c>
      <c r="AM297" s="38">
        <f>AL297*AK297</f>
        <v>240</v>
      </c>
      <c r="AN297" s="38">
        <f>ROUNDUP(AB297*I299,0)</f>
        <v>30</v>
      </c>
      <c r="AO297" s="38">
        <f>ROUNDUP(AN297/VLOOKUP(H297,'Machine List'!$A$2:$D$219,3,FALSE),0)</f>
        <v>30</v>
      </c>
      <c r="AP297" s="38">
        <f>ROUNDUP(AO297/AK297,0)</f>
        <v>30</v>
      </c>
      <c r="AQ297" s="38">
        <f>AM297*AP297</f>
        <v>7200</v>
      </c>
      <c r="AR297" s="75"/>
      <c r="AS297" s="38" t="s">
        <v>405</v>
      </c>
      <c r="AT297" s="38">
        <f>VLOOKUP(AS297,'Item Helper Sheet'!$A$2:$B$16,2,FALSE)</f>
        <v>5</v>
      </c>
      <c r="AU297" s="38">
        <v>2.0</v>
      </c>
      <c r="AV297" s="38">
        <v>1.0</v>
      </c>
      <c r="AW297" s="38">
        <f>AV297*8*4^AT297</f>
        <v>8192</v>
      </c>
      <c r="AX297" s="38">
        <f>MIN(ROUNDDOWN(AW297/AL297,0),X297)</f>
        <v>1</v>
      </c>
      <c r="AY297" s="38">
        <f>AX297*AU297</f>
        <v>2</v>
      </c>
      <c r="AZ297" s="38">
        <f>AL297</f>
        <v>240</v>
      </c>
      <c r="BA297" s="38">
        <f>MIN(AT297-Z297,IF(AW297&gt;=AZ298*4,
IF(AW297&gt;=AZ298*4^2,
IF(AW297&gt;=AZ298*4^3,
IF(AW297&gt;=AZ298*4^4,
IF(AW297&gt;=AZ298*4^5,
IF(AW297&gt;=AZ298*4^6,
IF(AW297&gt;=AZ298*4^7,
IF(AW297&gt;=AZ298*4^8,
IF(AW297&gt;=AZ298*4^9,
IF(AW297&gt;=AZ298*4^10,
9),
8),
7),
6),
5),
4),
3),
2),
1),
0))</f>
        <v>2</v>
      </c>
      <c r="BB297" s="38">
        <f>AZ297*AX297*4^BA297</f>
        <v>3840</v>
      </c>
      <c r="BC297" s="38">
        <f>BB297*AU297</f>
        <v>7680</v>
      </c>
      <c r="BD297" s="45">
        <f>ROUNDUP(IF(R297="Yes",AN297/(2^((BA297)*2)),AN297/(2^(BA297))),0)</f>
        <v>8</v>
      </c>
      <c r="BE297" s="45">
        <f>ROUNDUP(BD297/VLOOKUP(H297,'Machine List'!$A$2:$D$219,3,FALSE),0)</f>
        <v>8</v>
      </c>
      <c r="BF297" s="45">
        <f>ROUNDUP(BE297/AY297,0)</f>
        <v>4</v>
      </c>
      <c r="BG297" s="46">
        <f>BF297*BC297</f>
        <v>30720</v>
      </c>
    </row>
    <row r="298">
      <c r="B298" s="40"/>
      <c r="C298" s="41" t="s">
        <v>124</v>
      </c>
      <c r="D298" s="38">
        <f>500*I299</f>
        <v>500</v>
      </c>
      <c r="E298" s="38" t="s">
        <v>223</v>
      </c>
      <c r="F298" s="42">
        <f>600*I299</f>
        <v>600</v>
      </c>
      <c r="G298" s="112"/>
      <c r="H298" s="99" t="s">
        <v>584</v>
      </c>
      <c r="I298" s="45">
        <f t="array" ref="I298">match(TRUE,ISBLANK(F298:F310),0)-1</f>
        <v>1</v>
      </c>
      <c r="J298" s="120" t="s">
        <v>420</v>
      </c>
      <c r="K298" s="120" t="s">
        <v>585</v>
      </c>
      <c r="L298" s="121"/>
      <c r="M298" s="121"/>
      <c r="N298" s="121"/>
      <c r="O298" s="121"/>
      <c r="P298" s="121"/>
      <c r="Q298" s="121"/>
      <c r="R298" s="121"/>
      <c r="S298" s="121"/>
      <c r="T298" s="121"/>
      <c r="U298" s="121"/>
      <c r="V298" s="121"/>
      <c r="W298" s="121"/>
      <c r="X298" s="121"/>
      <c r="Y298" s="121"/>
      <c r="Z298" s="121"/>
      <c r="AA298" s="121"/>
      <c r="AB298" s="121"/>
      <c r="AC298" s="121"/>
      <c r="AD298" s="121"/>
      <c r="AE298" s="118"/>
      <c r="AF298" s="121"/>
      <c r="AG298" s="121"/>
      <c r="AH298" s="121"/>
      <c r="AI298" s="121"/>
      <c r="AJ298" s="121"/>
      <c r="AK298" s="121"/>
      <c r="AL298" s="121"/>
      <c r="AM298" s="121"/>
      <c r="AN298" s="121"/>
      <c r="AO298" s="121"/>
      <c r="AP298" s="121"/>
      <c r="AQ298" s="121"/>
      <c r="AR298" s="118"/>
      <c r="AS298" s="121"/>
      <c r="AT298" s="121"/>
      <c r="AU298" s="121"/>
      <c r="AV298" s="121"/>
      <c r="AW298" s="121"/>
      <c r="AX298" s="121"/>
      <c r="AY298" s="121"/>
      <c r="AZ298" s="116">
        <f>AZ297*AX297</f>
        <v>240</v>
      </c>
      <c r="BA298" s="121"/>
      <c r="BB298" s="121"/>
      <c r="BC298" s="121"/>
      <c r="BD298" s="121"/>
      <c r="BE298" s="121"/>
      <c r="BF298" s="121"/>
      <c r="BG298" s="122"/>
    </row>
    <row r="299">
      <c r="B299" s="40"/>
      <c r="C299" s="41" t="s">
        <v>226</v>
      </c>
      <c r="D299" s="38">
        <f>500*I299</f>
        <v>500</v>
      </c>
      <c r="E299" s="38"/>
      <c r="F299" s="42"/>
      <c r="G299" s="112"/>
      <c r="H299" s="56" t="s">
        <v>502</v>
      </c>
      <c r="I299" s="57">
        <v>1.0</v>
      </c>
      <c r="J299" s="100" t="s">
        <v>427</v>
      </c>
      <c r="K299" s="120">
        <v>0.0</v>
      </c>
      <c r="L299" s="121"/>
      <c r="M299" s="121"/>
      <c r="N299" s="121"/>
      <c r="O299" s="121"/>
      <c r="P299" s="121"/>
      <c r="Q299" s="121"/>
      <c r="R299" s="121"/>
      <c r="S299" s="121"/>
      <c r="T299" s="121"/>
      <c r="U299" s="121"/>
      <c r="V299" s="121"/>
      <c r="W299" s="121"/>
      <c r="X299" s="121"/>
      <c r="Y299" s="121"/>
      <c r="Z299" s="121"/>
      <c r="AA299" s="121"/>
      <c r="AB299" s="121"/>
      <c r="AC299" s="121"/>
      <c r="AD299" s="121"/>
      <c r="AE299" s="118"/>
      <c r="AF299" s="121"/>
      <c r="AG299" s="121"/>
      <c r="AH299" s="121"/>
      <c r="AI299" s="121"/>
      <c r="AJ299" s="121"/>
      <c r="AK299" s="121"/>
      <c r="AL299" s="121"/>
      <c r="AM299" s="121"/>
      <c r="AN299" s="121"/>
      <c r="AO299" s="121"/>
      <c r="AP299" s="121"/>
      <c r="AQ299" s="121"/>
      <c r="AR299" s="118"/>
      <c r="AS299" s="121"/>
      <c r="AT299" s="121"/>
      <c r="AU299" s="121"/>
      <c r="AV299" s="121"/>
      <c r="AW299" s="121"/>
      <c r="AX299" s="121"/>
      <c r="AY299" s="121"/>
      <c r="AZ299" s="121"/>
      <c r="BA299" s="121"/>
      <c r="BB299" s="121"/>
      <c r="BC299" s="121"/>
      <c r="BD299" s="121"/>
      <c r="BE299" s="121"/>
      <c r="BF299" s="121"/>
      <c r="BG299" s="122"/>
    </row>
    <row r="300">
      <c r="B300" s="50"/>
      <c r="C300" s="51"/>
      <c r="D300" s="52"/>
      <c r="E300" s="52"/>
      <c r="F300" s="52"/>
      <c r="G300" s="112"/>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2"/>
      <c r="AF300" s="113"/>
      <c r="AG300" s="113"/>
      <c r="AH300" s="113"/>
      <c r="AI300" s="113"/>
      <c r="AJ300" s="113"/>
      <c r="AK300" s="113"/>
      <c r="AL300" s="113"/>
      <c r="AM300" s="113"/>
      <c r="AN300" s="113"/>
      <c r="AO300" s="113"/>
      <c r="AP300" s="113"/>
      <c r="AQ300" s="113"/>
      <c r="AR300" s="112"/>
      <c r="AS300" s="113"/>
      <c r="AT300" s="113"/>
      <c r="AU300" s="113"/>
      <c r="AV300" s="113"/>
      <c r="AW300" s="113"/>
      <c r="AX300" s="113"/>
      <c r="AY300" s="113"/>
      <c r="AZ300" s="113"/>
      <c r="BA300" s="113"/>
      <c r="BB300" s="113"/>
      <c r="BC300" s="113"/>
      <c r="BD300" s="113"/>
      <c r="BE300" s="113"/>
      <c r="BF300" s="113"/>
      <c r="BG300" s="114"/>
    </row>
    <row r="301">
      <c r="B301" s="31" t="s">
        <v>661</v>
      </c>
      <c r="C301" s="54"/>
      <c r="D301" s="45"/>
      <c r="E301" s="45"/>
      <c r="F301" s="47"/>
      <c r="G301" s="112"/>
      <c r="H301" s="55" t="s">
        <v>298</v>
      </c>
      <c r="I301" s="38" t="str">
        <f>VLOOKUP(H301,'Machine List'!$A$1:$I$300,9,FALSE)</f>
        <v>4000+500(7O-5)</v>
      </c>
      <c r="J301" s="38">
        <f>IF(VLOOKUP(H301,'Machine List'!$A$1:$I$300,5,FALSE)="Multi",IF(VLOOKUP(H301,'Machine List'!$A$1:$I$300,6,FALSE)="Yes",AG301*3*10^Z301,AG301*(2*3)*10^(Z301-1)),0)</f>
        <v>6</v>
      </c>
      <c r="K301" s="38">
        <f>J301+IF(ISNUMBER(I301),I301,
  SWITCH(
      I301,
      "1T",1*10^Z301,
      "2T",2*10^Z301,
      "3T",3*10^Z301,
      "4T",4*10^Z301,
      "4000+500(7O-5)",4000+500*(7*I302-5),
      1
  )
)</f>
        <v>43506</v>
      </c>
      <c r="L301" s="38">
        <f>IF(VLOOKUP(H301,'Machine List'!$A$1:$I$300,5,FALSE)="Multi",IF(VLOOKUP(H301,'Machine List'!$A$1:$I$300,6,FALSE)="Yes",AU301*3*10^AT301,AU301*(2*3)*10^(AT301-1)),0)</f>
        <v>240000</v>
      </c>
      <c r="M301" s="38">
        <f>L301+IF(ISNUMBER(I301),I301,
  SWITCH(
      I301,
      "1T",1*10^AT301,
      "2T",2*10^AT301,
      "3T",3*10^AT301,
      "4T",4*10^AT301,
      "4000+500(7O-5)",4000+500*(7*I302-5),
      1
  )
)</f>
        <v>283500</v>
      </c>
      <c r="N301" s="38" t="str">
        <f>VLOOKUP(H301,'Machine List'!$A$1:$I$300,8,FALSE)</f>
        <v>Tier</v>
      </c>
      <c r="O301" s="38">
        <f>IF(ISNUMBER(N301),N301,10^Z301)</f>
        <v>10</v>
      </c>
      <c r="P301" s="38">
        <f>IF(ISNUMBER(N301),N301,10^AT301)</f>
        <v>100000</v>
      </c>
      <c r="Q301" s="38">
        <f>VLOOKUP(H301,'Machine List'!$A$1:$B$138,2,FALSE)</f>
        <v>1</v>
      </c>
      <c r="R301" s="38" t="s">
        <v>277</v>
      </c>
      <c r="S301" s="45">
        <f>IF(ISNUMBER(Q301),Q301,
  SWITCH(
      Q301,
      "1",1,
      "2T",Z301*2,
      "4T",Z301*4,
      "6T",Z301*6,
      "8T",Z301*8,
      "10T",Z301*10,
      "12T",Z301*12,
      "14T",Z301*14,
      "16T",Z301*16,
      "2(T+1)",2*(Z301+1),
      "1T*C",Z301*J303,
      1
  )
)</f>
        <v>1</v>
      </c>
      <c r="T301" s="38" t="s">
        <v>277</v>
      </c>
      <c r="U301" s="38">
        <f>IF(OR(T301="No",T301=""),S301,T301)</f>
        <v>1</v>
      </c>
      <c r="V301" s="38">
        <f>IF(ISNUMBER(Q301),Q301,
  SWITCH(
      Q301,
      "1",1,
      "2T",AT301*2,
      "4T",AT301*4,
      "6T",AT301*6,
      "8T",AT301*8,
      "10T",AT301*10,
      "12T",AT301*12,
      "14T",AT301*14,
      "16T",AT301*16,
      "2(T+1)",2*(AT301+1),
      "1T*C",AT301*J303,
      1
  )
)</f>
        <v>1</v>
      </c>
      <c r="W301" s="38" t="str">
        <f>T301</f>
        <v>No</v>
      </c>
      <c r="X301" s="38">
        <f>IF(OR(W301="No",W301=""),V301,W301)</f>
        <v>1</v>
      </c>
      <c r="Y301" s="38" t="s">
        <v>390</v>
      </c>
      <c r="Z301" s="38">
        <f>VLOOKUP(Y301,'Item Helper Sheet'!$A$2:$B$16,2,FALSE)</f>
        <v>1</v>
      </c>
      <c r="AA301" s="38">
        <v>120.0</v>
      </c>
      <c r="AB301" s="38">
        <f>6*20</f>
        <v>120</v>
      </c>
      <c r="AC301" s="38">
        <f>AB301*I303</f>
        <v>120</v>
      </c>
      <c r="AD301" s="38">
        <f>AA301*AC301</f>
        <v>14400</v>
      </c>
      <c r="AE301" s="75"/>
      <c r="AF301" s="38" t="str">
        <f>Y301</f>
        <v>01 - LV</v>
      </c>
      <c r="AG301" s="38">
        <v>1.0</v>
      </c>
      <c r="AH301" s="38">
        <v>1.0</v>
      </c>
      <c r="AI301" s="38">
        <f>AH301*8*4^Z301</f>
        <v>32</v>
      </c>
      <c r="AJ301" s="38">
        <f>MIN(ROUNDDOWN(AI301/AL301,0),U301)</f>
        <v>0</v>
      </c>
      <c r="AK301" s="38">
        <f>IF(OR(T301="No",T301=""),AG301*S301,AG301*T301)</f>
        <v>1</v>
      </c>
      <c r="AL301" s="38">
        <f>ROUNDUP(AA301*VLOOKUP(H301,'Machine List'!$A$2:$D$219,4,FALSE),0)</f>
        <v>120</v>
      </c>
      <c r="AM301" s="38">
        <f>AL301*AK301</f>
        <v>120</v>
      </c>
      <c r="AN301" s="38">
        <f>ROUNDUP(AB301*I303,0)</f>
        <v>120</v>
      </c>
      <c r="AO301" s="38">
        <f>ROUNDUP(AN301/VLOOKUP(H301,'Machine List'!$A$2:$D$219,3,FALSE),0)</f>
        <v>120</v>
      </c>
      <c r="AP301" s="38">
        <f>ROUNDUP(AO301/AK301,0)</f>
        <v>120</v>
      </c>
      <c r="AQ301" s="38">
        <f>AM301*AP301</f>
        <v>14400</v>
      </c>
      <c r="AR301" s="75"/>
      <c r="AS301" s="38" t="s">
        <v>405</v>
      </c>
      <c r="AT301" s="38">
        <f>VLOOKUP(AS301,'Item Helper Sheet'!$A$2:$B$16,2,FALSE)</f>
        <v>5</v>
      </c>
      <c r="AU301" s="38">
        <v>4.0</v>
      </c>
      <c r="AV301" s="38">
        <v>1.0</v>
      </c>
      <c r="AW301" s="38">
        <f>AV301*8*4^AT301</f>
        <v>8192</v>
      </c>
      <c r="AX301" s="38">
        <f>MIN(ROUNDDOWN(AW301/AL301,0),X301)</f>
        <v>1</v>
      </c>
      <c r="AY301" s="38">
        <f>AX301*AU301</f>
        <v>4</v>
      </c>
      <c r="AZ301" s="38">
        <f>AL301</f>
        <v>120</v>
      </c>
      <c r="BA301" s="38">
        <f>MIN(AT301-Z301,IF(AW301&gt;=AZ302*4,
IF(AW301&gt;=AZ302*4^2,
IF(AW301&gt;=AZ302*4^3,
IF(AW301&gt;=AZ302*4^4,
IF(AW301&gt;=AZ302*4^5,
IF(AW301&gt;=AZ302*4^6,
IF(AW301&gt;=AZ302*4^7,
IF(AW301&gt;=AZ302*4^8,
IF(AW301&gt;=AZ302*4^9,
IF(AW301&gt;=AZ302*4^10,
9),
8),
7),
6),
5),
4),
3),
2),
1),
0))</f>
        <v>3</v>
      </c>
      <c r="BB301" s="38">
        <f>AZ301*AX301*4^BA301</f>
        <v>7680</v>
      </c>
      <c r="BC301" s="38">
        <f>BB301*AU301</f>
        <v>30720</v>
      </c>
      <c r="BD301" s="45">
        <f>ROUNDUP(IF(R301="Yes",AN301/(2^((BA301)*2)),AN301/(2^(BA301))),0)</f>
        <v>15</v>
      </c>
      <c r="BE301" s="45">
        <f>ROUNDUP(BD301/VLOOKUP(H301,'Machine List'!$A$2:$D$219,3,FALSE),0)</f>
        <v>15</v>
      </c>
      <c r="BF301" s="45">
        <f>ROUNDUP(BE301/AY301,0)</f>
        <v>4</v>
      </c>
      <c r="BG301" s="46">
        <f>BF301*BC301</f>
        <v>122880</v>
      </c>
    </row>
    <row r="302">
      <c r="B302" s="40"/>
      <c r="C302" s="41" t="s">
        <v>223</v>
      </c>
      <c r="D302" s="38">
        <f>1000*I303</f>
        <v>1000</v>
      </c>
      <c r="E302" s="38" t="s">
        <v>118</v>
      </c>
      <c r="F302" s="42">
        <f>500*I303</f>
        <v>500</v>
      </c>
      <c r="G302" s="112"/>
      <c r="H302" s="99" t="s">
        <v>584</v>
      </c>
      <c r="I302" s="45">
        <f t="array" ref="I302">match(TRUE,ISBLANK(F302:F314),0)-1</f>
        <v>12</v>
      </c>
      <c r="J302" s="120" t="s">
        <v>420</v>
      </c>
      <c r="K302" s="120" t="s">
        <v>585</v>
      </c>
      <c r="L302" s="121"/>
      <c r="M302" s="121"/>
      <c r="N302" s="121"/>
      <c r="O302" s="121"/>
      <c r="P302" s="121"/>
      <c r="Q302" s="121"/>
      <c r="R302" s="121"/>
      <c r="S302" s="121"/>
      <c r="T302" s="121"/>
      <c r="U302" s="121"/>
      <c r="V302" s="121"/>
      <c r="W302" s="121"/>
      <c r="X302" s="121"/>
      <c r="Y302" s="121"/>
      <c r="Z302" s="121"/>
      <c r="AA302" s="121"/>
      <c r="AB302" s="121"/>
      <c r="AC302" s="121"/>
      <c r="AD302" s="121"/>
      <c r="AE302" s="118"/>
      <c r="AF302" s="121"/>
      <c r="AG302" s="121"/>
      <c r="AH302" s="121"/>
      <c r="AI302" s="121"/>
      <c r="AJ302" s="121"/>
      <c r="AK302" s="121"/>
      <c r="AL302" s="121"/>
      <c r="AM302" s="121"/>
      <c r="AN302" s="121"/>
      <c r="AO302" s="121"/>
      <c r="AP302" s="121"/>
      <c r="AQ302" s="121"/>
      <c r="AR302" s="118"/>
      <c r="AS302" s="121"/>
      <c r="AT302" s="121"/>
      <c r="AU302" s="121"/>
      <c r="AV302" s="121"/>
      <c r="AW302" s="121"/>
      <c r="AX302" s="121"/>
      <c r="AY302" s="121"/>
      <c r="AZ302" s="116">
        <f>AZ301*AX301</f>
        <v>120</v>
      </c>
      <c r="BA302" s="121"/>
      <c r="BB302" s="121"/>
      <c r="BC302" s="121"/>
      <c r="BD302" s="121"/>
      <c r="BE302" s="121"/>
      <c r="BF302" s="121"/>
      <c r="BG302" s="122"/>
    </row>
    <row r="303">
      <c r="B303" s="40"/>
      <c r="C303" s="41"/>
      <c r="D303" s="38"/>
      <c r="E303" s="38" t="s">
        <v>64</v>
      </c>
      <c r="F303" s="42">
        <f>500*I303</f>
        <v>500</v>
      </c>
      <c r="G303" s="112"/>
      <c r="H303" s="48" t="s">
        <v>502</v>
      </c>
      <c r="I303" s="49">
        <v>1.0</v>
      </c>
      <c r="J303" s="100" t="s">
        <v>424</v>
      </c>
      <c r="K303" s="120">
        <v>0.0</v>
      </c>
      <c r="L303" s="121"/>
      <c r="M303" s="121"/>
      <c r="N303" s="121"/>
      <c r="O303" s="121"/>
      <c r="P303" s="121"/>
      <c r="Q303" s="121"/>
      <c r="R303" s="121"/>
      <c r="S303" s="121"/>
      <c r="T303" s="121"/>
      <c r="U303" s="121"/>
      <c r="V303" s="121"/>
      <c r="W303" s="121"/>
      <c r="X303" s="121"/>
      <c r="Y303" s="121"/>
      <c r="Z303" s="121"/>
      <c r="AA303" s="121"/>
      <c r="AB303" s="121"/>
      <c r="AC303" s="121"/>
      <c r="AD303" s="121"/>
      <c r="AE303" s="118"/>
      <c r="AF303" s="121"/>
      <c r="AG303" s="121"/>
      <c r="AH303" s="121"/>
      <c r="AI303" s="121"/>
      <c r="AJ303" s="121"/>
      <c r="AK303" s="121"/>
      <c r="AL303" s="121"/>
      <c r="AM303" s="121"/>
      <c r="AN303" s="121"/>
      <c r="AO303" s="121"/>
      <c r="AP303" s="121"/>
      <c r="AQ303" s="121"/>
      <c r="AR303" s="118"/>
      <c r="AS303" s="121"/>
      <c r="AT303" s="121"/>
      <c r="AU303" s="121"/>
      <c r="AV303" s="121"/>
      <c r="AW303" s="121"/>
      <c r="AX303" s="121"/>
      <c r="AY303" s="121"/>
      <c r="AZ303" s="121"/>
      <c r="BA303" s="121"/>
      <c r="BB303" s="121"/>
      <c r="BC303" s="121"/>
      <c r="BD303" s="121"/>
      <c r="BE303" s="121"/>
      <c r="BF303" s="121"/>
      <c r="BG303" s="122"/>
    </row>
    <row r="304">
      <c r="B304" s="40"/>
      <c r="C304" s="41"/>
      <c r="D304" s="38"/>
      <c r="E304" s="38" t="s">
        <v>61</v>
      </c>
      <c r="F304" s="42">
        <f>65*I303</f>
        <v>65</v>
      </c>
      <c r="G304" s="112"/>
      <c r="H304" s="123"/>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18"/>
      <c r="AF304" s="101"/>
      <c r="AG304" s="101"/>
      <c r="AH304" s="101"/>
      <c r="AI304" s="101"/>
      <c r="AJ304" s="101"/>
      <c r="AK304" s="101"/>
      <c r="AL304" s="101"/>
      <c r="AM304" s="101"/>
      <c r="AN304" s="101"/>
      <c r="AO304" s="101"/>
      <c r="AP304" s="101"/>
      <c r="AQ304" s="101"/>
      <c r="AR304" s="118"/>
      <c r="AS304" s="101"/>
      <c r="AT304" s="101"/>
      <c r="AU304" s="101"/>
      <c r="AV304" s="101"/>
      <c r="AW304" s="101"/>
      <c r="AX304" s="101"/>
      <c r="AY304" s="101"/>
      <c r="AZ304" s="101"/>
      <c r="BA304" s="101"/>
      <c r="BB304" s="101"/>
      <c r="BC304" s="101"/>
      <c r="BD304" s="101"/>
      <c r="BE304" s="101"/>
      <c r="BF304" s="101"/>
      <c r="BG304" s="124"/>
    </row>
    <row r="305">
      <c r="B305" s="40"/>
      <c r="C305" s="41"/>
      <c r="D305" s="38"/>
      <c r="E305" s="38" t="s">
        <v>162</v>
      </c>
      <c r="F305" s="42">
        <f>300*I303</f>
        <v>300</v>
      </c>
      <c r="G305" s="112"/>
      <c r="H305" s="123"/>
      <c r="I305" s="101"/>
      <c r="J305" s="101"/>
      <c r="K305" s="132"/>
      <c r="L305" s="132"/>
      <c r="M305" s="132"/>
      <c r="N305" s="101"/>
      <c r="O305" s="101"/>
      <c r="P305" s="101"/>
      <c r="Q305" s="101"/>
      <c r="R305" s="101"/>
      <c r="S305" s="101"/>
      <c r="T305" s="101"/>
      <c r="U305" s="101"/>
      <c r="V305" s="101"/>
      <c r="W305" s="101"/>
      <c r="X305" s="101"/>
      <c r="Y305" s="132"/>
      <c r="Z305" s="101"/>
      <c r="AA305" s="132"/>
      <c r="AB305" s="101"/>
      <c r="AC305" s="101"/>
      <c r="AD305" s="101"/>
      <c r="AE305" s="118"/>
      <c r="AF305" s="101"/>
      <c r="AG305" s="101"/>
      <c r="AH305" s="101"/>
      <c r="AI305" s="101"/>
      <c r="AJ305" s="101"/>
      <c r="AK305" s="101"/>
      <c r="AL305" s="101"/>
      <c r="AM305" s="101"/>
      <c r="AN305" s="101"/>
      <c r="AO305" s="101"/>
      <c r="AP305" s="101"/>
      <c r="AQ305" s="101"/>
      <c r="AR305" s="118"/>
      <c r="AS305" s="101"/>
      <c r="AT305" s="101"/>
      <c r="AU305" s="101"/>
      <c r="AV305" s="101"/>
      <c r="AW305" s="101"/>
      <c r="AX305" s="101"/>
      <c r="AY305" s="101"/>
      <c r="AZ305" s="101"/>
      <c r="BA305" s="101"/>
      <c r="BB305" s="101"/>
      <c r="BC305" s="101"/>
      <c r="BD305" s="101"/>
      <c r="BE305" s="101"/>
      <c r="BF305" s="101"/>
      <c r="BG305" s="124"/>
    </row>
    <row r="306">
      <c r="B306" s="40"/>
      <c r="C306" s="41"/>
      <c r="D306" s="38"/>
      <c r="E306" s="38" t="s">
        <v>161</v>
      </c>
      <c r="F306" s="42">
        <f>15*I303</f>
        <v>15</v>
      </c>
      <c r="G306" s="112"/>
      <c r="H306" s="13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18"/>
      <c r="AF306" s="101"/>
      <c r="AG306" s="101"/>
      <c r="AH306" s="101"/>
      <c r="AI306" s="101"/>
      <c r="AJ306" s="101"/>
      <c r="AK306" s="101"/>
      <c r="AL306" s="101"/>
      <c r="AM306" s="101"/>
      <c r="AN306" s="101"/>
      <c r="AO306" s="101"/>
      <c r="AP306" s="101"/>
      <c r="AQ306" s="101"/>
      <c r="AR306" s="118"/>
      <c r="AS306" s="101"/>
      <c r="AT306" s="101"/>
      <c r="AU306" s="101"/>
      <c r="AV306" s="101"/>
      <c r="AW306" s="101"/>
      <c r="AX306" s="101"/>
      <c r="AY306" s="101"/>
      <c r="AZ306" s="101"/>
      <c r="BA306" s="101"/>
      <c r="BB306" s="101"/>
      <c r="BC306" s="101"/>
      <c r="BD306" s="101"/>
      <c r="BE306" s="101"/>
      <c r="BF306" s="101"/>
      <c r="BG306" s="124"/>
    </row>
    <row r="307">
      <c r="B307" s="40"/>
      <c r="C307" s="41"/>
      <c r="D307" s="38"/>
      <c r="E307" s="38" t="s">
        <v>37</v>
      </c>
      <c r="F307" s="42">
        <f>50*I303</f>
        <v>50</v>
      </c>
      <c r="G307" s="112"/>
      <c r="H307" s="123"/>
      <c r="I307" s="132"/>
      <c r="J307" s="132"/>
      <c r="K307" s="101"/>
      <c r="L307" s="101"/>
      <c r="M307" s="101"/>
      <c r="N307" s="101"/>
      <c r="O307" s="101"/>
      <c r="P307" s="101"/>
      <c r="Q307" s="101"/>
      <c r="R307" s="101"/>
      <c r="S307" s="101"/>
      <c r="T307" s="101"/>
      <c r="U307" s="101"/>
      <c r="V307" s="101"/>
      <c r="W307" s="101"/>
      <c r="X307" s="101"/>
      <c r="Y307" s="101"/>
      <c r="Z307" s="101"/>
      <c r="AA307" s="101"/>
      <c r="AB307" s="101"/>
      <c r="AC307" s="101"/>
      <c r="AD307" s="101"/>
      <c r="AE307" s="118"/>
      <c r="AF307" s="101"/>
      <c r="AG307" s="101"/>
      <c r="AH307" s="101"/>
      <c r="AI307" s="101"/>
      <c r="AJ307" s="101"/>
      <c r="AK307" s="101"/>
      <c r="AL307" s="101"/>
      <c r="AM307" s="101"/>
      <c r="AN307" s="101"/>
      <c r="AO307" s="101"/>
      <c r="AP307" s="101"/>
      <c r="AQ307" s="101"/>
      <c r="AR307" s="118"/>
      <c r="AS307" s="101"/>
      <c r="AT307" s="101"/>
      <c r="AU307" s="101"/>
      <c r="AV307" s="101"/>
      <c r="AW307" s="101"/>
      <c r="AX307" s="101"/>
      <c r="AY307" s="101"/>
      <c r="AZ307" s="101"/>
      <c r="BA307" s="101"/>
      <c r="BB307" s="101"/>
      <c r="BC307" s="101"/>
      <c r="BD307" s="101"/>
      <c r="BE307" s="101"/>
      <c r="BF307" s="101"/>
      <c r="BG307" s="124"/>
    </row>
    <row r="308">
      <c r="B308" s="40"/>
      <c r="C308" s="41"/>
      <c r="D308" s="38"/>
      <c r="E308" s="38" t="s">
        <v>39</v>
      </c>
      <c r="F308" s="42">
        <f>50*I303</f>
        <v>50</v>
      </c>
      <c r="G308" s="112"/>
      <c r="H308" s="123"/>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18"/>
      <c r="AF308" s="101"/>
      <c r="AG308" s="101"/>
      <c r="AH308" s="101"/>
      <c r="AI308" s="101"/>
      <c r="AJ308" s="101"/>
      <c r="AK308" s="101"/>
      <c r="AL308" s="101"/>
      <c r="AM308" s="101"/>
      <c r="AN308" s="101"/>
      <c r="AO308" s="101"/>
      <c r="AP308" s="101"/>
      <c r="AQ308" s="101"/>
      <c r="AR308" s="118"/>
      <c r="AS308" s="101"/>
      <c r="AT308" s="101"/>
      <c r="AU308" s="101"/>
      <c r="AV308" s="101"/>
      <c r="AW308" s="101"/>
      <c r="AX308" s="101"/>
      <c r="AY308" s="101"/>
      <c r="AZ308" s="101"/>
      <c r="BA308" s="101"/>
      <c r="BB308" s="101"/>
      <c r="BC308" s="101"/>
      <c r="BD308" s="101"/>
      <c r="BE308" s="101"/>
      <c r="BF308" s="101"/>
      <c r="BG308" s="124"/>
    </row>
    <row r="309">
      <c r="B309" s="40"/>
      <c r="C309" s="41"/>
      <c r="D309" s="38"/>
      <c r="E309" s="38" t="s">
        <v>30</v>
      </c>
      <c r="F309" s="42">
        <f>100*I303</f>
        <v>100</v>
      </c>
      <c r="G309" s="112"/>
      <c r="H309" s="123"/>
      <c r="I309" s="101"/>
      <c r="J309" s="101"/>
      <c r="K309" s="132"/>
      <c r="L309" s="132"/>
      <c r="M309" s="132"/>
      <c r="N309" s="101"/>
      <c r="O309" s="101"/>
      <c r="P309" s="101"/>
      <c r="Q309" s="101"/>
      <c r="R309" s="101"/>
      <c r="S309" s="101"/>
      <c r="T309" s="101"/>
      <c r="U309" s="101"/>
      <c r="V309" s="101"/>
      <c r="W309" s="101"/>
      <c r="X309" s="101"/>
      <c r="Y309" s="132"/>
      <c r="Z309" s="101"/>
      <c r="AA309" s="132"/>
      <c r="AB309" s="101"/>
      <c r="AC309" s="101"/>
      <c r="AD309" s="101"/>
      <c r="AE309" s="118"/>
      <c r="AF309" s="101"/>
      <c r="AG309" s="101"/>
      <c r="AH309" s="101"/>
      <c r="AI309" s="101"/>
      <c r="AJ309" s="101"/>
      <c r="AK309" s="101"/>
      <c r="AL309" s="101"/>
      <c r="AM309" s="101"/>
      <c r="AN309" s="101"/>
      <c r="AO309" s="101"/>
      <c r="AP309" s="101"/>
      <c r="AQ309" s="101"/>
      <c r="AR309" s="118"/>
      <c r="AS309" s="101"/>
      <c r="AT309" s="101"/>
      <c r="AU309" s="101"/>
      <c r="AV309" s="101"/>
      <c r="AW309" s="101"/>
      <c r="AX309" s="101"/>
      <c r="AY309" s="101"/>
      <c r="AZ309" s="101"/>
      <c r="BA309" s="101"/>
      <c r="BB309" s="101"/>
      <c r="BC309" s="101"/>
      <c r="BD309" s="101"/>
      <c r="BE309" s="101"/>
      <c r="BF309" s="101"/>
      <c r="BG309" s="124"/>
    </row>
    <row r="310">
      <c r="B310" s="40"/>
      <c r="C310" s="41"/>
      <c r="D310" s="38"/>
      <c r="E310" s="38" t="s">
        <v>238</v>
      </c>
      <c r="F310" s="42">
        <f>20*I303</f>
        <v>20</v>
      </c>
      <c r="G310" s="112"/>
      <c r="H310" s="13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18"/>
      <c r="AF310" s="101"/>
      <c r="AG310" s="101"/>
      <c r="AH310" s="101"/>
      <c r="AI310" s="101"/>
      <c r="AJ310" s="101"/>
      <c r="AK310" s="101"/>
      <c r="AL310" s="101"/>
      <c r="AM310" s="101"/>
      <c r="AN310" s="101"/>
      <c r="AO310" s="101"/>
      <c r="AP310" s="101"/>
      <c r="AQ310" s="101"/>
      <c r="AR310" s="118"/>
      <c r="AS310" s="101"/>
      <c r="AT310" s="101"/>
      <c r="AU310" s="101"/>
      <c r="AV310" s="101"/>
      <c r="AW310" s="101"/>
      <c r="AX310" s="101"/>
      <c r="AY310" s="101"/>
      <c r="AZ310" s="101"/>
      <c r="BA310" s="101"/>
      <c r="BB310" s="101"/>
      <c r="BC310" s="101"/>
      <c r="BD310" s="101"/>
      <c r="BE310" s="101"/>
      <c r="BF310" s="101"/>
      <c r="BG310" s="124"/>
    </row>
    <row r="311">
      <c r="B311" s="40"/>
      <c r="C311" s="41"/>
      <c r="D311" s="38"/>
      <c r="E311" s="38" t="s">
        <v>106</v>
      </c>
      <c r="F311" s="42">
        <f>50*I303</f>
        <v>50</v>
      </c>
      <c r="G311" s="112"/>
      <c r="H311" s="123"/>
      <c r="I311" s="132"/>
      <c r="J311" s="132"/>
      <c r="K311" s="101"/>
      <c r="L311" s="101"/>
      <c r="M311" s="101"/>
      <c r="N311" s="101"/>
      <c r="O311" s="101"/>
      <c r="P311" s="101"/>
      <c r="Q311" s="101"/>
      <c r="R311" s="101"/>
      <c r="S311" s="101"/>
      <c r="T311" s="101"/>
      <c r="U311" s="101"/>
      <c r="V311" s="101"/>
      <c r="W311" s="101"/>
      <c r="X311" s="101"/>
      <c r="Y311" s="101"/>
      <c r="Z311" s="101"/>
      <c r="AA311" s="101"/>
      <c r="AB311" s="101"/>
      <c r="AC311" s="101"/>
      <c r="AD311" s="101"/>
      <c r="AE311" s="118"/>
      <c r="AF311" s="101"/>
      <c r="AG311" s="101"/>
      <c r="AH311" s="101"/>
      <c r="AI311" s="101"/>
      <c r="AJ311" s="101"/>
      <c r="AK311" s="101"/>
      <c r="AL311" s="101"/>
      <c r="AM311" s="101"/>
      <c r="AN311" s="101"/>
      <c r="AO311" s="101"/>
      <c r="AP311" s="101"/>
      <c r="AQ311" s="101"/>
      <c r="AR311" s="118"/>
      <c r="AS311" s="101"/>
      <c r="AT311" s="101"/>
      <c r="AU311" s="101"/>
      <c r="AV311" s="101"/>
      <c r="AW311" s="101"/>
      <c r="AX311" s="101"/>
      <c r="AY311" s="101"/>
      <c r="AZ311" s="101"/>
      <c r="BA311" s="101"/>
      <c r="BB311" s="101"/>
      <c r="BC311" s="101"/>
      <c r="BD311" s="101"/>
      <c r="BE311" s="101"/>
      <c r="BF311" s="101"/>
      <c r="BG311" s="124"/>
    </row>
    <row r="312">
      <c r="B312" s="40"/>
      <c r="C312" s="41"/>
      <c r="D312" s="38"/>
      <c r="E312" s="38" t="s">
        <v>81</v>
      </c>
      <c r="F312" s="42">
        <f>25*I303</f>
        <v>25</v>
      </c>
      <c r="G312" s="112"/>
      <c r="H312" s="123"/>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18"/>
      <c r="AF312" s="101"/>
      <c r="AG312" s="101"/>
      <c r="AH312" s="101"/>
      <c r="AI312" s="101"/>
      <c r="AJ312" s="101"/>
      <c r="AK312" s="101"/>
      <c r="AL312" s="101"/>
      <c r="AM312" s="101"/>
      <c r="AN312" s="101"/>
      <c r="AO312" s="101"/>
      <c r="AP312" s="101"/>
      <c r="AQ312" s="101"/>
      <c r="AR312" s="118"/>
      <c r="AS312" s="101"/>
      <c r="AT312" s="101"/>
      <c r="AU312" s="101"/>
      <c r="AV312" s="101"/>
      <c r="AW312" s="101"/>
      <c r="AX312" s="101"/>
      <c r="AY312" s="101"/>
      <c r="AZ312" s="101"/>
      <c r="BA312" s="101"/>
      <c r="BB312" s="101"/>
      <c r="BC312" s="101"/>
      <c r="BD312" s="101"/>
      <c r="BE312" s="101"/>
      <c r="BF312" s="101"/>
      <c r="BG312" s="124"/>
    </row>
    <row r="313">
      <c r="B313" s="40"/>
      <c r="C313" s="41"/>
      <c r="D313" s="38"/>
      <c r="E313" s="38" t="s">
        <v>44</v>
      </c>
      <c r="F313" s="42">
        <f>0.3*I303</f>
        <v>0.3</v>
      </c>
      <c r="G313" s="112"/>
      <c r="H313" s="123"/>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18"/>
      <c r="AF313" s="101"/>
      <c r="AG313" s="101"/>
      <c r="AH313" s="101"/>
      <c r="AI313" s="101"/>
      <c r="AJ313" s="101"/>
      <c r="AK313" s="101"/>
      <c r="AL313" s="101"/>
      <c r="AM313" s="101"/>
      <c r="AN313" s="101"/>
      <c r="AO313" s="101"/>
      <c r="AP313" s="101"/>
      <c r="AQ313" s="101"/>
      <c r="AR313" s="118"/>
      <c r="AS313" s="101"/>
      <c r="AT313" s="101"/>
      <c r="AU313" s="101"/>
      <c r="AV313" s="101"/>
      <c r="AW313" s="101"/>
      <c r="AX313" s="101"/>
      <c r="AY313" s="101"/>
      <c r="AZ313" s="101"/>
      <c r="BA313" s="101"/>
      <c r="BB313" s="101"/>
      <c r="BC313" s="101"/>
      <c r="BD313" s="101"/>
      <c r="BE313" s="101"/>
      <c r="BF313" s="101"/>
      <c r="BG313" s="124"/>
    </row>
    <row r="314">
      <c r="B314" s="50"/>
      <c r="C314" s="51"/>
      <c r="D314" s="52"/>
      <c r="E314" s="52"/>
      <c r="F314" s="52"/>
      <c r="G314" s="112"/>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2"/>
      <c r="AF314" s="113"/>
      <c r="AG314" s="113"/>
      <c r="AH314" s="113"/>
      <c r="AI314" s="113"/>
      <c r="AJ314" s="113"/>
      <c r="AK314" s="113"/>
      <c r="AL314" s="113"/>
      <c r="AM314" s="113"/>
      <c r="AN314" s="113"/>
      <c r="AO314" s="113"/>
      <c r="AP314" s="113"/>
      <c r="AQ314" s="113"/>
      <c r="AR314" s="112"/>
      <c r="AS314" s="113"/>
      <c r="AT314" s="113"/>
      <c r="AU314" s="113"/>
      <c r="AV314" s="113"/>
      <c r="AW314" s="113"/>
      <c r="AX314" s="113"/>
      <c r="AY314" s="113"/>
      <c r="AZ314" s="113"/>
      <c r="BA314" s="113"/>
      <c r="BB314" s="113"/>
      <c r="BC314" s="113"/>
      <c r="BD314" s="113"/>
      <c r="BE314" s="113"/>
      <c r="BF314" s="113"/>
      <c r="BG314" s="114"/>
    </row>
    <row r="315">
      <c r="B315" s="31" t="s">
        <v>662</v>
      </c>
      <c r="C315" s="54"/>
      <c r="D315" s="45"/>
      <c r="E315" s="45"/>
      <c r="F315" s="47"/>
      <c r="G315" s="112"/>
      <c r="H315" s="55" t="s">
        <v>298</v>
      </c>
      <c r="I315" s="38" t="str">
        <f>VLOOKUP(H315,'Machine List'!$A$1:$I$300,9,FALSE)</f>
        <v>4000+500(7O-5)</v>
      </c>
      <c r="J315" s="38">
        <f>IF(VLOOKUP(H315,'Machine List'!$A$1:$I$300,5,FALSE)="Multi",IF(VLOOKUP(H315,'Machine List'!$A$1:$I$300,6,FALSE)="Yes",AG315*3*10^Z315,AG315*(2*3)*10^(Z315-1)),0)</f>
        <v>6</v>
      </c>
      <c r="K315" s="38">
        <f>J315+IF(ISNUMBER(I315),I315,
  SWITCH(
      I315,
      "1T",1*10^Z315,
      "2T",2*10^Z315,
      "3T",3*10^Z315,
      "4T",4*10^Z315,
      "4000+500(7O-5)",4000+500*(7*I316-5),
      1
  )
)</f>
        <v>12006</v>
      </c>
      <c r="L315" s="38">
        <f>IF(VLOOKUP(H315,'Machine List'!$A$1:$I$300,5,FALSE)="Multi",IF(VLOOKUP(H315,'Machine List'!$A$1:$I$300,6,FALSE)="Yes",AU315*3*10^AT315,AU315*(2*3)*10^(AT315-1)),0)</f>
        <v>6000</v>
      </c>
      <c r="M315" s="38">
        <f>L315+IF(ISNUMBER(I315),I315,
  SWITCH(
      I315,
      "1T",1*10^AT315,
      "2T",2*10^AT315,
      "3T",3*10^AT315,
      "4T",4*10^AT315,
      "4000+500(7O-5)",4000+500*(7*I316-5),
      1
  )
)</f>
        <v>18000</v>
      </c>
      <c r="N315" s="38" t="str">
        <f>VLOOKUP(H315,'Machine List'!$A$1:$I$300,8,FALSE)</f>
        <v>Tier</v>
      </c>
      <c r="O315" s="38">
        <f>IF(ISNUMBER(N315),N315,10^Z315)</f>
        <v>10</v>
      </c>
      <c r="P315" s="38">
        <f>IF(ISNUMBER(N315),N315,10^AT315)</f>
        <v>10000</v>
      </c>
      <c r="Q315" s="38">
        <f>VLOOKUP(H315,'Machine List'!$A$1:$B$138,2,FALSE)</f>
        <v>1</v>
      </c>
      <c r="R315" s="38" t="s">
        <v>277</v>
      </c>
      <c r="S315" s="45">
        <f>IF(ISNUMBER(Q315),Q315,
  SWITCH(
      Q315,
      "1",1,
      "2T",Z315*2,
      "4T",Z315*4,
      "6T",Z315*6,
      "8T",Z315*8,
      "10T",Z315*10,
      "12T",Z315*12,
      "14T",Z315*14,
      "16T",Z315*16,
      "2(T+1)",2*(Z315+1),
      "1T*C",Z315*J317,
      1
  )
)</f>
        <v>1</v>
      </c>
      <c r="T315" s="38" t="s">
        <v>277</v>
      </c>
      <c r="U315" s="38">
        <f>IF(OR(T315="No",T315=""),S315,T315)</f>
        <v>1</v>
      </c>
      <c r="V315" s="38">
        <f>IF(ISNUMBER(Q315),Q315,
  SWITCH(
      Q315,
      "1",1,
      "2T",AT315*2,
      "4T",AT315*4,
      "6T",AT315*6,
      "8T",AT315*8,
      "10T",AT315*10,
      "12T",AT315*12,
      "14T",AT315*14,
      "16T",AT315*16,
      "2(T+1)",2*(AT315+1),
      "1T*C",AT315*J317,
      1
  )
)</f>
        <v>1</v>
      </c>
      <c r="W315" s="38" t="str">
        <f>T315</f>
        <v>No</v>
      </c>
      <c r="X315" s="38">
        <f>IF(OR(W315="No",W315=""),V315,W315)</f>
        <v>1</v>
      </c>
      <c r="Y315" s="38" t="s">
        <v>390</v>
      </c>
      <c r="Z315" s="38">
        <f>VLOOKUP(Y315,'Item Helper Sheet'!$A$2:$B$16,2,FALSE)</f>
        <v>1</v>
      </c>
      <c r="AA315" s="38">
        <v>480.0</v>
      </c>
      <c r="AB315" s="38">
        <f>6*20</f>
        <v>120</v>
      </c>
      <c r="AC315" s="38">
        <f>AB315*I317</f>
        <v>120</v>
      </c>
      <c r="AD315" s="38">
        <f>AA315*AC315</f>
        <v>57600</v>
      </c>
      <c r="AE315" s="75"/>
      <c r="AF315" s="38" t="str">
        <f>Y315</f>
        <v>01 - LV</v>
      </c>
      <c r="AG315" s="38">
        <v>1.0</v>
      </c>
      <c r="AH315" s="38">
        <v>1.0</v>
      </c>
      <c r="AI315" s="38">
        <f>AH315*8*4^Z315</f>
        <v>32</v>
      </c>
      <c r="AJ315" s="38">
        <f>MIN(ROUNDDOWN(AI315/AL315,0),U315)</f>
        <v>0</v>
      </c>
      <c r="AK315" s="38">
        <f>IF(OR(T315="No",T315=""),AG315*S315,AG315*T315)</f>
        <v>1</v>
      </c>
      <c r="AL315" s="38">
        <f>ROUNDUP(AA315*VLOOKUP(H315,'Machine List'!$A$2:$D$219,4,FALSE),0)</f>
        <v>480</v>
      </c>
      <c r="AM315" s="38">
        <f>AL315*AK315</f>
        <v>480</v>
      </c>
      <c r="AN315" s="38">
        <f>ROUNDUP(AB315*I317,0)</f>
        <v>120</v>
      </c>
      <c r="AO315" s="38">
        <f>ROUNDUP(AN315/VLOOKUP(H315,'Machine List'!$A$2:$D$219,3,FALSE),0)</f>
        <v>120</v>
      </c>
      <c r="AP315" s="38">
        <f>ROUNDUP(AO315/AK315,0)</f>
        <v>120</v>
      </c>
      <c r="AQ315" s="38">
        <f>AM315*AP315</f>
        <v>57600</v>
      </c>
      <c r="AR315" s="75"/>
      <c r="AS315" s="38" t="s">
        <v>401</v>
      </c>
      <c r="AT315" s="38">
        <f>VLOOKUP(AS315,'Item Helper Sheet'!$A$2:$B$16,2,FALSE)</f>
        <v>4</v>
      </c>
      <c r="AU315" s="38">
        <f>AG315</f>
        <v>1</v>
      </c>
      <c r="AV315" s="38">
        <v>1.0</v>
      </c>
      <c r="AW315" s="38">
        <f>AV315*8*4^AT315</f>
        <v>2048</v>
      </c>
      <c r="AX315" s="38">
        <f>MIN(ROUNDDOWN(AW315/AL315,0),X315)</f>
        <v>1</v>
      </c>
      <c r="AY315" s="38">
        <f>AX315*AU315</f>
        <v>1</v>
      </c>
      <c r="AZ315" s="38">
        <f>AL315</f>
        <v>480</v>
      </c>
      <c r="BA315" s="38">
        <f>MIN(AT315-Z315,IF(AW315&gt;=AZ316*4,
IF(AW315&gt;=AZ316*4^2,
IF(AW315&gt;=AZ316*4^3,
IF(AW315&gt;=AZ316*4^4,
IF(AW315&gt;=AZ316*4^5,
IF(AW315&gt;=AZ316*4^6,
IF(AW315&gt;=AZ316*4^7,
IF(AW315&gt;=AZ316*4^8,
IF(AW315&gt;=AZ316*4^9,
IF(AW315&gt;=AZ316*4^10,
9),
8),
7),
6),
5),
4),
3),
2),
1),
0))</f>
        <v>1</v>
      </c>
      <c r="BB315" s="38">
        <f>AZ315*AX315*4^BA315</f>
        <v>1920</v>
      </c>
      <c r="BC315" s="38">
        <f>BB315*AU315</f>
        <v>1920</v>
      </c>
      <c r="BD315" s="45">
        <f>ROUNDUP(IF(R315="Yes",AN315/(2^((BA315)*2)),AN315/(2^(BA315))),0)</f>
        <v>60</v>
      </c>
      <c r="BE315" s="45">
        <f>ROUNDUP(BD315/VLOOKUP(H315,'Machine List'!$A$2:$D$219,3,FALSE),0)</f>
        <v>60</v>
      </c>
      <c r="BF315" s="45">
        <f>ROUNDUP(BE315/AY315,0)</f>
        <v>60</v>
      </c>
      <c r="BG315" s="46">
        <f>BF315*BC315</f>
        <v>115200</v>
      </c>
    </row>
    <row r="316">
      <c r="B316" s="40"/>
      <c r="C316" s="41" t="s">
        <v>81</v>
      </c>
      <c r="D316" s="38">
        <f>1000*I317</f>
        <v>1000</v>
      </c>
      <c r="E316" s="38" t="s">
        <v>147</v>
      </c>
      <c r="F316" s="42">
        <f>250*I317</f>
        <v>250</v>
      </c>
      <c r="G316" s="112"/>
      <c r="H316" s="99" t="s">
        <v>584</v>
      </c>
      <c r="I316" s="45">
        <f t="array" ref="I316">match(TRUE,ISBLANK(F316:F328),0)-1</f>
        <v>3</v>
      </c>
      <c r="J316" s="120" t="s">
        <v>420</v>
      </c>
      <c r="K316" s="120" t="s">
        <v>585</v>
      </c>
      <c r="L316" s="121"/>
      <c r="M316" s="121"/>
      <c r="N316" s="121"/>
      <c r="O316" s="121"/>
      <c r="P316" s="121"/>
      <c r="Q316" s="121"/>
      <c r="R316" s="121"/>
      <c r="S316" s="121"/>
      <c r="T316" s="121"/>
      <c r="U316" s="121"/>
      <c r="V316" s="121"/>
      <c r="W316" s="121"/>
      <c r="X316" s="121"/>
      <c r="Y316" s="121"/>
      <c r="Z316" s="121"/>
      <c r="AA316" s="121"/>
      <c r="AB316" s="121"/>
      <c r="AC316" s="121"/>
      <c r="AD316" s="121"/>
      <c r="AE316" s="118"/>
      <c r="AF316" s="121"/>
      <c r="AG316" s="121"/>
      <c r="AH316" s="121"/>
      <c r="AI316" s="121"/>
      <c r="AJ316" s="121"/>
      <c r="AK316" s="121"/>
      <c r="AL316" s="121"/>
      <c r="AM316" s="121"/>
      <c r="AN316" s="121"/>
      <c r="AO316" s="121"/>
      <c r="AP316" s="121"/>
      <c r="AQ316" s="121"/>
      <c r="AR316" s="118"/>
      <c r="AS316" s="121"/>
      <c r="AT316" s="121"/>
      <c r="AU316" s="121"/>
      <c r="AV316" s="121"/>
      <c r="AW316" s="121"/>
      <c r="AX316" s="121"/>
      <c r="AY316" s="121"/>
      <c r="AZ316" s="116">
        <f>AZ315*AX315</f>
        <v>480</v>
      </c>
      <c r="BA316" s="121"/>
      <c r="BB316" s="121"/>
      <c r="BC316" s="121"/>
      <c r="BD316" s="121"/>
      <c r="BE316" s="121"/>
      <c r="BF316" s="121"/>
      <c r="BG316" s="122"/>
    </row>
    <row r="317">
      <c r="B317" s="40"/>
      <c r="C317" s="41"/>
      <c r="D317" s="38"/>
      <c r="E317" s="38" t="s">
        <v>30</v>
      </c>
      <c r="F317" s="42">
        <f>400*I317</f>
        <v>400</v>
      </c>
      <c r="G317" s="112"/>
      <c r="H317" s="48" t="s">
        <v>502</v>
      </c>
      <c r="I317" s="49">
        <v>1.0</v>
      </c>
      <c r="J317" s="100" t="s">
        <v>424</v>
      </c>
      <c r="K317" s="120">
        <v>0.0</v>
      </c>
      <c r="L317" s="121"/>
      <c r="M317" s="121"/>
      <c r="N317" s="121"/>
      <c r="O317" s="121"/>
      <c r="P317" s="121"/>
      <c r="Q317" s="121"/>
      <c r="R317" s="121"/>
      <c r="S317" s="121"/>
      <c r="T317" s="121"/>
      <c r="U317" s="121"/>
      <c r="V317" s="121"/>
      <c r="W317" s="121"/>
      <c r="X317" s="121"/>
      <c r="Y317" s="121"/>
      <c r="Z317" s="121"/>
      <c r="AA317" s="121"/>
      <c r="AB317" s="121"/>
      <c r="AC317" s="121"/>
      <c r="AD317" s="121"/>
      <c r="AE317" s="118"/>
      <c r="AF317" s="121"/>
      <c r="AG317" s="121"/>
      <c r="AH317" s="121"/>
      <c r="AI317" s="121"/>
      <c r="AJ317" s="121"/>
      <c r="AK317" s="121"/>
      <c r="AL317" s="121"/>
      <c r="AM317" s="121"/>
      <c r="AN317" s="121"/>
      <c r="AO317" s="121"/>
      <c r="AP317" s="121"/>
      <c r="AQ317" s="121"/>
      <c r="AR317" s="118"/>
      <c r="AS317" s="121"/>
      <c r="AT317" s="121"/>
      <c r="AU317" s="121"/>
      <c r="AV317" s="121"/>
      <c r="AW317" s="121"/>
      <c r="AX317" s="121"/>
      <c r="AY317" s="121"/>
      <c r="AZ317" s="121"/>
      <c r="BA317" s="121"/>
      <c r="BB317" s="121"/>
      <c r="BC317" s="121"/>
      <c r="BD317" s="121"/>
      <c r="BE317" s="121"/>
      <c r="BF317" s="121"/>
      <c r="BG317" s="122"/>
    </row>
    <row r="318">
      <c r="B318" s="40"/>
      <c r="C318" s="41"/>
      <c r="D318" s="38"/>
      <c r="E318" s="38" t="s">
        <v>238</v>
      </c>
      <c r="F318" s="42">
        <f>400*I317</f>
        <v>400</v>
      </c>
      <c r="G318" s="112"/>
      <c r="H318" s="44"/>
      <c r="I318" s="45"/>
      <c r="J318" s="45"/>
      <c r="K318" s="45"/>
      <c r="L318" s="45"/>
      <c r="M318" s="45"/>
      <c r="N318" s="45"/>
      <c r="O318" s="45"/>
      <c r="P318" s="45"/>
      <c r="Q318" s="45"/>
      <c r="R318" s="45"/>
      <c r="S318" s="101"/>
      <c r="T318" s="101"/>
      <c r="U318" s="45"/>
      <c r="V318" s="45"/>
      <c r="W318" s="45"/>
      <c r="X318" s="45"/>
      <c r="Y318" s="45"/>
      <c r="Z318" s="45"/>
      <c r="AA318" s="45"/>
      <c r="AB318" s="45"/>
      <c r="AC318" s="45"/>
      <c r="AD318" s="45"/>
      <c r="AE318" s="79"/>
      <c r="AF318" s="45"/>
      <c r="AG318" s="45"/>
      <c r="AH318" s="45"/>
      <c r="AI318" s="45"/>
      <c r="AJ318" s="45"/>
      <c r="AK318" s="45"/>
      <c r="AL318" s="45"/>
      <c r="AM318" s="45"/>
      <c r="AN318" s="45"/>
      <c r="AO318" s="45"/>
      <c r="AP318" s="45"/>
      <c r="AQ318" s="45"/>
      <c r="AR318" s="79"/>
      <c r="AS318" s="45"/>
      <c r="AT318" s="45"/>
      <c r="AU318" s="45"/>
      <c r="AV318" s="45"/>
      <c r="AW318" s="45"/>
      <c r="AX318" s="45"/>
      <c r="AY318" s="45"/>
      <c r="AZ318" s="45"/>
      <c r="BA318" s="45"/>
      <c r="BB318" s="45"/>
      <c r="BC318" s="45"/>
      <c r="BD318" s="45"/>
      <c r="BE318" s="45"/>
      <c r="BF318" s="45"/>
      <c r="BG318" s="46"/>
    </row>
    <row r="319">
      <c r="B319" s="50"/>
      <c r="C319" s="51"/>
      <c r="D319" s="52"/>
      <c r="E319" s="52"/>
      <c r="F319" s="52"/>
      <c r="G319" s="112"/>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2"/>
      <c r="AF319" s="113"/>
      <c r="AG319" s="113"/>
      <c r="AH319" s="113"/>
      <c r="AI319" s="113"/>
      <c r="AJ319" s="113"/>
      <c r="AK319" s="113"/>
      <c r="AL319" s="113"/>
      <c r="AM319" s="113"/>
      <c r="AN319" s="113"/>
      <c r="AO319" s="113"/>
      <c r="AP319" s="113"/>
      <c r="AQ319" s="113"/>
      <c r="AR319" s="112"/>
      <c r="AS319" s="113"/>
      <c r="AT319" s="113"/>
      <c r="AU319" s="113"/>
      <c r="AV319" s="113"/>
      <c r="AW319" s="113"/>
      <c r="AX319" s="113"/>
      <c r="AY319" s="113"/>
      <c r="AZ319" s="113"/>
      <c r="BA319" s="113"/>
      <c r="BB319" s="113"/>
      <c r="BC319" s="113"/>
      <c r="BD319" s="113"/>
      <c r="BE319" s="113"/>
      <c r="BF319" s="113"/>
      <c r="BG319" s="114"/>
    </row>
    <row r="320">
      <c r="B320" s="31" t="s">
        <v>663</v>
      </c>
      <c r="C320" s="54"/>
      <c r="D320" s="45"/>
      <c r="E320" s="45"/>
      <c r="F320" s="47"/>
      <c r="G320" s="112"/>
      <c r="H320" s="55" t="s">
        <v>349</v>
      </c>
      <c r="I320" s="38">
        <f>VLOOKUP(H320,'Machine List'!$A$1:$I$300,9,FALSE)</f>
        <v>4000</v>
      </c>
      <c r="J320" s="38">
        <f>IF(VLOOKUP(H320,'Machine List'!$A$1:$I$300,5,FALSE)="Multi",IF(VLOOKUP(H320,'Machine List'!$A$1:$I$300,6,FALSE)="Yes",AG320*3*10^Z320,AG320*(2*3)*10^(Z320-1)),0)</f>
        <v>6</v>
      </c>
      <c r="K320" s="38">
        <f>J320+IF(ISNUMBER(I320),I320,
  SWITCH(
      I320,
      "1T",1*10^Z320,
      "2T",2*10^Z320,
      "3T",3*10^Z320,
      "4T",4*10^Z320,
      "4000+500(7O-5)",4000+500*(7*I321-5),
      1
  )
)</f>
        <v>4006</v>
      </c>
      <c r="L320" s="38">
        <f>IF(VLOOKUP(H320,'Machine List'!$A$1:$I$300,5,FALSE)="Multi",IF(VLOOKUP(H320,'Machine List'!$A$1:$I$300,6,FALSE)="Yes",AU320*3*10^AT320,AU320*(2*3)*10^(AT320-1)),0)</f>
        <v>600</v>
      </c>
      <c r="M320" s="38">
        <f>L320+IF(ISNUMBER(I320),I320,
  SWITCH(
      I320,
      "1T",1*10^AT320,
      "2T",2*10^AT320,
      "3T",3*10^AT320,
      "4T",4*10^AT320,
      "4000+500(7O-5)",4000+500*(7*I321-5),
      1
  )
)</f>
        <v>4600</v>
      </c>
      <c r="N320" s="38" t="str">
        <f>VLOOKUP(H320,'Machine List'!$A$1:$I$300,8,FALSE)</f>
        <v>Tier</v>
      </c>
      <c r="O320" s="38">
        <f>IF(ISNUMBER(N320),N320,10^Z320)</f>
        <v>10</v>
      </c>
      <c r="P320" s="38">
        <f>IF(ISNUMBER(N320),N320,10^AT320)</f>
        <v>1000</v>
      </c>
      <c r="Q320" s="38">
        <f>VLOOKUP(H320,'Machine List'!$A$1:$B$138,2,FALSE)</f>
        <v>1</v>
      </c>
      <c r="R320" s="38" t="s">
        <v>594</v>
      </c>
      <c r="S320" s="45">
        <f>IF(ISNUMBER(Q320),Q320,
  SWITCH(
      Q320,
      "1",1,
      "2T",Z320*2,
      "4T",Z320*4,
      "6T",Z320*6,
      "8T",Z320*8,
      "10T",Z320*10,
      "12T",Z320*12,
      "14T",Z320*14,
      "16T",Z320*16,
      "2(T+1)",2*(Z320+1),
      "1T*C",Z320*J322,
      1
  )
)</f>
        <v>1</v>
      </c>
      <c r="T320" s="38" t="s">
        <v>277</v>
      </c>
      <c r="U320" s="38">
        <f>IF(OR(T320="No",T320=""),S320,T320)</f>
        <v>1</v>
      </c>
      <c r="V320" s="38">
        <f>IF(ISNUMBER(Q320),Q320,
  SWITCH(
      Q320,
      "1",1,
      "2T",AT320*2,
      "4T",AT320*4,
      "6T",AT320*6,
      "8T",AT320*8,
      "10T",AT320*10,
      "12T",AT320*12,
      "14T",AT320*14,
      "16T",AT320*16,
      "2(T+1)",2*(AT320+1),
      "1T*C",AT320*J322,
      1
  )
)</f>
        <v>1</v>
      </c>
      <c r="W320" s="38" t="str">
        <f>T320</f>
        <v>No</v>
      </c>
      <c r="X320" s="38">
        <f>IF(OR(W320="No",W320=""),V320,W320)</f>
        <v>1</v>
      </c>
      <c r="Y320" s="38" t="s">
        <v>390</v>
      </c>
      <c r="Z320" s="38">
        <f>VLOOKUP(Y320,'Item Helper Sheet'!$A$2:$B$16,2,FALSE)</f>
        <v>1</v>
      </c>
      <c r="AA320" s="38">
        <v>96.0</v>
      </c>
      <c r="AB320" s="38">
        <f>6*20</f>
        <v>120</v>
      </c>
      <c r="AC320" s="38">
        <f>AB320*I322</f>
        <v>120</v>
      </c>
      <c r="AD320" s="38">
        <f>AA320*AC320</f>
        <v>11520</v>
      </c>
      <c r="AE320" s="75"/>
      <c r="AF320" s="38" t="str">
        <f>Y320</f>
        <v>01 - LV</v>
      </c>
      <c r="AG320" s="38">
        <v>1.0</v>
      </c>
      <c r="AH320" s="38">
        <v>1.0</v>
      </c>
      <c r="AI320" s="38">
        <f>AH320*8*4^Z320</f>
        <v>32</v>
      </c>
      <c r="AJ320" s="38">
        <f>MIN(ROUNDDOWN(AI320/AL320,0),U320)</f>
        <v>0</v>
      </c>
      <c r="AK320" s="38">
        <f>IF(OR(T320="No",T320=""),AG320*S320,AG320*T320)</f>
        <v>1</v>
      </c>
      <c r="AL320" s="38">
        <f>ROUNDUP(AA320*VLOOKUP(H320,'Machine List'!$A$2:$D$219,4,FALSE),0)</f>
        <v>96</v>
      </c>
      <c r="AM320" s="38">
        <f>AL320*AK320</f>
        <v>96</v>
      </c>
      <c r="AN320" s="38">
        <f>ROUNDUP(AB320*I322,0)</f>
        <v>120</v>
      </c>
      <c r="AO320" s="38">
        <f>ROUNDUP(AN320/VLOOKUP(H320,'Machine List'!$A$2:$D$219,3,FALSE),0)</f>
        <v>120</v>
      </c>
      <c r="AP320" s="38">
        <f>ROUNDUP(AO320/AK320,0)</f>
        <v>120</v>
      </c>
      <c r="AQ320" s="38">
        <f>AM320*AP320</f>
        <v>11520</v>
      </c>
      <c r="AR320" s="75"/>
      <c r="AS320" s="38" t="s">
        <v>397</v>
      </c>
      <c r="AT320" s="38">
        <f>VLOOKUP(AS320,'Item Helper Sheet'!$A$2:$B$16,2,FALSE)</f>
        <v>3</v>
      </c>
      <c r="AU320" s="38">
        <f>AG320</f>
        <v>1</v>
      </c>
      <c r="AV320" s="38">
        <v>1.0</v>
      </c>
      <c r="AW320" s="38">
        <f>AV320*8*4^AT320</f>
        <v>512</v>
      </c>
      <c r="AX320" s="38">
        <f>MIN(ROUNDDOWN(AW320/AL320,0),X320)</f>
        <v>1</v>
      </c>
      <c r="AY320" s="38">
        <f>AX320*AU320</f>
        <v>1</v>
      </c>
      <c r="AZ320" s="38">
        <f>AL320</f>
        <v>96</v>
      </c>
      <c r="BA320" s="38">
        <f>MIN(AT320-Z320,IF(AW320&gt;=AZ321*4,
IF(AW320&gt;=AZ321*4^2,
IF(AW320&gt;=AZ321*4^3,
IF(AW320&gt;=AZ321*4^4,
IF(AW320&gt;=AZ321*4^5,
IF(AW320&gt;=AZ321*4^6,
IF(AW320&gt;=AZ321*4^7,
IF(AW320&gt;=AZ321*4^8,
IF(AW320&gt;=AZ321*4^9,
IF(AW320&gt;=AZ321*4^10,
9),
8),
7),
6),
5),
4),
3),
2),
1),
0))</f>
        <v>1</v>
      </c>
      <c r="BB320" s="38">
        <f>AZ320*AX320*4^BA320</f>
        <v>384</v>
      </c>
      <c r="BC320" s="38">
        <f>BB320*AU320</f>
        <v>384</v>
      </c>
      <c r="BD320" s="45">
        <f>ROUNDUP(IF(R320="Yes",AN320/(2^((BA320)*2)),AN320/(2^(BA320))),0)</f>
        <v>30</v>
      </c>
      <c r="BE320" s="45">
        <f>ROUNDUP(BD320/VLOOKUP(H320,'Machine List'!$A$2:$D$219,3,FALSE),0)</f>
        <v>30</v>
      </c>
      <c r="BF320" s="45">
        <f>ROUNDUP(BE320/AY320,0)</f>
        <v>30</v>
      </c>
      <c r="BG320" s="46">
        <f>BF320*BC320</f>
        <v>11520</v>
      </c>
    </row>
    <row r="321">
      <c r="B321" s="40"/>
      <c r="C321" s="41" t="s">
        <v>87</v>
      </c>
      <c r="D321" s="38">
        <f>4000*I322</f>
        <v>4000</v>
      </c>
      <c r="E321" s="38" t="s">
        <v>119</v>
      </c>
      <c r="F321" s="42">
        <f>1000*I322</f>
        <v>1000</v>
      </c>
      <c r="G321" s="112"/>
      <c r="H321" s="99" t="s">
        <v>584</v>
      </c>
      <c r="I321" s="45">
        <f t="array" ref="I321">match(TRUE,ISBLANK(F321:F333),0)-1</f>
        <v>1</v>
      </c>
      <c r="J321" s="120" t="s">
        <v>420</v>
      </c>
      <c r="K321" s="120" t="s">
        <v>585</v>
      </c>
      <c r="L321" s="121"/>
      <c r="M321" s="121"/>
      <c r="N321" s="121"/>
      <c r="O321" s="121"/>
      <c r="P321" s="121"/>
      <c r="Q321" s="121"/>
      <c r="R321" s="121"/>
      <c r="S321" s="121"/>
      <c r="T321" s="121"/>
      <c r="U321" s="121"/>
      <c r="V321" s="121"/>
      <c r="W321" s="121"/>
      <c r="X321" s="121"/>
      <c r="Y321" s="121"/>
      <c r="Z321" s="121"/>
      <c r="AA321" s="121"/>
      <c r="AB321" s="121"/>
      <c r="AC321" s="121"/>
      <c r="AD321" s="121"/>
      <c r="AE321" s="118"/>
      <c r="AF321" s="121"/>
      <c r="AG321" s="121"/>
      <c r="AH321" s="121"/>
      <c r="AI321" s="121"/>
      <c r="AJ321" s="121"/>
      <c r="AK321" s="121"/>
      <c r="AL321" s="121"/>
      <c r="AM321" s="121"/>
      <c r="AN321" s="121"/>
      <c r="AO321" s="121"/>
      <c r="AP321" s="121"/>
      <c r="AQ321" s="121"/>
      <c r="AR321" s="118"/>
      <c r="AS321" s="121"/>
      <c r="AT321" s="121"/>
      <c r="AU321" s="121"/>
      <c r="AV321" s="121"/>
      <c r="AW321" s="121"/>
      <c r="AX321" s="121"/>
      <c r="AY321" s="121"/>
      <c r="AZ321" s="116">
        <f>AZ320*AX320</f>
        <v>96</v>
      </c>
      <c r="BA321" s="121"/>
      <c r="BB321" s="121"/>
      <c r="BC321" s="121"/>
      <c r="BD321" s="121"/>
      <c r="BE321" s="121"/>
      <c r="BF321" s="121"/>
      <c r="BG321" s="122"/>
    </row>
    <row r="322">
      <c r="B322" s="40"/>
      <c r="C322" s="41" t="s">
        <v>45</v>
      </c>
      <c r="D322" s="38">
        <f>1000*I322</f>
        <v>1000</v>
      </c>
      <c r="E322" s="38"/>
      <c r="F322" s="42"/>
      <c r="G322" s="112"/>
      <c r="H322" s="48" t="s">
        <v>502</v>
      </c>
      <c r="I322" s="49">
        <v>1.0</v>
      </c>
      <c r="J322" s="100" t="s">
        <v>424</v>
      </c>
      <c r="K322" s="120">
        <v>0.0</v>
      </c>
      <c r="L322" s="121"/>
      <c r="M322" s="121"/>
      <c r="N322" s="121"/>
      <c r="O322" s="121"/>
      <c r="P322" s="121"/>
      <c r="Q322" s="121"/>
      <c r="R322" s="121"/>
      <c r="S322" s="121"/>
      <c r="T322" s="121"/>
      <c r="U322" s="121"/>
      <c r="V322" s="121"/>
      <c r="W322" s="121"/>
      <c r="X322" s="121"/>
      <c r="Y322" s="121"/>
      <c r="Z322" s="121"/>
      <c r="AA322" s="121"/>
      <c r="AB322" s="121"/>
      <c r="AC322" s="121"/>
      <c r="AD322" s="121"/>
      <c r="AE322" s="118"/>
      <c r="AF322" s="121"/>
      <c r="AG322" s="121"/>
      <c r="AH322" s="121"/>
      <c r="AI322" s="121"/>
      <c r="AJ322" s="121"/>
      <c r="AK322" s="121"/>
      <c r="AL322" s="121"/>
      <c r="AM322" s="121"/>
      <c r="AN322" s="121"/>
      <c r="AO322" s="121"/>
      <c r="AP322" s="121"/>
      <c r="AQ322" s="121"/>
      <c r="AR322" s="118"/>
      <c r="AS322" s="121"/>
      <c r="AT322" s="121"/>
      <c r="AU322" s="121"/>
      <c r="AV322" s="121"/>
      <c r="AW322" s="121"/>
      <c r="AX322" s="121"/>
      <c r="AY322" s="121"/>
      <c r="AZ322" s="121"/>
      <c r="BA322" s="121"/>
      <c r="BB322" s="121"/>
      <c r="BC322" s="121"/>
      <c r="BD322" s="121"/>
      <c r="BE322" s="121"/>
      <c r="BF322" s="121"/>
      <c r="BG322" s="122"/>
    </row>
    <row r="323">
      <c r="B323" s="50"/>
      <c r="C323" s="51"/>
      <c r="D323" s="52"/>
      <c r="E323" s="52"/>
      <c r="F323" s="52"/>
      <c r="G323" s="112"/>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2"/>
      <c r="AF323" s="113"/>
      <c r="AG323" s="113"/>
      <c r="AH323" s="113"/>
      <c r="AI323" s="113"/>
      <c r="AJ323" s="113"/>
      <c r="AK323" s="113"/>
      <c r="AL323" s="113"/>
      <c r="AM323" s="113"/>
      <c r="AN323" s="113"/>
      <c r="AO323" s="113"/>
      <c r="AP323" s="113"/>
      <c r="AQ323" s="113"/>
      <c r="AR323" s="112"/>
      <c r="AS323" s="113"/>
      <c r="AT323" s="113"/>
      <c r="AU323" s="113"/>
      <c r="AV323" s="113"/>
      <c r="AW323" s="113"/>
      <c r="AX323" s="113"/>
      <c r="AY323" s="113"/>
      <c r="AZ323" s="113"/>
      <c r="BA323" s="113"/>
      <c r="BB323" s="113"/>
      <c r="BC323" s="113"/>
      <c r="BD323" s="113"/>
      <c r="BE323" s="113"/>
      <c r="BF323" s="113"/>
      <c r="BG323" s="114"/>
    </row>
    <row r="324">
      <c r="B324" s="31" t="s">
        <v>664</v>
      </c>
      <c r="C324" s="54"/>
      <c r="D324" s="45"/>
      <c r="E324" s="45"/>
      <c r="F324" s="47"/>
      <c r="G324" s="112"/>
      <c r="H324" s="55" t="s">
        <v>349</v>
      </c>
      <c r="I324" s="38">
        <f>VLOOKUP(H324,'Machine List'!$A$1:$I$300,9,FALSE)</f>
        <v>4000</v>
      </c>
      <c r="J324" s="38">
        <f>IF(VLOOKUP(H324,'Machine List'!$A$1:$I$300,5,FALSE)="Multi",IF(VLOOKUP(H324,'Machine List'!$A$1:$I$300,6,FALSE)="Yes",AG324*3*10^Z324,AG324*(2*3)*10^(Z324-1)),0)</f>
        <v>6</v>
      </c>
      <c r="K324" s="38">
        <f>J324+IF(ISNUMBER(I324),I324,
  SWITCH(
      I324,
      "1T",1*10^Z324,
      "2T",2*10^Z324,
      "3T",3*10^Z324,
      "4T",4*10^Z324,
      "4000+500(7O-5)",4000+500*(7*I325-5),
      1
  )
)</f>
        <v>4006</v>
      </c>
      <c r="L324" s="38">
        <f>IF(VLOOKUP(H324,'Machine List'!$A$1:$I$300,5,FALSE)="Multi",IF(VLOOKUP(H324,'Machine List'!$A$1:$I$300,6,FALSE)="Yes",AU324*3*10^AT324,AU324*(2*3)*10^(AT324-1)),0)</f>
        <v>600</v>
      </c>
      <c r="M324" s="38">
        <f>L324+IF(ISNUMBER(I324),I324,
  SWITCH(
      I324,
      "1T",1*10^AT324,
      "2T",2*10^AT324,
      "3T",3*10^AT324,
      "4T",4*10^AT324,
      "4000+500(7O-5)",4000+500*(7*I325-5),
      1
  )
)</f>
        <v>4600</v>
      </c>
      <c r="N324" s="38" t="str">
        <f>VLOOKUP(H324,'Machine List'!$A$1:$I$300,8,FALSE)</f>
        <v>Tier</v>
      </c>
      <c r="O324" s="38">
        <f>IF(ISNUMBER(N324),N324,10^Z324)</f>
        <v>10</v>
      </c>
      <c r="P324" s="38">
        <f>IF(ISNUMBER(N324),N324,10^AT324)</f>
        <v>1000</v>
      </c>
      <c r="Q324" s="38">
        <f>VLOOKUP(H324,'Machine List'!$A$1:$B$138,2,FALSE)</f>
        <v>1</v>
      </c>
      <c r="R324" s="38" t="s">
        <v>594</v>
      </c>
      <c r="S324" s="45">
        <f>IF(ISNUMBER(Q324),Q324,
  SWITCH(
      Q324,
      "1",1,
      "2T",Z324*2,
      "4T",Z324*4,
      "6T",Z324*6,
      "8T",Z324*8,
      "10T",Z324*10,
      "12T",Z324*12,
      "14T",Z324*14,
      "16T",Z324*16,
      "2(T+1)",2*(Z324+1),
      "1T*C",Z324*J326,
      1
  )
)</f>
        <v>1</v>
      </c>
      <c r="T324" s="38" t="s">
        <v>277</v>
      </c>
      <c r="U324" s="38">
        <f>IF(OR(T324="No",T324=""),S324,T324)</f>
        <v>1</v>
      </c>
      <c r="V324" s="38">
        <f>IF(ISNUMBER(Q324),Q324,
  SWITCH(
      Q324,
      "1",1,
      "2T",AT324*2,
      "4T",AT324*4,
      "6T",AT324*6,
      "8T",AT324*8,
      "10T",AT324*10,
      "12T",AT324*12,
      "14T",AT324*14,
      "16T",AT324*16,
      "2(T+1)",2*(AT324+1),
      "1T*C",AT324*J326,
      1
  )
)</f>
        <v>1</v>
      </c>
      <c r="W324" s="38" t="str">
        <f>T324</f>
        <v>No</v>
      </c>
      <c r="X324" s="38">
        <f>IF(OR(W324="No",W324=""),V324,W324)</f>
        <v>1</v>
      </c>
      <c r="Y324" s="38" t="s">
        <v>390</v>
      </c>
      <c r="Z324" s="38">
        <f>VLOOKUP(Y324,'Item Helper Sheet'!$A$2:$B$16,2,FALSE)</f>
        <v>1</v>
      </c>
      <c r="AA324" s="38">
        <v>96.0</v>
      </c>
      <c r="AB324" s="38">
        <f>6*20</f>
        <v>120</v>
      </c>
      <c r="AC324" s="38">
        <f>AB324*I326</f>
        <v>120</v>
      </c>
      <c r="AD324" s="38">
        <f>AA324*AC324</f>
        <v>11520</v>
      </c>
      <c r="AE324" s="75"/>
      <c r="AF324" s="38" t="str">
        <f>Y324</f>
        <v>01 - LV</v>
      </c>
      <c r="AG324" s="38">
        <v>1.0</v>
      </c>
      <c r="AH324" s="38">
        <v>1.0</v>
      </c>
      <c r="AI324" s="38">
        <f>AH324*8*4^Z324</f>
        <v>32</v>
      </c>
      <c r="AJ324" s="38">
        <f>MIN(ROUNDDOWN(AI324/AL324,0),U324)</f>
        <v>0</v>
      </c>
      <c r="AK324" s="38">
        <f>IF(OR(T324="No",T324=""),AG324*S324,AG324*T324)</f>
        <v>1</v>
      </c>
      <c r="AL324" s="38">
        <f>ROUNDUP(AA324*VLOOKUP(H324,'Machine List'!$A$2:$D$219,4,FALSE),0)</f>
        <v>96</v>
      </c>
      <c r="AM324" s="38">
        <f>AL324*AK324</f>
        <v>96</v>
      </c>
      <c r="AN324" s="38">
        <f>ROUNDUP(AB324*I326,0)</f>
        <v>120</v>
      </c>
      <c r="AO324" s="38">
        <f>ROUNDUP(AN324/VLOOKUP(H324,'Machine List'!$A$2:$D$219,3,FALSE),0)</f>
        <v>120</v>
      </c>
      <c r="AP324" s="38">
        <f>ROUNDUP(AO324/AK324,0)</f>
        <v>120</v>
      </c>
      <c r="AQ324" s="38">
        <f>AM324*AP324</f>
        <v>11520</v>
      </c>
      <c r="AR324" s="75"/>
      <c r="AS324" s="38" t="s">
        <v>397</v>
      </c>
      <c r="AT324" s="38">
        <f>VLOOKUP(AS324,'Item Helper Sheet'!$A$2:$B$16,2,FALSE)</f>
        <v>3</v>
      </c>
      <c r="AU324" s="38">
        <f>AG324</f>
        <v>1</v>
      </c>
      <c r="AV324" s="38">
        <v>1.0</v>
      </c>
      <c r="AW324" s="38">
        <f>AV324*8*4^AT324</f>
        <v>512</v>
      </c>
      <c r="AX324" s="38">
        <f>MIN(ROUNDDOWN(AW324/AL324,0),X324)</f>
        <v>1</v>
      </c>
      <c r="AY324" s="38">
        <f>AX324*AU324</f>
        <v>1</v>
      </c>
      <c r="AZ324" s="38">
        <f>AL324</f>
        <v>96</v>
      </c>
      <c r="BA324" s="38">
        <f>MIN(AT324-Z324,IF(AW324&gt;=AZ325*4,
IF(AW324&gt;=AZ325*4^2,
IF(AW324&gt;=AZ325*4^3,
IF(AW324&gt;=AZ325*4^4,
IF(AW324&gt;=AZ325*4^5,
IF(AW324&gt;=AZ325*4^6,
IF(AW324&gt;=AZ325*4^7,
IF(AW324&gt;=AZ325*4^8,
IF(AW324&gt;=AZ325*4^9,
IF(AW324&gt;=AZ325*4^10,
9),
8),
7),
6),
5),
4),
3),
2),
1),
0))</f>
        <v>1</v>
      </c>
      <c r="BB324" s="38">
        <f>AZ324*AX324*4^BA324</f>
        <v>384</v>
      </c>
      <c r="BC324" s="38">
        <f>BB324*AU324</f>
        <v>384</v>
      </c>
      <c r="BD324" s="45">
        <f>ROUNDUP(IF(R324="Yes",AN324/(2^((BA324)*2)),AN324/(2^(BA324))),0)</f>
        <v>30</v>
      </c>
      <c r="BE324" s="45">
        <f>ROUNDUP(BD324/VLOOKUP(H324,'Machine List'!$A$2:$D$219,3,FALSE),0)</f>
        <v>30</v>
      </c>
      <c r="BF324" s="45">
        <f>ROUNDUP(BE324/AY324,0)</f>
        <v>30</v>
      </c>
      <c r="BG324" s="46">
        <f>BF324*BC324</f>
        <v>11520</v>
      </c>
    </row>
    <row r="325">
      <c r="B325" s="40"/>
      <c r="C325" s="41" t="s">
        <v>119</v>
      </c>
      <c r="D325" s="38">
        <f>1000*I326</f>
        <v>1000</v>
      </c>
      <c r="E325" s="38" t="s">
        <v>121</v>
      </c>
      <c r="F325" s="42">
        <f>1000*I326</f>
        <v>1000</v>
      </c>
      <c r="G325" s="112"/>
      <c r="H325" s="99" t="s">
        <v>584</v>
      </c>
      <c r="I325" s="45">
        <f t="array" ref="I325">match(TRUE,ISBLANK(F325:F337),0)-1</f>
        <v>1</v>
      </c>
      <c r="J325" s="120" t="s">
        <v>420</v>
      </c>
      <c r="K325" s="120" t="s">
        <v>585</v>
      </c>
      <c r="L325" s="121"/>
      <c r="M325" s="121"/>
      <c r="N325" s="121"/>
      <c r="O325" s="121"/>
      <c r="P325" s="121"/>
      <c r="Q325" s="121"/>
      <c r="R325" s="121"/>
      <c r="S325" s="121"/>
      <c r="T325" s="121"/>
      <c r="U325" s="121"/>
      <c r="V325" s="121"/>
      <c r="W325" s="121"/>
      <c r="X325" s="121"/>
      <c r="Y325" s="121"/>
      <c r="Z325" s="121"/>
      <c r="AA325" s="121"/>
      <c r="AB325" s="121"/>
      <c r="AC325" s="121"/>
      <c r="AD325" s="121"/>
      <c r="AE325" s="118"/>
      <c r="AF325" s="121"/>
      <c r="AG325" s="121"/>
      <c r="AH325" s="121"/>
      <c r="AI325" s="121"/>
      <c r="AJ325" s="121"/>
      <c r="AK325" s="121"/>
      <c r="AL325" s="121"/>
      <c r="AM325" s="121"/>
      <c r="AN325" s="121"/>
      <c r="AO325" s="121"/>
      <c r="AP325" s="121"/>
      <c r="AQ325" s="121"/>
      <c r="AR325" s="118"/>
      <c r="AS325" s="121"/>
      <c r="AT325" s="121"/>
      <c r="AU325" s="121"/>
      <c r="AV325" s="121"/>
      <c r="AW325" s="121"/>
      <c r="AX325" s="121"/>
      <c r="AY325" s="121"/>
      <c r="AZ325" s="116">
        <f>AZ324*AX324</f>
        <v>96</v>
      </c>
      <c r="BA325" s="121"/>
      <c r="BB325" s="121"/>
      <c r="BC325" s="121"/>
      <c r="BD325" s="121"/>
      <c r="BE325" s="121"/>
      <c r="BF325" s="121"/>
      <c r="BG325" s="122"/>
    </row>
    <row r="326">
      <c r="B326" s="40"/>
      <c r="C326" s="41" t="s">
        <v>39</v>
      </c>
      <c r="D326" s="38">
        <f>1000*I326</f>
        <v>1000</v>
      </c>
      <c r="E326" s="38"/>
      <c r="F326" s="42"/>
      <c r="G326" s="112"/>
      <c r="H326" s="48" t="s">
        <v>502</v>
      </c>
      <c r="I326" s="49">
        <v>1.0</v>
      </c>
      <c r="J326" s="100" t="s">
        <v>424</v>
      </c>
      <c r="K326" s="120">
        <v>0.0</v>
      </c>
      <c r="L326" s="121"/>
      <c r="M326" s="121"/>
      <c r="N326" s="121"/>
      <c r="O326" s="121"/>
      <c r="P326" s="121"/>
      <c r="Q326" s="121"/>
      <c r="R326" s="121"/>
      <c r="S326" s="121"/>
      <c r="T326" s="121"/>
      <c r="U326" s="121"/>
      <c r="V326" s="121"/>
      <c r="W326" s="121"/>
      <c r="X326" s="121"/>
      <c r="Y326" s="121"/>
      <c r="Z326" s="121"/>
      <c r="AA326" s="121"/>
      <c r="AB326" s="121"/>
      <c r="AC326" s="121"/>
      <c r="AD326" s="121"/>
      <c r="AE326" s="118"/>
      <c r="AF326" s="121"/>
      <c r="AG326" s="121"/>
      <c r="AH326" s="121"/>
      <c r="AI326" s="121"/>
      <c r="AJ326" s="121"/>
      <c r="AK326" s="121"/>
      <c r="AL326" s="121"/>
      <c r="AM326" s="121"/>
      <c r="AN326" s="121"/>
      <c r="AO326" s="121"/>
      <c r="AP326" s="121"/>
      <c r="AQ326" s="121"/>
      <c r="AR326" s="118"/>
      <c r="AS326" s="121"/>
      <c r="AT326" s="121"/>
      <c r="AU326" s="121"/>
      <c r="AV326" s="121"/>
      <c r="AW326" s="121"/>
      <c r="AX326" s="121"/>
      <c r="AY326" s="121"/>
      <c r="AZ326" s="121"/>
      <c r="BA326" s="121"/>
      <c r="BB326" s="121"/>
      <c r="BC326" s="121"/>
      <c r="BD326" s="121"/>
      <c r="BE326" s="121"/>
      <c r="BF326" s="121"/>
      <c r="BG326" s="122"/>
    </row>
    <row r="327">
      <c r="B327" s="50"/>
      <c r="C327" s="51"/>
      <c r="D327" s="52"/>
      <c r="E327" s="52"/>
      <c r="F327" s="52"/>
      <c r="G327" s="112"/>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2"/>
      <c r="AF327" s="113"/>
      <c r="AG327" s="113"/>
      <c r="AH327" s="113"/>
      <c r="AI327" s="113"/>
      <c r="AJ327" s="113"/>
      <c r="AK327" s="113"/>
      <c r="AL327" s="113"/>
      <c r="AM327" s="113"/>
      <c r="AN327" s="113"/>
      <c r="AO327" s="113"/>
      <c r="AP327" s="113"/>
      <c r="AQ327" s="113"/>
      <c r="AR327" s="112"/>
      <c r="AS327" s="113"/>
      <c r="AT327" s="113"/>
      <c r="AU327" s="113"/>
      <c r="AV327" s="113"/>
      <c r="AW327" s="113"/>
      <c r="AX327" s="113"/>
      <c r="AY327" s="113"/>
      <c r="AZ327" s="113"/>
      <c r="BA327" s="113"/>
      <c r="BB327" s="113"/>
      <c r="BC327" s="113"/>
      <c r="BD327" s="113"/>
      <c r="BE327" s="113"/>
      <c r="BF327" s="113"/>
      <c r="BG327" s="114"/>
    </row>
    <row r="328">
      <c r="B328" s="31" t="s">
        <v>665</v>
      </c>
      <c r="C328" s="54"/>
      <c r="D328" s="45"/>
      <c r="E328" s="45"/>
      <c r="F328" s="47"/>
      <c r="G328" s="112"/>
      <c r="H328" s="55" t="s">
        <v>298</v>
      </c>
      <c r="I328" s="38" t="str">
        <f>VLOOKUP(H328,'Machine List'!$A$1:$I$300,9,FALSE)</f>
        <v>4000+500(7O-5)</v>
      </c>
      <c r="J328" s="38">
        <f>IF(VLOOKUP(H328,'Machine List'!$A$1:$I$300,5,FALSE)="Multi",IF(VLOOKUP(H328,'Machine List'!$A$1:$I$300,6,FALSE)="Yes",AG328*3*10^Z328,AG328*(2*3)*10^(Z328-1)),0)</f>
        <v>6</v>
      </c>
      <c r="K328" s="38">
        <f>J328+IF(ISNUMBER(I328),I328,
  SWITCH(
      I328,
      "1T",1*10^Z328,
      "2T",2*10^Z328,
      "3T",3*10^Z328,
      "4T",4*10^Z328,
      "4000+500(7O-5)",4000+500*(7*I329-5),
      1
  )
)</f>
        <v>12006</v>
      </c>
      <c r="L328" s="38">
        <f>IF(VLOOKUP(H328,'Machine List'!$A$1:$I$300,5,FALSE)="Multi",IF(VLOOKUP(H328,'Machine List'!$A$1:$I$300,6,FALSE)="Yes",AU328*3*10^AT328,AU328*(2*3)*10^(AT328-1)),0)</f>
        <v>600</v>
      </c>
      <c r="M328" s="38">
        <f>L328+IF(ISNUMBER(I328),I328,
  SWITCH(
      I328,
      "1T",1*10^AT328,
      "2T",2*10^AT328,
      "3T",3*10^AT328,
      "4T",4*10^AT328,
      "4000+500(7O-5)",4000+500*(7*I329-5),
      1
  )
)</f>
        <v>12600</v>
      </c>
      <c r="N328" s="38" t="str">
        <f>VLOOKUP(H328,'Machine List'!$A$1:$I$300,8,FALSE)</f>
        <v>Tier</v>
      </c>
      <c r="O328" s="38">
        <f>IF(ISNUMBER(N328),N328,10^Z328)</f>
        <v>10</v>
      </c>
      <c r="P328" s="38">
        <f>IF(ISNUMBER(N328),N328,10^AT328)</f>
        <v>1000</v>
      </c>
      <c r="Q328" s="38">
        <f>VLOOKUP(H328,'Machine List'!$A$1:$B$138,2,FALSE)</f>
        <v>1</v>
      </c>
      <c r="R328" s="38" t="s">
        <v>277</v>
      </c>
      <c r="S328" s="45">
        <f>IF(ISNUMBER(Q328),Q328,
  SWITCH(
      Q328,
      "1",1,
      "2T",Z328*2,
      "4T",Z328*4,
      "6T",Z328*6,
      "8T",Z328*8,
      "10T",Z328*10,
      "12T",Z328*12,
      "14T",Z328*14,
      "16T",Z328*16,
      "2(T+1)",2*(Z328+1),
      "1T*C",Z328*J330,
      1
  )
)</f>
        <v>1</v>
      </c>
      <c r="T328" s="38" t="s">
        <v>277</v>
      </c>
      <c r="U328" s="38">
        <f>IF(OR(T328="No",T328=""),S328,T328)</f>
        <v>1</v>
      </c>
      <c r="V328" s="38">
        <f>IF(ISNUMBER(Q328),Q328,
  SWITCH(
      Q328,
      "1",1,
      "2T",AT328*2,
      "4T",AT328*4,
      "6T",AT328*6,
      "8T",AT328*8,
      "10T",AT328*10,
      "12T",AT328*12,
      "14T",AT328*14,
      "16T",AT328*16,
      "2(T+1)",2*(AT328+1),
      "1T*C",AT328*J330,
      1
  )
)</f>
        <v>1</v>
      </c>
      <c r="W328" s="38" t="str">
        <f>T328</f>
        <v>No</v>
      </c>
      <c r="X328" s="38">
        <f>IF(OR(W328="No",W328=""),V328,W328)</f>
        <v>1</v>
      </c>
      <c r="Y328" s="38" t="s">
        <v>390</v>
      </c>
      <c r="Z328" s="38">
        <f>VLOOKUP(Y328,'Item Helper Sheet'!$A$2:$B$16,2,FALSE)</f>
        <v>1</v>
      </c>
      <c r="AA328" s="38">
        <v>120.0</v>
      </c>
      <c r="AB328" s="38">
        <f>2*20</f>
        <v>40</v>
      </c>
      <c r="AC328" s="38">
        <f>AB328*I330</f>
        <v>40</v>
      </c>
      <c r="AD328" s="38">
        <f>AA328*AC328</f>
        <v>4800</v>
      </c>
      <c r="AE328" s="75"/>
      <c r="AF328" s="38" t="str">
        <f>Y328</f>
        <v>01 - LV</v>
      </c>
      <c r="AG328" s="38">
        <v>1.0</v>
      </c>
      <c r="AH328" s="38">
        <v>1.0</v>
      </c>
      <c r="AI328" s="38">
        <f>AH328*8*4^Z328</f>
        <v>32</v>
      </c>
      <c r="AJ328" s="38">
        <f>MIN(ROUNDDOWN(AI328/AL328,0),U328)</f>
        <v>0</v>
      </c>
      <c r="AK328" s="38">
        <f>IF(OR(T328="No",T328=""),AG328*S328,AG328*T328)</f>
        <v>1</v>
      </c>
      <c r="AL328" s="38">
        <f>ROUNDUP(AA328*VLOOKUP(H328,'Machine List'!$A$2:$D$219,4,FALSE),0)</f>
        <v>120</v>
      </c>
      <c r="AM328" s="38">
        <f>AL328*AK328</f>
        <v>120</v>
      </c>
      <c r="AN328" s="38">
        <f>ROUNDUP(AB328*I330,0)</f>
        <v>40</v>
      </c>
      <c r="AO328" s="38">
        <f>ROUNDUP(AN328/VLOOKUP(H328,'Machine List'!$A$2:$D$219,3,FALSE),0)</f>
        <v>40</v>
      </c>
      <c r="AP328" s="38">
        <f>ROUNDUP(AO328/AK328,0)</f>
        <v>40</v>
      </c>
      <c r="AQ328" s="38">
        <f>AM328*AP328</f>
        <v>4800</v>
      </c>
      <c r="AR328" s="75"/>
      <c r="AS328" s="38" t="s">
        <v>397</v>
      </c>
      <c r="AT328" s="38">
        <f>VLOOKUP(AS328,'Item Helper Sheet'!$A$2:$B$16,2,FALSE)</f>
        <v>3</v>
      </c>
      <c r="AU328" s="38">
        <f>AG328</f>
        <v>1</v>
      </c>
      <c r="AV328" s="38">
        <v>1.0</v>
      </c>
      <c r="AW328" s="38">
        <f>AV328*8*4^AT328</f>
        <v>512</v>
      </c>
      <c r="AX328" s="38">
        <f>MIN(ROUNDDOWN(AW328/AL328,0),X328)</f>
        <v>1</v>
      </c>
      <c r="AY328" s="38">
        <f>AX328*AU328</f>
        <v>1</v>
      </c>
      <c r="AZ328" s="38">
        <f>AL328</f>
        <v>120</v>
      </c>
      <c r="BA328" s="38">
        <f>MIN(AT328-Z328,IF(AW328&gt;=AZ329*4,
IF(AW328&gt;=AZ329*4^2,
IF(AW328&gt;=AZ329*4^3,
IF(AW328&gt;=AZ329*4^4,
IF(AW328&gt;=AZ329*4^5,
IF(AW328&gt;=AZ329*4^6,
IF(AW328&gt;=AZ329*4^7,
IF(AW328&gt;=AZ329*4^8,
IF(AW328&gt;=AZ329*4^9,
IF(AW328&gt;=AZ329*4^10,
9),
8),
7),
6),
5),
4),
3),
2),
1),
0))</f>
        <v>1</v>
      </c>
      <c r="BB328" s="38">
        <f>AZ328*AX328*4^BA328</f>
        <v>480</v>
      </c>
      <c r="BC328" s="38">
        <f>BB328*AU328</f>
        <v>480</v>
      </c>
      <c r="BD328" s="45">
        <f>ROUNDUP(IF(R328="Yes",AN328/(2^((BA328)*2)),AN328/(2^(BA328))),0)</f>
        <v>20</v>
      </c>
      <c r="BE328" s="45">
        <f>ROUNDUP(BD328/VLOOKUP(H328,'Machine List'!$A$2:$D$219,3,FALSE),0)</f>
        <v>20</v>
      </c>
      <c r="BF328" s="45">
        <f>ROUNDUP(BE328/AY328,0)</f>
        <v>20</v>
      </c>
      <c r="BG328" s="46">
        <f>BF328*BC328</f>
        <v>9600</v>
      </c>
    </row>
    <row r="329">
      <c r="B329" s="40"/>
      <c r="C329" s="41" t="s">
        <v>121</v>
      </c>
      <c r="D329" s="38">
        <f>900*I330</f>
        <v>900</v>
      </c>
      <c r="E329" s="38" t="s">
        <v>39</v>
      </c>
      <c r="F329" s="42">
        <f>400*I330</f>
        <v>400</v>
      </c>
      <c r="G329" s="112"/>
      <c r="H329" s="99" t="s">
        <v>584</v>
      </c>
      <c r="I329" s="45">
        <f t="array" ref="I329">match(TRUE,ISBLANK(F329:F341),0)-1</f>
        <v>3</v>
      </c>
      <c r="J329" s="120" t="s">
        <v>420</v>
      </c>
      <c r="K329" s="120" t="s">
        <v>585</v>
      </c>
      <c r="L329" s="121"/>
      <c r="M329" s="121"/>
      <c r="N329" s="121"/>
      <c r="O329" s="121"/>
      <c r="P329" s="121"/>
      <c r="Q329" s="121"/>
      <c r="R329" s="121"/>
      <c r="S329" s="121"/>
      <c r="T329" s="121"/>
      <c r="U329" s="121"/>
      <c r="V329" s="121"/>
      <c r="W329" s="121"/>
      <c r="X329" s="121"/>
      <c r="Y329" s="121"/>
      <c r="Z329" s="121"/>
      <c r="AA329" s="121"/>
      <c r="AB329" s="121"/>
      <c r="AC329" s="121"/>
      <c r="AD329" s="121"/>
      <c r="AE329" s="118"/>
      <c r="AF329" s="121"/>
      <c r="AG329" s="121"/>
      <c r="AH329" s="121"/>
      <c r="AI329" s="121"/>
      <c r="AJ329" s="121"/>
      <c r="AK329" s="121"/>
      <c r="AL329" s="121"/>
      <c r="AM329" s="121"/>
      <c r="AN329" s="121"/>
      <c r="AO329" s="121"/>
      <c r="AP329" s="121"/>
      <c r="AQ329" s="121"/>
      <c r="AR329" s="118"/>
      <c r="AS329" s="121"/>
      <c r="AT329" s="121"/>
      <c r="AU329" s="121"/>
      <c r="AV329" s="121"/>
      <c r="AW329" s="121"/>
      <c r="AX329" s="121"/>
      <c r="AY329" s="121"/>
      <c r="AZ329" s="116">
        <f>AZ328*AX328</f>
        <v>120</v>
      </c>
      <c r="BA329" s="121"/>
      <c r="BB329" s="121"/>
      <c r="BC329" s="121"/>
      <c r="BD329" s="121"/>
      <c r="BE329" s="121"/>
      <c r="BF329" s="121"/>
      <c r="BG329" s="122"/>
    </row>
    <row r="330">
      <c r="B330" s="40"/>
      <c r="C330" s="41"/>
      <c r="D330" s="38"/>
      <c r="E330" s="38" t="s">
        <v>119</v>
      </c>
      <c r="F330" s="42">
        <f>500*I330</f>
        <v>500</v>
      </c>
      <c r="G330" s="112"/>
      <c r="H330" s="48" t="s">
        <v>502</v>
      </c>
      <c r="I330" s="49">
        <v>1.0</v>
      </c>
      <c r="J330" s="100" t="s">
        <v>424</v>
      </c>
      <c r="K330" s="120">
        <v>0.0</v>
      </c>
      <c r="L330" s="121"/>
      <c r="M330" s="121"/>
      <c r="N330" s="121"/>
      <c r="O330" s="121"/>
      <c r="P330" s="121"/>
      <c r="Q330" s="121"/>
      <c r="R330" s="121"/>
      <c r="S330" s="121"/>
      <c r="T330" s="121"/>
      <c r="U330" s="121"/>
      <c r="V330" s="121"/>
      <c r="W330" s="121"/>
      <c r="X330" s="121"/>
      <c r="Y330" s="121"/>
      <c r="Z330" s="121"/>
      <c r="AA330" s="121"/>
      <c r="AB330" s="121"/>
      <c r="AC330" s="121"/>
      <c r="AD330" s="121"/>
      <c r="AE330" s="118"/>
      <c r="AF330" s="121"/>
      <c r="AG330" s="121"/>
      <c r="AH330" s="121"/>
      <c r="AI330" s="121"/>
      <c r="AJ330" s="121"/>
      <c r="AK330" s="121"/>
      <c r="AL330" s="121"/>
      <c r="AM330" s="121"/>
      <c r="AN330" s="121"/>
      <c r="AO330" s="121"/>
      <c r="AP330" s="121"/>
      <c r="AQ330" s="121"/>
      <c r="AR330" s="118"/>
      <c r="AS330" s="121"/>
      <c r="AT330" s="121"/>
      <c r="AU330" s="121"/>
      <c r="AV330" s="121"/>
      <c r="AW330" s="121"/>
      <c r="AX330" s="121"/>
      <c r="AY330" s="121"/>
      <c r="AZ330" s="121"/>
      <c r="BA330" s="121"/>
      <c r="BB330" s="121"/>
      <c r="BC330" s="121"/>
      <c r="BD330" s="121"/>
      <c r="BE330" s="121"/>
      <c r="BF330" s="121"/>
      <c r="BG330" s="122"/>
    </row>
    <row r="331">
      <c r="B331" s="40"/>
      <c r="C331" s="41"/>
      <c r="D331" s="38"/>
      <c r="E331" s="38" t="s">
        <v>26</v>
      </c>
      <c r="F331" s="42">
        <f>400*I330</f>
        <v>400</v>
      </c>
      <c r="G331" s="112"/>
      <c r="H331" s="44"/>
      <c r="I331" s="45"/>
      <c r="J331" s="45"/>
      <c r="K331" s="45"/>
      <c r="L331" s="45"/>
      <c r="M331" s="45"/>
      <c r="N331" s="45"/>
      <c r="O331" s="45"/>
      <c r="P331" s="45"/>
      <c r="Q331" s="45"/>
      <c r="R331" s="45"/>
      <c r="S331" s="101"/>
      <c r="T331" s="101"/>
      <c r="U331" s="45"/>
      <c r="V331" s="45"/>
      <c r="W331" s="45"/>
      <c r="X331" s="45"/>
      <c r="Y331" s="45"/>
      <c r="Z331" s="45"/>
      <c r="AA331" s="45"/>
      <c r="AB331" s="45"/>
      <c r="AC331" s="45"/>
      <c r="AD331" s="45"/>
      <c r="AE331" s="79"/>
      <c r="AF331" s="45"/>
      <c r="AG331" s="45"/>
      <c r="AH331" s="45"/>
      <c r="AI331" s="45"/>
      <c r="AJ331" s="45"/>
      <c r="AK331" s="45"/>
      <c r="AL331" s="45"/>
      <c r="AM331" s="45"/>
      <c r="AN331" s="45"/>
      <c r="AO331" s="45"/>
      <c r="AP331" s="45"/>
      <c r="AQ331" s="45"/>
      <c r="AR331" s="79"/>
      <c r="AS331" s="45"/>
      <c r="AT331" s="45"/>
      <c r="AU331" s="45"/>
      <c r="AV331" s="45"/>
      <c r="AW331" s="45"/>
      <c r="AX331" s="45"/>
      <c r="AY331" s="45"/>
      <c r="AZ331" s="45"/>
      <c r="BA331" s="45"/>
      <c r="BB331" s="45"/>
      <c r="BC331" s="45"/>
      <c r="BD331" s="45"/>
      <c r="BE331" s="45"/>
      <c r="BF331" s="45"/>
      <c r="BG331" s="46"/>
    </row>
    <row r="332">
      <c r="B332" s="50"/>
      <c r="C332" s="51"/>
      <c r="D332" s="52"/>
      <c r="E332" s="52"/>
      <c r="F332" s="52"/>
      <c r="G332" s="112"/>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2"/>
      <c r="AF332" s="113"/>
      <c r="AG332" s="113"/>
      <c r="AH332" s="113"/>
      <c r="AI332" s="113"/>
      <c r="AJ332" s="113"/>
      <c r="AK332" s="113"/>
      <c r="AL332" s="113"/>
      <c r="AM332" s="113"/>
      <c r="AN332" s="113"/>
      <c r="AO332" s="113"/>
      <c r="AP332" s="113"/>
      <c r="AQ332" s="113"/>
      <c r="AR332" s="112"/>
      <c r="AS332" s="113"/>
      <c r="AT332" s="113"/>
      <c r="AU332" s="113"/>
      <c r="AV332" s="113"/>
      <c r="AW332" s="113"/>
      <c r="AX332" s="113"/>
      <c r="AY332" s="113"/>
      <c r="AZ332" s="113"/>
      <c r="BA332" s="113"/>
      <c r="BB332" s="113"/>
      <c r="BC332" s="113"/>
      <c r="BD332" s="113"/>
      <c r="BE332" s="113"/>
      <c r="BF332" s="113"/>
      <c r="BG332" s="114"/>
    </row>
    <row r="333">
      <c r="B333" s="31" t="s">
        <v>666</v>
      </c>
      <c r="C333" s="54"/>
      <c r="D333" s="45"/>
      <c r="E333" s="45"/>
      <c r="F333" s="47"/>
      <c r="G333" s="112"/>
      <c r="H333" s="55" t="s">
        <v>349</v>
      </c>
      <c r="I333" s="38">
        <f>VLOOKUP(H333,'Machine List'!$A$1:$I$300,9,FALSE)</f>
        <v>4000</v>
      </c>
      <c r="J333" s="38">
        <f>IF(VLOOKUP(H333,'Machine List'!$A$1:$I$300,5,FALSE)="Multi",IF(VLOOKUP(H333,'Machine List'!$A$1:$I$300,6,FALSE)="Yes",AG333*3*10^Z333,AG333*(2*3)*10^(Z333-1)),0)</f>
        <v>6</v>
      </c>
      <c r="K333" s="38">
        <f>J333+IF(ISNUMBER(I333),I333,
  SWITCH(
      I333,
      "1T",1*10^Z333,
      "2T",2*10^Z333,
      "3T",3*10^Z333,
      "4T",4*10^Z333,
      "4000+500(7O-5)",4000+500*(7*I334-5),
      1
  )
)</f>
        <v>4006</v>
      </c>
      <c r="L333" s="38">
        <f>IF(VLOOKUP(H333,'Machine List'!$A$1:$I$300,5,FALSE)="Multi",IF(VLOOKUP(H333,'Machine List'!$A$1:$I$300,6,FALSE)="Yes",AU333*3*10^AT333,AU333*(2*3)*10^(AT333-1)),0)</f>
        <v>600</v>
      </c>
      <c r="M333" s="38">
        <f>L333+IF(ISNUMBER(I333),I333,
  SWITCH(
      I333,
      "1T",1*10^AT333,
      "2T",2*10^AT333,
      "3T",3*10^AT333,
      "4T",4*10^AT333,
      "4000+500(7O-5)",4000+500*(7*I334-5),
      1
  )
)</f>
        <v>4600</v>
      </c>
      <c r="N333" s="38" t="str">
        <f>VLOOKUP(H333,'Machine List'!$A$1:$I$300,8,FALSE)</f>
        <v>Tier</v>
      </c>
      <c r="O333" s="38">
        <f>IF(ISNUMBER(N333),N333,10^Z333)</f>
        <v>10</v>
      </c>
      <c r="P333" s="38">
        <f>IF(ISNUMBER(N333),N333,10^AT333)</f>
        <v>1000</v>
      </c>
      <c r="Q333" s="38">
        <f>VLOOKUP(H333,'Machine List'!$A$1:$B$138,2,FALSE)</f>
        <v>1</v>
      </c>
      <c r="R333" s="38" t="s">
        <v>594</v>
      </c>
      <c r="S333" s="45">
        <f>IF(ISNUMBER(Q333),Q333,
  SWITCH(
      Q333,
      "1",1,
      "2T",Z333*2,
      "4T",Z333*4,
      "6T",Z333*6,
      "8T",Z333*8,
      "10T",Z333*10,
      "12T",Z333*12,
      "14T",Z333*14,
      "16T",Z333*16,
      "2(T+1)",2*(Z333+1),
      "1T*C",Z333*J335,
      1
  )
)</f>
        <v>1</v>
      </c>
      <c r="T333" s="38" t="s">
        <v>277</v>
      </c>
      <c r="U333" s="38">
        <f>IF(OR(T333="No",T333=""),S333,T333)</f>
        <v>1</v>
      </c>
      <c r="V333" s="38">
        <f>IF(ISNUMBER(Q333),Q333,
  SWITCH(
      Q333,
      "1",1,
      "2T",AT333*2,
      "4T",AT333*4,
      "6T",AT333*6,
      "8T",AT333*8,
      "10T",AT333*10,
      "12T",AT333*12,
      "14T",AT333*14,
      "16T",AT333*16,
      "2(T+1)",2*(AT333+1),
      "1T*C",AT333*J335,
      1
  )
)</f>
        <v>1</v>
      </c>
      <c r="W333" s="38" t="str">
        <f>T333</f>
        <v>No</v>
      </c>
      <c r="X333" s="38">
        <f>IF(OR(W333="No",W333=""),V333,W333)</f>
        <v>1</v>
      </c>
      <c r="Y333" s="38" t="s">
        <v>390</v>
      </c>
      <c r="Z333" s="38">
        <f>VLOOKUP(Y333,'Item Helper Sheet'!$A$2:$B$16,2,FALSE)</f>
        <v>1</v>
      </c>
      <c r="AA333" s="38">
        <v>480.0</v>
      </c>
      <c r="AB333" s="38">
        <f>2.5*20</f>
        <v>50</v>
      </c>
      <c r="AC333" s="38">
        <f>AB333*I335</f>
        <v>50</v>
      </c>
      <c r="AD333" s="38">
        <f>AA333*AC333</f>
        <v>24000</v>
      </c>
      <c r="AE333" s="75"/>
      <c r="AF333" s="38" t="str">
        <f>Y333</f>
        <v>01 - LV</v>
      </c>
      <c r="AG333" s="38">
        <v>1.0</v>
      </c>
      <c r="AH333" s="38">
        <v>1.0</v>
      </c>
      <c r="AI333" s="38">
        <f>AH333*8*4^Z333</f>
        <v>32</v>
      </c>
      <c r="AJ333" s="38">
        <f>MIN(ROUNDDOWN(AI333/AL333,0),U333)</f>
        <v>0</v>
      </c>
      <c r="AK333" s="38">
        <f>IF(OR(T333="No",T333=""),AG333*S333,AG333*T333)</f>
        <v>1</v>
      </c>
      <c r="AL333" s="38">
        <f>ROUNDUP(AA333*VLOOKUP(H333,'Machine List'!$A$2:$D$219,4,FALSE),0)</f>
        <v>480</v>
      </c>
      <c r="AM333" s="38">
        <f>AL333*AK333</f>
        <v>480</v>
      </c>
      <c r="AN333" s="38">
        <f>ROUNDUP(AB333*I335,0)</f>
        <v>50</v>
      </c>
      <c r="AO333" s="38">
        <f>ROUNDUP(AN333/VLOOKUP(H333,'Machine List'!$A$2:$D$219,3,FALSE),0)</f>
        <v>50</v>
      </c>
      <c r="AP333" s="38">
        <f>ROUNDUP(AO333/AK333,0)</f>
        <v>50</v>
      </c>
      <c r="AQ333" s="38">
        <f>AM333*AP333</f>
        <v>24000</v>
      </c>
      <c r="AR333" s="75"/>
      <c r="AS333" s="38" t="s">
        <v>397</v>
      </c>
      <c r="AT333" s="38">
        <f>VLOOKUP(AS333,'Item Helper Sheet'!$A$2:$B$16,2,FALSE)</f>
        <v>3</v>
      </c>
      <c r="AU333" s="38">
        <f>AG333</f>
        <v>1</v>
      </c>
      <c r="AV333" s="38">
        <v>1.0</v>
      </c>
      <c r="AW333" s="38">
        <f>AV333*8*4^AT333</f>
        <v>512</v>
      </c>
      <c r="AX333" s="38">
        <f>MIN(ROUNDDOWN(AW333/AL333,0),X333)</f>
        <v>1</v>
      </c>
      <c r="AY333" s="38">
        <f>AX333*AU333</f>
        <v>1</v>
      </c>
      <c r="AZ333" s="38">
        <f>AL333</f>
        <v>480</v>
      </c>
      <c r="BA333" s="38">
        <f>MIN(AT333-Z333,IF(AW333&gt;=AZ334*4,
IF(AW333&gt;=AZ334*4^2,
IF(AW333&gt;=AZ334*4^3,
IF(AW333&gt;=AZ334*4^4,
IF(AW333&gt;=AZ334*4^5,
IF(AW333&gt;=AZ334*4^6,
IF(AW333&gt;=AZ334*4^7,
IF(AW333&gt;=AZ334*4^8,
IF(AW333&gt;=AZ334*4^9,
IF(AW333&gt;=AZ334*4^10,
9),
8),
7),
6),
5),
4),
3),
2),
1),
0))</f>
        <v>0</v>
      </c>
      <c r="BB333" s="38">
        <f>AZ333*AX333*4^BA333</f>
        <v>480</v>
      </c>
      <c r="BC333" s="38">
        <f>BB333*AU333</f>
        <v>480</v>
      </c>
      <c r="BD333" s="45">
        <f>ROUNDUP(IF(R333="Yes",AN333/(2^((BA333)*2)),AN333/(2^(BA333))),0)</f>
        <v>50</v>
      </c>
      <c r="BE333" s="45">
        <f>ROUNDUP(BD333/VLOOKUP(H333,'Machine List'!$A$2:$D$219,3,FALSE),0)</f>
        <v>50</v>
      </c>
      <c r="BF333" s="45">
        <f>ROUNDUP(BE333/AY333,0)</f>
        <v>50</v>
      </c>
      <c r="BG333" s="46">
        <f>BF333*BC333</f>
        <v>24000</v>
      </c>
    </row>
    <row r="334">
      <c r="B334" s="40"/>
      <c r="C334" s="41" t="s">
        <v>87</v>
      </c>
      <c r="D334" s="38">
        <f>20000*I335</f>
        <v>20000</v>
      </c>
      <c r="E334" s="38" t="s">
        <v>134</v>
      </c>
      <c r="F334" s="42">
        <f>10000*I335</f>
        <v>10000</v>
      </c>
      <c r="G334" s="112"/>
      <c r="H334" s="99" t="s">
        <v>584</v>
      </c>
      <c r="I334" s="45">
        <f t="array" ref="I334">match(TRUE,ISBLANK(F334:F346),0)-1</f>
        <v>1</v>
      </c>
      <c r="J334" s="120" t="s">
        <v>420</v>
      </c>
      <c r="K334" s="120" t="s">
        <v>585</v>
      </c>
      <c r="L334" s="121"/>
      <c r="M334" s="121"/>
      <c r="N334" s="121"/>
      <c r="O334" s="121"/>
      <c r="P334" s="121"/>
      <c r="Q334" s="121"/>
      <c r="R334" s="121"/>
      <c r="S334" s="121"/>
      <c r="T334" s="121"/>
      <c r="U334" s="121"/>
      <c r="V334" s="121"/>
      <c r="W334" s="121"/>
      <c r="X334" s="121"/>
      <c r="Y334" s="121"/>
      <c r="Z334" s="121"/>
      <c r="AA334" s="121"/>
      <c r="AB334" s="121"/>
      <c r="AC334" s="121"/>
      <c r="AD334" s="121"/>
      <c r="AE334" s="118"/>
      <c r="AF334" s="121"/>
      <c r="AG334" s="121"/>
      <c r="AH334" s="121"/>
      <c r="AI334" s="121"/>
      <c r="AJ334" s="121"/>
      <c r="AK334" s="121"/>
      <c r="AL334" s="121"/>
      <c r="AM334" s="121"/>
      <c r="AN334" s="121"/>
      <c r="AO334" s="121"/>
      <c r="AP334" s="121"/>
      <c r="AQ334" s="121"/>
      <c r="AR334" s="118"/>
      <c r="AS334" s="121"/>
      <c r="AT334" s="121"/>
      <c r="AU334" s="121"/>
      <c r="AV334" s="121"/>
      <c r="AW334" s="121"/>
      <c r="AX334" s="121"/>
      <c r="AY334" s="121"/>
      <c r="AZ334" s="116">
        <f>AZ333*AX333</f>
        <v>480</v>
      </c>
      <c r="BA334" s="121"/>
      <c r="BB334" s="121"/>
      <c r="BC334" s="121"/>
      <c r="BD334" s="121"/>
      <c r="BE334" s="121"/>
      <c r="BF334" s="121"/>
      <c r="BG334" s="122"/>
    </row>
    <row r="335">
      <c r="B335" s="40"/>
      <c r="C335" s="41" t="s">
        <v>142</v>
      </c>
      <c r="D335" s="38">
        <f>10000*I335</f>
        <v>10000</v>
      </c>
      <c r="E335" s="38"/>
      <c r="F335" s="42"/>
      <c r="G335" s="112"/>
      <c r="H335" s="48" t="s">
        <v>502</v>
      </c>
      <c r="I335" s="49">
        <v>1.0</v>
      </c>
      <c r="J335" s="100" t="s">
        <v>424</v>
      </c>
      <c r="K335" s="120">
        <v>0.0</v>
      </c>
      <c r="L335" s="121"/>
      <c r="M335" s="121"/>
      <c r="N335" s="121"/>
      <c r="O335" s="121"/>
      <c r="P335" s="121"/>
      <c r="Q335" s="121"/>
      <c r="R335" s="121"/>
      <c r="S335" s="121"/>
      <c r="T335" s="121"/>
      <c r="U335" s="121"/>
      <c r="V335" s="121"/>
      <c r="W335" s="121"/>
      <c r="X335" s="121"/>
      <c r="Y335" s="121"/>
      <c r="Z335" s="121"/>
      <c r="AA335" s="121"/>
      <c r="AB335" s="121"/>
      <c r="AC335" s="121"/>
      <c r="AD335" s="121"/>
      <c r="AE335" s="118"/>
      <c r="AF335" s="121"/>
      <c r="AG335" s="121"/>
      <c r="AH335" s="121"/>
      <c r="AI335" s="121"/>
      <c r="AJ335" s="121"/>
      <c r="AK335" s="121"/>
      <c r="AL335" s="121"/>
      <c r="AM335" s="121"/>
      <c r="AN335" s="121"/>
      <c r="AO335" s="121"/>
      <c r="AP335" s="121"/>
      <c r="AQ335" s="121"/>
      <c r="AR335" s="118"/>
      <c r="AS335" s="121"/>
      <c r="AT335" s="121"/>
      <c r="AU335" s="121"/>
      <c r="AV335" s="121"/>
      <c r="AW335" s="121"/>
      <c r="AX335" s="121"/>
      <c r="AY335" s="121"/>
      <c r="AZ335" s="121"/>
      <c r="BA335" s="121"/>
      <c r="BB335" s="121"/>
      <c r="BC335" s="121"/>
      <c r="BD335" s="121"/>
      <c r="BE335" s="121"/>
      <c r="BF335" s="121"/>
      <c r="BG335" s="122"/>
    </row>
    <row r="336">
      <c r="B336" s="50"/>
      <c r="C336" s="51"/>
      <c r="D336" s="52"/>
      <c r="E336" s="52"/>
      <c r="F336" s="52"/>
      <c r="G336" s="112"/>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2"/>
      <c r="AF336" s="113"/>
      <c r="AG336" s="113"/>
      <c r="AH336" s="113"/>
      <c r="AI336" s="113"/>
      <c r="AJ336" s="113"/>
      <c r="AK336" s="113"/>
      <c r="AL336" s="113"/>
      <c r="AM336" s="113"/>
      <c r="AN336" s="113"/>
      <c r="AO336" s="113"/>
      <c r="AP336" s="113"/>
      <c r="AQ336" s="113"/>
      <c r="AR336" s="112"/>
      <c r="AS336" s="113"/>
      <c r="AT336" s="113"/>
      <c r="AU336" s="113"/>
      <c r="AV336" s="113"/>
      <c r="AW336" s="113"/>
      <c r="AX336" s="113"/>
      <c r="AY336" s="113"/>
      <c r="AZ336" s="113"/>
      <c r="BA336" s="113"/>
      <c r="BB336" s="113"/>
      <c r="BC336" s="113"/>
      <c r="BD336" s="113"/>
      <c r="BE336" s="113"/>
      <c r="BF336" s="113"/>
      <c r="BG336" s="114"/>
    </row>
    <row r="337">
      <c r="B337" s="31" t="s">
        <v>667</v>
      </c>
      <c r="C337" s="54"/>
      <c r="D337" s="45"/>
      <c r="E337" s="45"/>
      <c r="F337" s="47"/>
      <c r="G337" s="112"/>
      <c r="H337" s="55" t="s">
        <v>349</v>
      </c>
      <c r="I337" s="38">
        <f>VLOOKUP(H337,'Machine List'!$A$1:$I$300,9,FALSE)</f>
        <v>4000</v>
      </c>
      <c r="J337" s="38">
        <f>IF(VLOOKUP(H337,'Machine List'!$A$1:$I$300,5,FALSE)="Multi",IF(VLOOKUP(H337,'Machine List'!$A$1:$I$300,6,FALSE)="Yes",AG337*3*10^Z337,AG337*(2*3)*10^(Z337-1)),0)</f>
        <v>6</v>
      </c>
      <c r="K337" s="38">
        <f>J337+IF(ISNUMBER(I337),I337,
  SWITCH(
      I337,
      "1T",1*10^Z337,
      "2T",2*10^Z337,
      "3T",3*10^Z337,
      "4T",4*10^Z337,
      "4000+500(7O-5)",4000+500*(7*I338-5),
      1
  )
)</f>
        <v>4006</v>
      </c>
      <c r="L337" s="38">
        <f>IF(VLOOKUP(H337,'Machine List'!$A$1:$I$300,5,FALSE)="Multi",IF(VLOOKUP(H337,'Machine List'!$A$1:$I$300,6,FALSE)="Yes",AU337*3*10^AT337,AU337*(2*3)*10^(AT337-1)),0)</f>
        <v>600</v>
      </c>
      <c r="M337" s="38">
        <f>L337+IF(ISNUMBER(I337),I337,
  SWITCH(
      I337,
      "1T",1*10^AT337,
      "2T",2*10^AT337,
      "3T",3*10^AT337,
      "4T",4*10^AT337,
      "4000+500(7O-5)",4000+500*(7*I338-5),
      1
  )
)</f>
        <v>4600</v>
      </c>
      <c r="N337" s="38" t="str">
        <f>VLOOKUP(H337,'Machine List'!$A$1:$I$300,8,FALSE)</f>
        <v>Tier</v>
      </c>
      <c r="O337" s="38">
        <f>IF(ISNUMBER(N337),N337,10^Z337)</f>
        <v>10</v>
      </c>
      <c r="P337" s="38">
        <f>IF(ISNUMBER(N337),N337,10^AT337)</f>
        <v>1000</v>
      </c>
      <c r="Q337" s="38">
        <f>VLOOKUP(H337,'Machine List'!$A$1:$B$138,2,FALSE)</f>
        <v>1</v>
      </c>
      <c r="R337" s="38" t="s">
        <v>594</v>
      </c>
      <c r="S337" s="45">
        <f>IF(ISNUMBER(Q337),Q337,
  SWITCH(
      Q337,
      "1",1,
      "2T",Z337*2,
      "4T",Z337*4,
      "6T",Z337*6,
      "8T",Z337*8,
      "10T",Z337*10,
      "12T",Z337*12,
      "14T",Z337*14,
      "16T",Z337*16,
      "2(T+1)",2*(Z337+1),
      "1T*C",Z337*J339,
      1
  )
)</f>
        <v>1</v>
      </c>
      <c r="T337" s="38" t="s">
        <v>277</v>
      </c>
      <c r="U337" s="38">
        <f>IF(OR(T337="No",T337=""),S337,T337)</f>
        <v>1</v>
      </c>
      <c r="V337" s="38">
        <f>IF(ISNUMBER(Q337),Q337,
  SWITCH(
      Q337,
      "1",1,
      "2T",AT337*2,
      "4T",AT337*4,
      "6T",AT337*6,
      "8T",AT337*8,
      "10T",AT337*10,
      "12T",AT337*12,
      "14T",AT337*14,
      "16T",AT337*16,
      "2(T+1)",2*(AT337+1),
      "1T*C",AT337*J339,
      1
  )
)</f>
        <v>1</v>
      </c>
      <c r="W337" s="38" t="str">
        <f>T337</f>
        <v>No</v>
      </c>
      <c r="X337" s="38">
        <f>IF(OR(W337="No",W337=""),V337,W337)</f>
        <v>1</v>
      </c>
      <c r="Y337" s="38" t="s">
        <v>390</v>
      </c>
      <c r="Z337" s="38">
        <f>VLOOKUP(Y337,'Item Helper Sheet'!$A$2:$B$16,2,FALSE)</f>
        <v>1</v>
      </c>
      <c r="AA337" s="38">
        <v>30.0</v>
      </c>
      <c r="AB337" s="38">
        <f>5*20</f>
        <v>100</v>
      </c>
      <c r="AC337" s="38">
        <f>AB337*I339</f>
        <v>100</v>
      </c>
      <c r="AD337" s="38">
        <f>AA337*AC337</f>
        <v>3000</v>
      </c>
      <c r="AE337" s="75"/>
      <c r="AF337" s="38" t="str">
        <f>Y337</f>
        <v>01 - LV</v>
      </c>
      <c r="AG337" s="38">
        <v>1.0</v>
      </c>
      <c r="AH337" s="38">
        <v>1.0</v>
      </c>
      <c r="AI337" s="38">
        <f>AH337*8*4^Z337</f>
        <v>32</v>
      </c>
      <c r="AJ337" s="38">
        <f>MIN(ROUNDDOWN(AI337/AL337,0),U337)</f>
        <v>1</v>
      </c>
      <c r="AK337" s="38">
        <f>IF(OR(T337="No",T337=""),AG337*S337,AG337*T337)</f>
        <v>1</v>
      </c>
      <c r="AL337" s="38">
        <f>ROUNDUP(AA337*VLOOKUP(H337,'Machine List'!$A$2:$D$219,4,FALSE),0)</f>
        <v>30</v>
      </c>
      <c r="AM337" s="38">
        <f>AL337*AK337</f>
        <v>30</v>
      </c>
      <c r="AN337" s="38">
        <f>ROUNDUP(AB337*I339,0)</f>
        <v>100</v>
      </c>
      <c r="AO337" s="38">
        <f>ROUNDUP(AN337/VLOOKUP(H337,'Machine List'!$A$2:$D$219,3,FALSE),0)</f>
        <v>100</v>
      </c>
      <c r="AP337" s="38">
        <f>ROUNDUP(AO337/AK337,0)</f>
        <v>100</v>
      </c>
      <c r="AQ337" s="38">
        <f>AM337*AP337</f>
        <v>3000</v>
      </c>
      <c r="AR337" s="75"/>
      <c r="AS337" s="38" t="s">
        <v>397</v>
      </c>
      <c r="AT337" s="38">
        <f>VLOOKUP(AS337,'Item Helper Sheet'!$A$2:$B$16,2,FALSE)</f>
        <v>3</v>
      </c>
      <c r="AU337" s="38">
        <f>AG337</f>
        <v>1</v>
      </c>
      <c r="AV337" s="38">
        <v>1.0</v>
      </c>
      <c r="AW337" s="38">
        <f>AV337*8*4^AT337</f>
        <v>512</v>
      </c>
      <c r="AX337" s="38">
        <f>MIN(ROUNDDOWN(AW337/AL337,0),X337)</f>
        <v>1</v>
      </c>
      <c r="AY337" s="38">
        <f>AX337*AU337</f>
        <v>1</v>
      </c>
      <c r="AZ337" s="38">
        <f>AL337</f>
        <v>30</v>
      </c>
      <c r="BA337" s="38">
        <f>MIN(AT337-Z337,IF(AW337&gt;=AZ338*4,
IF(AW337&gt;=AZ338*4^2,
IF(AW337&gt;=AZ338*4^3,
IF(AW337&gt;=AZ338*4^4,
IF(AW337&gt;=AZ338*4^5,
IF(AW337&gt;=AZ338*4^6,
IF(AW337&gt;=AZ338*4^7,
IF(AW337&gt;=AZ338*4^8,
IF(AW337&gt;=AZ338*4^9,
IF(AW337&gt;=AZ338*4^10,
9),
8),
7),
6),
5),
4),
3),
2),
1),
0))</f>
        <v>2</v>
      </c>
      <c r="BB337" s="38">
        <f>AZ337*AX337*4^BA337</f>
        <v>480</v>
      </c>
      <c r="BC337" s="38">
        <f>BB337*AU337</f>
        <v>480</v>
      </c>
      <c r="BD337" s="45">
        <f>ROUNDUP(IF(R337="Yes",AN337/(2^((BA337)*2)),AN337/(2^(BA337))),0)</f>
        <v>7</v>
      </c>
      <c r="BE337" s="45">
        <f>ROUNDUP(BD337/VLOOKUP(H337,'Machine List'!$A$2:$D$219,3,FALSE),0)</f>
        <v>7</v>
      </c>
      <c r="BF337" s="45">
        <f>ROUNDUP(BE337/AY337,0)</f>
        <v>7</v>
      </c>
      <c r="BG337" s="46">
        <f>BF337*BC337</f>
        <v>3360</v>
      </c>
    </row>
    <row r="338">
      <c r="B338" s="40"/>
      <c r="C338" s="41" t="s">
        <v>64</v>
      </c>
      <c r="D338" s="38">
        <f>2000*I339</f>
        <v>2000</v>
      </c>
      <c r="E338" s="38" t="s">
        <v>13</v>
      </c>
      <c r="F338" s="42">
        <f>1000*I339</f>
        <v>1000</v>
      </c>
      <c r="G338" s="112"/>
      <c r="H338" s="99" t="s">
        <v>584</v>
      </c>
      <c r="I338" s="45">
        <f t="array" ref="I338">match(TRUE,ISBLANK(F338:F350),0)-1</f>
        <v>1</v>
      </c>
      <c r="J338" s="120" t="s">
        <v>420</v>
      </c>
      <c r="K338" s="120" t="s">
        <v>585</v>
      </c>
      <c r="L338" s="121"/>
      <c r="M338" s="121"/>
      <c r="N338" s="121"/>
      <c r="O338" s="121"/>
      <c r="P338" s="121"/>
      <c r="Q338" s="121"/>
      <c r="R338" s="121"/>
      <c r="S338" s="121"/>
      <c r="T338" s="121"/>
      <c r="U338" s="121"/>
      <c r="V338" s="121"/>
      <c r="W338" s="121"/>
      <c r="X338" s="121"/>
      <c r="Y338" s="121"/>
      <c r="Z338" s="121"/>
      <c r="AA338" s="121"/>
      <c r="AB338" s="121"/>
      <c r="AC338" s="121"/>
      <c r="AD338" s="121"/>
      <c r="AE338" s="118"/>
      <c r="AF338" s="121"/>
      <c r="AG338" s="121"/>
      <c r="AH338" s="121"/>
      <c r="AI338" s="121"/>
      <c r="AJ338" s="121"/>
      <c r="AK338" s="121"/>
      <c r="AL338" s="121"/>
      <c r="AM338" s="121"/>
      <c r="AN338" s="121"/>
      <c r="AO338" s="121"/>
      <c r="AP338" s="121"/>
      <c r="AQ338" s="121"/>
      <c r="AR338" s="118"/>
      <c r="AS338" s="121"/>
      <c r="AT338" s="121"/>
      <c r="AU338" s="121"/>
      <c r="AV338" s="121"/>
      <c r="AW338" s="121"/>
      <c r="AX338" s="121"/>
      <c r="AY338" s="121"/>
      <c r="AZ338" s="116">
        <f>AZ337*AX337</f>
        <v>30</v>
      </c>
      <c r="BA338" s="121"/>
      <c r="BB338" s="121"/>
      <c r="BC338" s="121"/>
      <c r="BD338" s="121"/>
      <c r="BE338" s="121"/>
      <c r="BF338" s="121"/>
      <c r="BG338" s="122"/>
    </row>
    <row r="339">
      <c r="B339" s="40"/>
      <c r="C339" s="41" t="s">
        <v>142</v>
      </c>
      <c r="D339" s="38">
        <f>1000*I339</f>
        <v>1000</v>
      </c>
      <c r="E339" s="38"/>
      <c r="F339" s="42"/>
      <c r="G339" s="112"/>
      <c r="H339" s="48" t="s">
        <v>502</v>
      </c>
      <c r="I339" s="49">
        <v>1.0</v>
      </c>
      <c r="J339" s="100" t="s">
        <v>424</v>
      </c>
      <c r="K339" s="120">
        <v>0.0</v>
      </c>
      <c r="L339" s="121"/>
      <c r="M339" s="121"/>
      <c r="N339" s="121"/>
      <c r="O339" s="121"/>
      <c r="P339" s="121"/>
      <c r="Q339" s="121"/>
      <c r="R339" s="121"/>
      <c r="S339" s="121"/>
      <c r="T339" s="121"/>
      <c r="U339" s="121"/>
      <c r="V339" s="121"/>
      <c r="W339" s="121"/>
      <c r="X339" s="121"/>
      <c r="Y339" s="121"/>
      <c r="Z339" s="121"/>
      <c r="AA339" s="121"/>
      <c r="AB339" s="121"/>
      <c r="AC339" s="121"/>
      <c r="AD339" s="121"/>
      <c r="AE339" s="118"/>
      <c r="AF339" s="121"/>
      <c r="AG339" s="121"/>
      <c r="AH339" s="121"/>
      <c r="AI339" s="121"/>
      <c r="AJ339" s="121"/>
      <c r="AK339" s="121"/>
      <c r="AL339" s="121"/>
      <c r="AM339" s="121"/>
      <c r="AN339" s="121"/>
      <c r="AO339" s="121"/>
      <c r="AP339" s="121"/>
      <c r="AQ339" s="121"/>
      <c r="AR339" s="118"/>
      <c r="AS339" s="121"/>
      <c r="AT339" s="121"/>
      <c r="AU339" s="121"/>
      <c r="AV339" s="121"/>
      <c r="AW339" s="121"/>
      <c r="AX339" s="121"/>
      <c r="AY339" s="121"/>
      <c r="AZ339" s="121"/>
      <c r="BA339" s="121"/>
      <c r="BB339" s="121"/>
      <c r="BC339" s="121"/>
      <c r="BD339" s="121"/>
      <c r="BE339" s="121"/>
      <c r="BF339" s="121"/>
      <c r="BG339" s="122"/>
    </row>
    <row r="340">
      <c r="B340" s="50"/>
      <c r="C340" s="51"/>
      <c r="D340" s="52"/>
      <c r="E340" s="52"/>
      <c r="F340" s="52"/>
      <c r="G340" s="112"/>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2"/>
      <c r="AF340" s="113"/>
      <c r="AG340" s="113"/>
      <c r="AH340" s="113"/>
      <c r="AI340" s="113"/>
      <c r="AJ340" s="113"/>
      <c r="AK340" s="113"/>
      <c r="AL340" s="113"/>
      <c r="AM340" s="113"/>
      <c r="AN340" s="113"/>
      <c r="AO340" s="113"/>
      <c r="AP340" s="113"/>
      <c r="AQ340" s="113"/>
      <c r="AR340" s="112"/>
      <c r="AS340" s="113"/>
      <c r="AT340" s="113"/>
      <c r="AU340" s="113"/>
      <c r="AV340" s="113"/>
      <c r="AW340" s="113"/>
      <c r="AX340" s="113"/>
      <c r="AY340" s="113"/>
      <c r="AZ340" s="113"/>
      <c r="BA340" s="113"/>
      <c r="BB340" s="113"/>
      <c r="BC340" s="113"/>
      <c r="BD340" s="113"/>
      <c r="BE340" s="113"/>
      <c r="BF340" s="113"/>
      <c r="BG340" s="114"/>
    </row>
    <row r="341">
      <c r="B341" s="31" t="s">
        <v>668</v>
      </c>
      <c r="C341" s="54"/>
      <c r="D341" s="45"/>
      <c r="E341" s="45"/>
      <c r="F341" s="47"/>
      <c r="G341" s="112"/>
      <c r="H341" s="55" t="s">
        <v>349</v>
      </c>
      <c r="I341" s="38">
        <f>VLOOKUP(H341,'Machine List'!$A$1:$I$300,9,FALSE)</f>
        <v>4000</v>
      </c>
      <c r="J341" s="38">
        <f>IF(VLOOKUP(H341,'Machine List'!$A$1:$I$300,5,FALSE)="Multi",IF(VLOOKUP(H341,'Machine List'!$A$1:$I$300,6,FALSE)="Yes",AG341*3*10^Z341,AG341*(2*3)*10^(Z341-1)),0)</f>
        <v>6</v>
      </c>
      <c r="K341" s="38">
        <f>J341+IF(ISNUMBER(I341),I341,
  SWITCH(
      I341,
      "1T",1*10^Z341,
      "2T",2*10^Z341,
      "3T",3*10^Z341,
      "4T",4*10^Z341,
      "4000+500(7O-5)",4000+500*(7*I342-5),
      1
  )
)</f>
        <v>4006</v>
      </c>
      <c r="L341" s="38">
        <f>IF(VLOOKUP(H341,'Machine List'!$A$1:$I$300,5,FALSE)="Multi",IF(VLOOKUP(H341,'Machine List'!$A$1:$I$300,6,FALSE)="Yes",AU341*3*10^AT341,AU341*(2*3)*10^(AT341-1)),0)</f>
        <v>600</v>
      </c>
      <c r="M341" s="38">
        <f>L341+IF(ISNUMBER(I341),I341,
  SWITCH(
      I341,
      "1T",1*10^AT341,
      "2T",2*10^AT341,
      "3T",3*10^AT341,
      "4T",4*10^AT341,
      "4000+500(7O-5)",4000+500*(7*I342-5),
      1
  )
)</f>
        <v>4600</v>
      </c>
      <c r="N341" s="38" t="str">
        <f>VLOOKUP(H341,'Machine List'!$A$1:$I$300,8,FALSE)</f>
        <v>Tier</v>
      </c>
      <c r="O341" s="38">
        <f>IF(ISNUMBER(N341),N341,10^Z341)</f>
        <v>10</v>
      </c>
      <c r="P341" s="38">
        <f>IF(ISNUMBER(N341),N341,10^AT341)</f>
        <v>1000</v>
      </c>
      <c r="Q341" s="38">
        <f>VLOOKUP(H341,'Machine List'!$A$1:$B$138,2,FALSE)</f>
        <v>1</v>
      </c>
      <c r="R341" s="38" t="s">
        <v>594</v>
      </c>
      <c r="S341" s="45">
        <f>IF(ISNUMBER(Q341),Q341,
  SWITCH(
      Q341,
      "1",1,
      "2T",Z341*2,
      "4T",Z341*4,
      "6T",Z341*6,
      "8T",Z341*8,
      "10T",Z341*10,
      "12T",Z341*12,
      "14T",Z341*14,
      "16T",Z341*16,
      "2(T+1)",2*(Z341+1),
      "1T*C",Z341*J343,
      1
  )
)</f>
        <v>1</v>
      </c>
      <c r="T341" s="38" t="s">
        <v>277</v>
      </c>
      <c r="U341" s="38">
        <f>IF(OR(T341="No",T341=""),S341,T341)</f>
        <v>1</v>
      </c>
      <c r="V341" s="38">
        <f>IF(ISNUMBER(Q341),Q341,
  SWITCH(
      Q341,
      "1",1,
      "2T",AT341*2,
      "4T",AT341*4,
      "6T",AT341*6,
      "8T",AT341*8,
      "10T",AT341*10,
      "12T",AT341*12,
      "14T",AT341*14,
      "16T",AT341*16,
      "2(T+1)",2*(AT341+1),
      "1T*C",AT341*J343,
      1
  )
)</f>
        <v>1</v>
      </c>
      <c r="W341" s="38" t="str">
        <f>T341</f>
        <v>No</v>
      </c>
      <c r="X341" s="38">
        <f>IF(OR(W341="No",W341=""),V341,W341)</f>
        <v>1</v>
      </c>
      <c r="Y341" s="38" t="s">
        <v>390</v>
      </c>
      <c r="Z341" s="38">
        <f>VLOOKUP(Y341,'Item Helper Sheet'!$A$2:$B$16,2,FALSE)</f>
        <v>1</v>
      </c>
      <c r="AA341" s="38">
        <v>480.0</v>
      </c>
      <c r="AB341" s="38">
        <f>20*20</f>
        <v>400</v>
      </c>
      <c r="AC341" s="38">
        <f>AB341*I343</f>
        <v>400</v>
      </c>
      <c r="AD341" s="38">
        <f>AA341*AC341</f>
        <v>192000</v>
      </c>
      <c r="AE341" s="75"/>
      <c r="AF341" s="38" t="str">
        <f>Y341</f>
        <v>01 - LV</v>
      </c>
      <c r="AG341" s="38">
        <v>1.0</v>
      </c>
      <c r="AH341" s="38">
        <v>1.0</v>
      </c>
      <c r="AI341" s="38">
        <f>AH341*8*4^Z341</f>
        <v>32</v>
      </c>
      <c r="AJ341" s="38">
        <f>MIN(ROUNDDOWN(AI341/AL341,0),U341)</f>
        <v>0</v>
      </c>
      <c r="AK341" s="38">
        <f>IF(OR(T341="No",T341=""),AG341*S341,AG341*T341)</f>
        <v>1</v>
      </c>
      <c r="AL341" s="38">
        <f>ROUNDUP(AA341*VLOOKUP(H341,'Machine List'!$A$2:$D$219,4,FALSE),0)</f>
        <v>480</v>
      </c>
      <c r="AM341" s="38">
        <f>AL341*AK341</f>
        <v>480</v>
      </c>
      <c r="AN341" s="38">
        <f>ROUNDUP(AB341*I343,0)</f>
        <v>400</v>
      </c>
      <c r="AO341" s="38">
        <f>ROUNDUP(AN341/VLOOKUP(H341,'Machine List'!$A$2:$D$219,3,FALSE),0)</f>
        <v>400</v>
      </c>
      <c r="AP341" s="38">
        <f>ROUNDUP(AO341/AK341,0)</f>
        <v>400</v>
      </c>
      <c r="AQ341" s="38">
        <f>AM341*AP341</f>
        <v>192000</v>
      </c>
      <c r="AR341" s="75"/>
      <c r="AS341" s="38" t="s">
        <v>397</v>
      </c>
      <c r="AT341" s="38">
        <f>VLOOKUP(AS341,'Item Helper Sheet'!$A$2:$B$16,2,FALSE)</f>
        <v>3</v>
      </c>
      <c r="AU341" s="38">
        <f>AG341</f>
        <v>1</v>
      </c>
      <c r="AV341" s="38">
        <v>1.0</v>
      </c>
      <c r="AW341" s="38">
        <f>AV341*8*4^AT341</f>
        <v>512</v>
      </c>
      <c r="AX341" s="38">
        <f>MIN(ROUNDDOWN(AW341/AL341,0),X341)</f>
        <v>1</v>
      </c>
      <c r="AY341" s="38">
        <f>AX341*AU341</f>
        <v>1</v>
      </c>
      <c r="AZ341" s="38">
        <f>AL341</f>
        <v>480</v>
      </c>
      <c r="BA341" s="38">
        <f>MIN(AT341-Z341,IF(AW341&gt;=AZ342*4,
IF(AW341&gt;=AZ342*4^2,
IF(AW341&gt;=AZ342*4^3,
IF(AW341&gt;=AZ342*4^4,
IF(AW341&gt;=AZ342*4^5,
IF(AW341&gt;=AZ342*4^6,
IF(AW341&gt;=AZ342*4^7,
IF(AW341&gt;=AZ342*4^8,
IF(AW341&gt;=AZ342*4^9,
IF(AW341&gt;=AZ342*4^10,
9),
8),
7),
6),
5),
4),
3),
2),
1),
0))</f>
        <v>0</v>
      </c>
      <c r="BB341" s="38">
        <f>AZ341*AX341*4^BA341</f>
        <v>480</v>
      </c>
      <c r="BC341" s="38">
        <f>BB341*AU341</f>
        <v>480</v>
      </c>
      <c r="BD341" s="45">
        <f>ROUNDUP(IF(R341="Yes",AN341/(2^((BA341)*2)),AN341/(2^(BA341))),0)</f>
        <v>400</v>
      </c>
      <c r="BE341" s="45">
        <f>ROUNDUP(BD341/VLOOKUP(H341,'Machine List'!$A$2:$D$219,3,FALSE),0)</f>
        <v>400</v>
      </c>
      <c r="BF341" s="45">
        <f>ROUNDUP(BE341/AY341,0)</f>
        <v>400</v>
      </c>
      <c r="BG341" s="46">
        <f>BF341*BC341</f>
        <v>192000</v>
      </c>
    </row>
    <row r="342">
      <c r="B342" s="40"/>
      <c r="C342" s="41" t="s">
        <v>13</v>
      </c>
      <c r="D342" s="38">
        <f>2000*I343</f>
        <v>2000</v>
      </c>
      <c r="E342" s="38" t="s">
        <v>14</v>
      </c>
      <c r="F342" s="42">
        <f>1000*I343</f>
        <v>1000</v>
      </c>
      <c r="G342" s="112"/>
      <c r="H342" s="99" t="s">
        <v>584</v>
      </c>
      <c r="I342" s="45">
        <f t="array" ref="I342">match(TRUE,ISBLANK(F342:F354),0)-1</f>
        <v>3</v>
      </c>
      <c r="J342" s="120" t="s">
        <v>420</v>
      </c>
      <c r="K342" s="120" t="s">
        <v>585</v>
      </c>
      <c r="L342" s="121"/>
      <c r="M342" s="121"/>
      <c r="N342" s="121"/>
      <c r="O342" s="121"/>
      <c r="P342" s="121"/>
      <c r="Q342" s="121"/>
      <c r="R342" s="121"/>
      <c r="S342" s="121"/>
      <c r="T342" s="121"/>
      <c r="U342" s="121"/>
      <c r="V342" s="121"/>
      <c r="W342" s="121"/>
      <c r="X342" s="121"/>
      <c r="Y342" s="121"/>
      <c r="Z342" s="121"/>
      <c r="AA342" s="121"/>
      <c r="AB342" s="121"/>
      <c r="AC342" s="121"/>
      <c r="AD342" s="121"/>
      <c r="AE342" s="118"/>
      <c r="AF342" s="121"/>
      <c r="AG342" s="121"/>
      <c r="AH342" s="121"/>
      <c r="AI342" s="121"/>
      <c r="AJ342" s="121"/>
      <c r="AK342" s="121"/>
      <c r="AL342" s="121"/>
      <c r="AM342" s="121"/>
      <c r="AN342" s="121"/>
      <c r="AO342" s="121"/>
      <c r="AP342" s="121"/>
      <c r="AQ342" s="121"/>
      <c r="AR342" s="118"/>
      <c r="AS342" s="121"/>
      <c r="AT342" s="121"/>
      <c r="AU342" s="121"/>
      <c r="AV342" s="121"/>
      <c r="AW342" s="121"/>
      <c r="AX342" s="121"/>
      <c r="AY342" s="121"/>
      <c r="AZ342" s="116">
        <f>AZ341*AX341</f>
        <v>480</v>
      </c>
      <c r="BA342" s="121"/>
      <c r="BB342" s="121"/>
      <c r="BC342" s="121"/>
      <c r="BD342" s="121"/>
      <c r="BE342" s="121"/>
      <c r="BF342" s="121"/>
      <c r="BG342" s="122"/>
    </row>
    <row r="343">
      <c r="B343" s="40"/>
      <c r="C343" s="41" t="s">
        <v>689</v>
      </c>
      <c r="D343" s="38">
        <f>1*I343</f>
        <v>1</v>
      </c>
      <c r="E343" s="38" t="s">
        <v>43</v>
      </c>
      <c r="F343" s="42">
        <f>1000*I343</f>
        <v>1000</v>
      </c>
      <c r="G343" s="112"/>
      <c r="H343" s="48" t="s">
        <v>502</v>
      </c>
      <c r="I343" s="49">
        <v>1.0</v>
      </c>
      <c r="J343" s="100" t="s">
        <v>424</v>
      </c>
      <c r="K343" s="120">
        <v>0.0</v>
      </c>
      <c r="L343" s="121"/>
      <c r="M343" s="121"/>
      <c r="N343" s="121"/>
      <c r="O343" s="121"/>
      <c r="P343" s="121"/>
      <c r="Q343" s="121"/>
      <c r="R343" s="121"/>
      <c r="S343" s="121"/>
      <c r="T343" s="121"/>
      <c r="U343" s="121"/>
      <c r="V343" s="121"/>
      <c r="W343" s="121"/>
      <c r="X343" s="121"/>
      <c r="Y343" s="121"/>
      <c r="Z343" s="121"/>
      <c r="AA343" s="121"/>
      <c r="AB343" s="121"/>
      <c r="AC343" s="121"/>
      <c r="AD343" s="121"/>
      <c r="AE343" s="118"/>
      <c r="AF343" s="121"/>
      <c r="AG343" s="121"/>
      <c r="AH343" s="121"/>
      <c r="AI343" s="121"/>
      <c r="AJ343" s="121"/>
      <c r="AK343" s="121"/>
      <c r="AL343" s="121"/>
      <c r="AM343" s="121"/>
      <c r="AN343" s="121"/>
      <c r="AO343" s="121"/>
      <c r="AP343" s="121"/>
      <c r="AQ343" s="121"/>
      <c r="AR343" s="118"/>
      <c r="AS343" s="121"/>
      <c r="AT343" s="121"/>
      <c r="AU343" s="121"/>
      <c r="AV343" s="121"/>
      <c r="AW343" s="121"/>
      <c r="AX343" s="121"/>
      <c r="AY343" s="121"/>
      <c r="AZ343" s="121"/>
      <c r="BA343" s="121"/>
      <c r="BB343" s="121"/>
      <c r="BC343" s="121"/>
      <c r="BD343" s="121"/>
      <c r="BE343" s="121"/>
      <c r="BF343" s="121"/>
      <c r="BG343" s="122"/>
    </row>
    <row r="344">
      <c r="B344" s="40"/>
      <c r="C344" s="38"/>
      <c r="D344" s="133"/>
      <c r="E344" s="38" t="s">
        <v>248</v>
      </c>
      <c r="F344" s="42">
        <f>1000*I343</f>
        <v>1000</v>
      </c>
      <c r="G344" s="112"/>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18"/>
      <c r="AF344" s="101"/>
      <c r="AG344" s="101"/>
      <c r="AH344" s="101"/>
      <c r="AI344" s="101"/>
      <c r="AJ344" s="101"/>
      <c r="AK344" s="101"/>
      <c r="AL344" s="101"/>
      <c r="AM344" s="101"/>
      <c r="AN344" s="101"/>
      <c r="AO344" s="101"/>
      <c r="AP344" s="101"/>
      <c r="AQ344" s="101"/>
      <c r="AR344" s="118"/>
      <c r="AS344" s="101"/>
      <c r="AT344" s="101"/>
      <c r="AU344" s="101"/>
      <c r="AV344" s="101"/>
      <c r="AW344" s="101"/>
      <c r="AX344" s="101"/>
      <c r="AY344" s="101"/>
      <c r="AZ344" s="101"/>
      <c r="BA344" s="101"/>
      <c r="BB344" s="101"/>
      <c r="BC344" s="101"/>
      <c r="BD344" s="101"/>
      <c r="BE344" s="101"/>
      <c r="BF344" s="101"/>
      <c r="BG344" s="124"/>
    </row>
    <row r="345">
      <c r="B345" s="50"/>
      <c r="C345" s="51"/>
      <c r="D345" s="134"/>
      <c r="E345" s="52"/>
      <c r="F345" s="52"/>
      <c r="G345" s="112"/>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2"/>
      <c r="AF345" s="113"/>
      <c r="AG345" s="113"/>
      <c r="AH345" s="113"/>
      <c r="AI345" s="113"/>
      <c r="AJ345" s="113"/>
      <c r="AK345" s="113"/>
      <c r="AL345" s="113"/>
      <c r="AM345" s="113"/>
      <c r="AN345" s="113"/>
      <c r="AO345" s="113"/>
      <c r="AP345" s="113"/>
      <c r="AQ345" s="113"/>
      <c r="AR345" s="118"/>
      <c r="AS345" s="113"/>
      <c r="AT345" s="113"/>
      <c r="AU345" s="113"/>
      <c r="AV345" s="113"/>
      <c r="AW345" s="113"/>
      <c r="AX345" s="113"/>
      <c r="AY345" s="113"/>
      <c r="AZ345" s="113"/>
      <c r="BA345" s="113"/>
      <c r="BB345" s="113"/>
      <c r="BC345" s="113"/>
      <c r="BD345" s="113"/>
      <c r="BE345" s="113"/>
      <c r="BF345" s="113"/>
      <c r="BG345" s="114"/>
    </row>
    <row r="346">
      <c r="B346" s="31" t="s">
        <v>669</v>
      </c>
      <c r="C346" s="54"/>
      <c r="D346" s="45"/>
      <c r="E346" s="45"/>
      <c r="F346" s="47"/>
      <c r="G346" s="35"/>
      <c r="H346" s="55" t="s">
        <v>349</v>
      </c>
      <c r="I346" s="38">
        <f>VLOOKUP(H346,'Machine List'!$A$1:$I$300,9,FALSE)</f>
        <v>4000</v>
      </c>
      <c r="J346" s="38">
        <f>IF(VLOOKUP(H346,'Machine List'!$A$1:$I$300,5,FALSE)="Multi",IF(VLOOKUP(H346,'Machine List'!$A$1:$I$300,6,FALSE)="Yes",AG346*3*10^Z346,AG346*(2*3)*10^(Z346-1)),0)</f>
        <v>6</v>
      </c>
      <c r="K346" s="38">
        <f>J346+IF(ISNUMBER(I346),I346,
  SWITCH(
      I346,
      "1T",1*10^Z346,
      "2T",2*10^Z346,
      "3T",3*10^Z346,
      "4T",4*10^Z346,
      "4000+500(7O-5)",4000+500*(7*I347-5),
      1
  )
)</f>
        <v>4006</v>
      </c>
      <c r="L346" s="38">
        <f>IF(VLOOKUP(H346,'Machine List'!$A$1:$I$300,5,FALSE)="Multi",IF(VLOOKUP(H346,'Machine List'!$A$1:$I$300,6,FALSE)="Yes",AU346*3*10^AT346,AU346*(2*3)*10^(AT346-1)),0)</f>
        <v>600</v>
      </c>
      <c r="M346" s="38">
        <f>L346+IF(ISNUMBER(I346),I346,
  SWITCH(
      I346,
      "1T",1*10^AT346,
      "2T",2*10^AT346,
      "3T",3*10^AT346,
      "4T",4*10^AT346,
      "4000+500(7O-5)",4000+500*(7*I347-5),
      1
  )
)</f>
        <v>4600</v>
      </c>
      <c r="N346" s="38" t="str">
        <f>VLOOKUP(H346,'Machine List'!$A$1:$I$300,8,FALSE)</f>
        <v>Tier</v>
      </c>
      <c r="O346" s="38">
        <f>IF(ISNUMBER(N346),N346,10^Z346)</f>
        <v>10</v>
      </c>
      <c r="P346" s="38">
        <f>IF(ISNUMBER(N346),N346,10^AT346)</f>
        <v>1000</v>
      </c>
      <c r="Q346" s="38">
        <f>VLOOKUP(H346,'Machine List'!$A$1:$B$138,2,FALSE)</f>
        <v>1</v>
      </c>
      <c r="R346" s="38" t="s">
        <v>594</v>
      </c>
      <c r="S346" s="45">
        <f>IF(ISNUMBER(Q346),Q346,
  SWITCH(
      Q346,
      "1",1,
      "2T",Z346*2,
      "4T",Z346*4,
      "6T",Z346*6,
      "8T",Z346*8,
      "10T",Z346*10,
      "12T",Z346*12,
      "14T",Z346*14,
      "16T",Z346*16,
      "2(T+1)",2*(Z346+1),
      "1T*C",Z346*J348,
      1
  )
)</f>
        <v>1</v>
      </c>
      <c r="T346" s="38" t="s">
        <v>277</v>
      </c>
      <c r="U346" s="38">
        <f>IF(OR(T346="No",T346=""),S346,T346)</f>
        <v>1</v>
      </c>
      <c r="V346" s="38">
        <f>IF(ISNUMBER(Q346),Q346,
  SWITCH(
      Q346,
      "1",1,
      "2T",AT346*2,
      "4T",AT346*4,
      "6T",AT346*6,
      "8T",AT346*8,
      "10T",AT346*10,
      "12T",AT346*12,
      "14T",AT346*14,
      "16T",AT346*16,
      "2(T+1)",2*(AT346+1),
      "1T*C",AT346*J348,
      1
  )
)</f>
        <v>1</v>
      </c>
      <c r="W346" s="38" t="str">
        <f>T346</f>
        <v>No</v>
      </c>
      <c r="X346" s="38">
        <f>IF(OR(W346="No",W346=""),V346,W346)</f>
        <v>1</v>
      </c>
      <c r="Y346" s="38" t="s">
        <v>390</v>
      </c>
      <c r="Z346" s="38">
        <f>VLOOKUP(Y346,'Item Helper Sheet'!$A$2:$B$16,2,FALSE)</f>
        <v>1</v>
      </c>
      <c r="AA346" s="38">
        <v>480.0</v>
      </c>
      <c r="AB346" s="38">
        <f>5*20</f>
        <v>100</v>
      </c>
      <c r="AC346" s="38">
        <f>AB346*I348</f>
        <v>100</v>
      </c>
      <c r="AD346" s="38">
        <f>AA346*AC346</f>
        <v>48000</v>
      </c>
      <c r="AE346" s="75"/>
      <c r="AF346" s="38" t="str">
        <f>Y346</f>
        <v>01 - LV</v>
      </c>
      <c r="AG346" s="38">
        <v>1.0</v>
      </c>
      <c r="AH346" s="38">
        <v>1.0</v>
      </c>
      <c r="AI346" s="38">
        <f>AH346*8*4^Z346</f>
        <v>32</v>
      </c>
      <c r="AJ346" s="38">
        <f>MIN(ROUNDDOWN(AI346/AL346,0),U346)</f>
        <v>0</v>
      </c>
      <c r="AK346" s="38">
        <f>IF(OR(T346="No",T346=""),AG346*S346,AG346*T346)</f>
        <v>1</v>
      </c>
      <c r="AL346" s="38">
        <f>ROUNDUP(AA346*VLOOKUP(H346,'Machine List'!$A$2:$D$219,4,FALSE),0)</f>
        <v>480</v>
      </c>
      <c r="AM346" s="38">
        <f>AL346*AK346</f>
        <v>480</v>
      </c>
      <c r="AN346" s="38">
        <f>ROUNDUP(AB346*I348,0)</f>
        <v>100</v>
      </c>
      <c r="AO346" s="38">
        <f>ROUNDUP(AN346/VLOOKUP(H346,'Machine List'!$A$2:$D$219,3,FALSE),0)</f>
        <v>100</v>
      </c>
      <c r="AP346" s="38">
        <f>ROUNDUP(AO346/AK346,0)</f>
        <v>100</v>
      </c>
      <c r="AQ346" s="38">
        <f>AM346*AP346</f>
        <v>48000</v>
      </c>
      <c r="AR346" s="75"/>
      <c r="AS346" s="38" t="s">
        <v>397</v>
      </c>
      <c r="AT346" s="38">
        <f>VLOOKUP(AS346,'Item Helper Sheet'!$A$2:$B$16,2,FALSE)</f>
        <v>3</v>
      </c>
      <c r="AU346" s="38">
        <f>AG346</f>
        <v>1</v>
      </c>
      <c r="AV346" s="38">
        <v>1.0</v>
      </c>
      <c r="AW346" s="38">
        <f>AV346*8*4^AT346</f>
        <v>512</v>
      </c>
      <c r="AX346" s="38">
        <f>MIN(ROUNDDOWN(AW346/AL346,0),X346)</f>
        <v>1</v>
      </c>
      <c r="AY346" s="38">
        <f>AX346*AU346</f>
        <v>1</v>
      </c>
      <c r="AZ346" s="38">
        <f>AL346</f>
        <v>480</v>
      </c>
      <c r="BA346" s="38">
        <f>MIN(AT346-Z346,IF(AW346&gt;=AZ347*4,
IF(AW346&gt;=AZ347*4^2,
IF(AW346&gt;=AZ347*4^3,
IF(AW346&gt;=AZ347*4^4,
IF(AW346&gt;=AZ347*4^5,
IF(AW346&gt;=AZ347*4^6,
IF(AW346&gt;=AZ347*4^7,
IF(AW346&gt;=AZ347*4^8,
IF(AW346&gt;=AZ347*4^9,
IF(AW346&gt;=AZ347*4^10,
9),
8),
7),
6),
5),
4),
3),
2),
1),
0))</f>
        <v>0</v>
      </c>
      <c r="BB346" s="38">
        <f>AZ346*AX346*4^BA346</f>
        <v>480</v>
      </c>
      <c r="BC346" s="38">
        <f>BB346*AU346</f>
        <v>480</v>
      </c>
      <c r="BD346" s="45">
        <f>ROUNDUP(IF(R346="Yes",AN346/(2^((BA346)*2)),AN346/(2^(BA346))),0)</f>
        <v>100</v>
      </c>
      <c r="BE346" s="45">
        <f>ROUNDUP(BD346/VLOOKUP(H346,'Machine List'!$A$2:$D$219,3,FALSE),0)</f>
        <v>100</v>
      </c>
      <c r="BF346" s="45">
        <f>ROUNDUP(BE346/AY346,0)</f>
        <v>100</v>
      </c>
      <c r="BG346" s="46">
        <f>BF346*BC346</f>
        <v>48000</v>
      </c>
    </row>
    <row r="347">
      <c r="B347" s="40"/>
      <c r="C347" s="41" t="s">
        <v>124</v>
      </c>
      <c r="D347" s="38">
        <f>16000*I348</f>
        <v>16000</v>
      </c>
      <c r="E347" s="38" t="s">
        <v>179</v>
      </c>
      <c r="F347" s="42">
        <f>20000*I348</f>
        <v>20000</v>
      </c>
      <c r="G347" s="43"/>
      <c r="H347" s="99" t="s">
        <v>584</v>
      </c>
      <c r="I347" s="45">
        <f t="array" ref="I347">match(TRUE,ISBLANK(F347:F359),0)-1</f>
        <v>1</v>
      </c>
      <c r="J347" s="100" t="s">
        <v>420</v>
      </c>
      <c r="K347" s="100" t="s">
        <v>585</v>
      </c>
      <c r="L347" s="38"/>
      <c r="M347" s="38"/>
      <c r="N347" s="38"/>
      <c r="O347" s="38"/>
      <c r="P347" s="38"/>
      <c r="Q347" s="38"/>
      <c r="R347" s="101"/>
      <c r="S347" s="101"/>
      <c r="T347" s="101"/>
      <c r="U347" s="45"/>
      <c r="V347" s="45"/>
      <c r="W347" s="45"/>
      <c r="X347" s="45"/>
      <c r="Y347" s="45"/>
      <c r="Z347" s="45"/>
      <c r="AA347" s="45"/>
      <c r="AB347" s="45"/>
      <c r="AC347" s="45"/>
      <c r="AD347" s="45"/>
      <c r="AE347" s="79"/>
      <c r="AF347" s="45"/>
      <c r="AG347" s="45"/>
      <c r="AH347" s="45"/>
      <c r="AI347" s="45"/>
      <c r="AJ347" s="45"/>
      <c r="AK347" s="45"/>
      <c r="AL347" s="45"/>
      <c r="AM347" s="45"/>
      <c r="AN347" s="45"/>
      <c r="AO347" s="45"/>
      <c r="AP347" s="45"/>
      <c r="AQ347" s="45"/>
      <c r="AR347" s="79"/>
      <c r="AS347" s="45"/>
      <c r="AT347" s="45"/>
      <c r="AU347" s="45"/>
      <c r="AV347" s="45"/>
      <c r="AW347" s="45"/>
      <c r="AX347" s="45"/>
      <c r="AY347" s="45"/>
      <c r="AZ347" s="45">
        <f>AZ346*AX346</f>
        <v>480</v>
      </c>
      <c r="BA347" s="45"/>
      <c r="BB347" s="45"/>
      <c r="BC347" s="45"/>
      <c r="BD347" s="45"/>
      <c r="BE347" s="45"/>
      <c r="BF347" s="45"/>
      <c r="BG347" s="46"/>
    </row>
    <row r="348">
      <c r="B348" s="40"/>
      <c r="C348" s="41" t="s">
        <v>183</v>
      </c>
      <c r="D348" s="38">
        <f>2000*I348</f>
        <v>2000</v>
      </c>
      <c r="E348" s="38"/>
      <c r="F348" s="42"/>
      <c r="G348" s="43"/>
      <c r="H348" s="56" t="s">
        <v>502</v>
      </c>
      <c r="I348" s="49">
        <v>1.0</v>
      </c>
      <c r="J348" s="100" t="s">
        <v>424</v>
      </c>
      <c r="K348" s="100">
        <v>0.0</v>
      </c>
      <c r="L348" s="45"/>
      <c r="M348" s="45"/>
      <c r="N348" s="45"/>
      <c r="O348" s="45"/>
      <c r="P348" s="45"/>
      <c r="Q348" s="45"/>
      <c r="R348" s="45"/>
      <c r="S348" s="101"/>
      <c r="T348" s="101"/>
      <c r="U348" s="45"/>
      <c r="V348" s="45"/>
      <c r="W348" s="45"/>
      <c r="X348" s="45"/>
      <c r="Y348" s="45"/>
      <c r="Z348" s="45"/>
      <c r="AA348" s="45"/>
      <c r="AB348" s="45"/>
      <c r="AC348" s="45"/>
      <c r="AD348" s="45"/>
      <c r="AE348" s="79"/>
      <c r="AF348" s="45"/>
      <c r="AG348" s="45"/>
      <c r="AH348" s="45"/>
      <c r="AI348" s="45"/>
      <c r="AJ348" s="45"/>
      <c r="AK348" s="45"/>
      <c r="AL348" s="45"/>
      <c r="AM348" s="45"/>
      <c r="AN348" s="45"/>
      <c r="AO348" s="45"/>
      <c r="AP348" s="45"/>
      <c r="AQ348" s="45"/>
      <c r="AR348" s="79"/>
      <c r="AS348" s="45"/>
      <c r="AT348" s="45"/>
      <c r="AU348" s="45"/>
      <c r="AV348" s="45"/>
      <c r="AW348" s="45"/>
      <c r="AX348" s="45"/>
      <c r="AY348" s="45"/>
      <c r="AZ348" s="45"/>
      <c r="BA348" s="45"/>
      <c r="BB348" s="45"/>
      <c r="BC348" s="45"/>
      <c r="BD348" s="45"/>
      <c r="BE348" s="45"/>
      <c r="BF348" s="45"/>
      <c r="BG348" s="46"/>
    </row>
    <row r="349">
      <c r="B349" s="40"/>
      <c r="C349" s="41" t="s">
        <v>119</v>
      </c>
      <c r="D349" s="38">
        <f>2000*I348</f>
        <v>2000</v>
      </c>
      <c r="E349" s="38"/>
      <c r="F349" s="42"/>
      <c r="G349" s="43"/>
      <c r="H349" s="44"/>
      <c r="I349" s="45"/>
      <c r="J349" s="45"/>
      <c r="K349" s="45"/>
      <c r="L349" s="45"/>
      <c r="M349" s="45"/>
      <c r="N349" s="45"/>
      <c r="O349" s="45"/>
      <c r="P349" s="45"/>
      <c r="Q349" s="45"/>
      <c r="R349" s="45"/>
      <c r="S349" s="101"/>
      <c r="T349" s="101"/>
      <c r="U349" s="45"/>
      <c r="V349" s="45"/>
      <c r="W349" s="45"/>
      <c r="X349" s="45"/>
      <c r="Y349" s="45"/>
      <c r="Z349" s="45"/>
      <c r="AA349" s="45"/>
      <c r="AB349" s="45"/>
      <c r="AC349" s="45"/>
      <c r="AD349" s="45"/>
      <c r="AE349" s="79"/>
      <c r="AF349" s="45"/>
      <c r="AG349" s="45"/>
      <c r="AH349" s="45"/>
      <c r="AI349" s="45"/>
      <c r="AJ349" s="45"/>
      <c r="AK349" s="45"/>
      <c r="AL349" s="45"/>
      <c r="AM349" s="45"/>
      <c r="AN349" s="45"/>
      <c r="AO349" s="45"/>
      <c r="AP349" s="45"/>
      <c r="AQ349" s="45"/>
      <c r="AR349" s="79"/>
      <c r="AS349" s="45"/>
      <c r="AT349" s="45"/>
      <c r="AU349" s="45"/>
      <c r="AV349" s="45"/>
      <c r="AW349" s="45"/>
      <c r="AX349" s="45"/>
      <c r="AY349" s="45"/>
      <c r="AZ349" s="45"/>
      <c r="BA349" s="45"/>
      <c r="BB349" s="45"/>
      <c r="BC349" s="45"/>
      <c r="BD349" s="45"/>
      <c r="BE349" s="45"/>
      <c r="BF349" s="45"/>
      <c r="BG349" s="46"/>
    </row>
    <row r="350">
      <c r="B350" s="40"/>
      <c r="C350" s="41" t="s">
        <v>14</v>
      </c>
      <c r="D350" s="133">
        <f>1000*I348</f>
        <v>1000</v>
      </c>
      <c r="E350" s="38"/>
      <c r="F350" s="42"/>
      <c r="G350" s="43"/>
      <c r="H350" s="44"/>
      <c r="I350" s="45"/>
      <c r="J350" s="45"/>
      <c r="K350" s="45"/>
      <c r="L350" s="45"/>
      <c r="M350" s="45"/>
      <c r="N350" s="45"/>
      <c r="O350" s="45"/>
      <c r="P350" s="45"/>
      <c r="Q350" s="45"/>
      <c r="R350" s="45"/>
      <c r="S350" s="101"/>
      <c r="T350" s="101"/>
      <c r="U350" s="45"/>
      <c r="V350" s="45"/>
      <c r="W350" s="45"/>
      <c r="X350" s="45"/>
      <c r="Y350" s="45"/>
      <c r="Z350" s="45"/>
      <c r="AA350" s="45"/>
      <c r="AB350" s="45"/>
      <c r="AC350" s="45"/>
      <c r="AD350" s="45"/>
      <c r="AE350" s="79"/>
      <c r="AF350" s="45"/>
      <c r="AG350" s="45"/>
      <c r="AH350" s="45"/>
      <c r="AI350" s="45"/>
      <c r="AJ350" s="45"/>
      <c r="AK350" s="45"/>
      <c r="AL350" s="45"/>
      <c r="AM350" s="45"/>
      <c r="AN350" s="45"/>
      <c r="AO350" s="45"/>
      <c r="AP350" s="45"/>
      <c r="AQ350" s="45"/>
      <c r="AR350" s="79"/>
      <c r="AS350" s="45"/>
      <c r="AT350" s="45"/>
      <c r="AU350" s="45"/>
      <c r="AV350" s="45"/>
      <c r="AW350" s="45"/>
      <c r="AX350" s="45"/>
      <c r="AY350" s="45"/>
      <c r="AZ350" s="45"/>
      <c r="BA350" s="45"/>
      <c r="BB350" s="45"/>
      <c r="BC350" s="45"/>
      <c r="BD350" s="45"/>
      <c r="BE350" s="45"/>
      <c r="BF350" s="45"/>
      <c r="BG350" s="46"/>
    </row>
    <row r="351">
      <c r="B351" s="50"/>
      <c r="C351" s="51"/>
      <c r="D351" s="134"/>
      <c r="E351" s="52"/>
      <c r="F351" s="52"/>
      <c r="G351" s="112"/>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2"/>
      <c r="AF351" s="113"/>
      <c r="AG351" s="113"/>
      <c r="AH351" s="113"/>
      <c r="AI351" s="113"/>
      <c r="AJ351" s="113"/>
      <c r="AK351" s="113"/>
      <c r="AL351" s="113"/>
      <c r="AM351" s="113"/>
      <c r="AN351" s="113"/>
      <c r="AO351" s="113"/>
      <c r="AP351" s="113"/>
      <c r="AQ351" s="113"/>
      <c r="AR351" s="112"/>
      <c r="AS351" s="113"/>
      <c r="AT351" s="113"/>
      <c r="AU351" s="113"/>
      <c r="AV351" s="113"/>
      <c r="AW351" s="113"/>
      <c r="AX351" s="113"/>
      <c r="AY351" s="113"/>
      <c r="AZ351" s="113"/>
      <c r="BA351" s="113"/>
      <c r="BB351" s="113"/>
      <c r="BC351" s="113"/>
      <c r="BD351" s="113"/>
      <c r="BE351" s="113"/>
      <c r="BF351" s="113"/>
      <c r="BG351" s="114"/>
    </row>
    <row r="352">
      <c r="B352" s="31" t="s">
        <v>670</v>
      </c>
      <c r="C352" s="54"/>
      <c r="D352" s="45"/>
      <c r="E352" s="45"/>
      <c r="F352" s="47"/>
      <c r="G352" s="112"/>
      <c r="H352" s="55" t="s">
        <v>349</v>
      </c>
      <c r="I352" s="38">
        <f>VLOOKUP(H352,'Machine List'!$A$1:$I$300,9,FALSE)</f>
        <v>4000</v>
      </c>
      <c r="J352" s="38">
        <f>IF(VLOOKUP(H352,'Machine List'!$A$1:$I$300,5,FALSE)="Multi",IF(VLOOKUP(H352,'Machine List'!$A$1:$I$300,6,FALSE)="Yes",AG352*3*10^Z352,AG352*(2*3)*10^(Z352-1)),0)</f>
        <v>6</v>
      </c>
      <c r="K352" s="38">
        <f>J352+IF(ISNUMBER(I352),I352,
  SWITCH(
      I352,
      "1T",1*10^Z352,
      "2T",2*10^Z352,
      "3T",3*10^Z352,
      "4T",4*10^Z352,
      "4000+500(7O-5)",4000+500*(7*I353-5),
      1
  )
)</f>
        <v>4006</v>
      </c>
      <c r="L352" s="38">
        <f>IF(VLOOKUP(H352,'Machine List'!$A$1:$I$300,5,FALSE)="Multi",IF(VLOOKUP(H352,'Machine List'!$A$1:$I$300,6,FALSE)="Yes",AU352*3*10^AT352,AU352*(2*3)*10^(AT352-1)),0)</f>
        <v>600</v>
      </c>
      <c r="M352" s="38">
        <f>L352+IF(ISNUMBER(I352),I352,
  SWITCH(
      I352,
      "1T",1*10^AT352,
      "2T",2*10^AT352,
      "3T",3*10^AT352,
      "4T",4*10^AT352,
      "4000+500(7O-5)",4000+500*(7*I353-5),
      1
  )
)</f>
        <v>4600</v>
      </c>
      <c r="N352" s="38" t="str">
        <f>VLOOKUP(H352,'Machine List'!$A$1:$I$300,8,FALSE)</f>
        <v>Tier</v>
      </c>
      <c r="O352" s="38">
        <f>IF(ISNUMBER(N352),N352,10^Z352)</f>
        <v>10</v>
      </c>
      <c r="P352" s="38">
        <f>IF(ISNUMBER(N352),N352,10^AT352)</f>
        <v>1000</v>
      </c>
      <c r="Q352" s="38">
        <f>VLOOKUP(H352,'Machine List'!$A$1:$B$138,2,FALSE)</f>
        <v>1</v>
      </c>
      <c r="R352" s="38" t="s">
        <v>594</v>
      </c>
      <c r="S352" s="45">
        <f>IF(ISNUMBER(Q352),Q352,
  SWITCH(
      Q352,
      "1",1,
      "2T",Z352*2,
      "4T",Z352*4,
      "6T",Z352*6,
      "8T",Z352*8,
      "10T",Z352*10,
      "12T",Z352*12,
      "14T",Z352*14,
      "16T",Z352*16,
      "2(T+1)",2*(Z352+1),
      "1T*C",Z352*J354,
      1
  )
)</f>
        <v>1</v>
      </c>
      <c r="T352" s="38" t="s">
        <v>277</v>
      </c>
      <c r="U352" s="38">
        <f>IF(OR(T352="No",T352=""),S352,T352)</f>
        <v>1</v>
      </c>
      <c r="V352" s="38">
        <f>IF(ISNUMBER(Q352),Q352,
  SWITCH(
      Q352,
      "1",1,
      "2T",AT352*2,
      "4T",AT352*4,
      "6T",AT352*6,
      "8T",AT352*8,
      "10T",AT352*10,
      "12T",AT352*12,
      "14T",AT352*14,
      "16T",AT352*16,
      "2(T+1)",2*(AT352+1),
      "1T*C",AT352*J354,
      1
  )
)</f>
        <v>1</v>
      </c>
      <c r="W352" s="38" t="str">
        <f>T352</f>
        <v>No</v>
      </c>
      <c r="X352" s="38">
        <f>IF(OR(W352="No",W352=""),V352,W352)</f>
        <v>1</v>
      </c>
      <c r="Y352" s="38" t="s">
        <v>390</v>
      </c>
      <c r="Z352" s="38">
        <f>VLOOKUP(Y352,'Item Helper Sheet'!$A$2:$B$16,2,FALSE)</f>
        <v>1</v>
      </c>
      <c r="AA352" s="38">
        <v>480.0</v>
      </c>
      <c r="AB352" s="38">
        <f>0.5*20</f>
        <v>10</v>
      </c>
      <c r="AC352" s="38">
        <f>AB352*I354</f>
        <v>10</v>
      </c>
      <c r="AD352" s="38">
        <f>AA352*AC352</f>
        <v>4800</v>
      </c>
      <c r="AE352" s="75"/>
      <c r="AF352" s="38" t="str">
        <f>Y352</f>
        <v>01 - LV</v>
      </c>
      <c r="AG352" s="38">
        <v>1.0</v>
      </c>
      <c r="AH352" s="38">
        <v>1.0</v>
      </c>
      <c r="AI352" s="38">
        <f>AH352*8*4^Z352</f>
        <v>32</v>
      </c>
      <c r="AJ352" s="38">
        <f>MIN(ROUNDDOWN(AI352/AL352,0),U352)</f>
        <v>0</v>
      </c>
      <c r="AK352" s="38">
        <f>IF(OR(T352="No",T352=""),AG352*S352,AG352*T352)</f>
        <v>1</v>
      </c>
      <c r="AL352" s="38">
        <f>ROUNDUP(AA352*VLOOKUP(H352,'Machine List'!$A$2:$D$219,4,FALSE),0)</f>
        <v>480</v>
      </c>
      <c r="AM352" s="38">
        <f>AL352*AK352</f>
        <v>480</v>
      </c>
      <c r="AN352" s="38">
        <f>ROUNDUP(AB352*I354,0)</f>
        <v>10</v>
      </c>
      <c r="AO352" s="38">
        <f>ROUNDUP(AN352/VLOOKUP(H352,'Machine List'!$A$2:$D$219,3,FALSE),0)</f>
        <v>10</v>
      </c>
      <c r="AP352" s="38">
        <f>ROUNDUP(AO352/AK352,0)</f>
        <v>10</v>
      </c>
      <c r="AQ352" s="38">
        <f>AM352*AP352</f>
        <v>4800</v>
      </c>
      <c r="AR352" s="75"/>
      <c r="AS352" s="38" t="s">
        <v>397</v>
      </c>
      <c r="AT352" s="38">
        <f>VLOOKUP(AS352,'Item Helper Sheet'!$A$2:$B$16,2,FALSE)</f>
        <v>3</v>
      </c>
      <c r="AU352" s="38">
        <f>AG352</f>
        <v>1</v>
      </c>
      <c r="AV352" s="38">
        <v>1.0</v>
      </c>
      <c r="AW352" s="38">
        <f>AV352*8*4^AT352</f>
        <v>512</v>
      </c>
      <c r="AX352" s="38">
        <f>MIN(ROUNDDOWN(AW352/AL352,0),X352)</f>
        <v>1</v>
      </c>
      <c r="AY352" s="38">
        <f>AX352*AU352</f>
        <v>1</v>
      </c>
      <c r="AZ352" s="38">
        <f>AL352</f>
        <v>480</v>
      </c>
      <c r="BA352" s="38">
        <f>MIN(AT352-Z352,IF(AW352&gt;=AZ353*4,
IF(AW352&gt;=AZ353*4^2,
IF(AW352&gt;=AZ353*4^3,
IF(AW352&gt;=AZ353*4^4,
IF(AW352&gt;=AZ353*4^5,
IF(AW352&gt;=AZ353*4^6,
IF(AW352&gt;=AZ353*4^7,
IF(AW352&gt;=AZ353*4^8,
IF(AW352&gt;=AZ353*4^9,
IF(AW352&gt;=AZ353*4^10,
9),
8),
7),
6),
5),
4),
3),
2),
1),
0))</f>
        <v>0</v>
      </c>
      <c r="BB352" s="38">
        <f>AZ352*AX352*4^BA352</f>
        <v>480</v>
      </c>
      <c r="BC352" s="38">
        <f>BB352*AU352</f>
        <v>480</v>
      </c>
      <c r="BD352" s="45">
        <f>ROUNDUP(IF(R352="Yes",AN352/(2^((BA352)*2)),AN352/(2^(BA352))),0)</f>
        <v>10</v>
      </c>
      <c r="BE352" s="45">
        <f>ROUNDUP(BD352/VLOOKUP(H352,'Machine List'!$A$2:$D$219,3,FALSE),0)</f>
        <v>10</v>
      </c>
      <c r="BF352" s="45">
        <f>ROUNDUP(BE352/AY352,0)</f>
        <v>10</v>
      </c>
      <c r="BG352" s="46">
        <f>BF352*BC352</f>
        <v>4800</v>
      </c>
    </row>
    <row r="353">
      <c r="B353" s="40"/>
      <c r="C353" s="41" t="s">
        <v>179</v>
      </c>
      <c r="D353" s="38">
        <f>10000*I354</f>
        <v>10000</v>
      </c>
      <c r="E353" s="38" t="s">
        <v>78</v>
      </c>
      <c r="F353" s="42">
        <f>11000*I354</f>
        <v>11000</v>
      </c>
      <c r="G353" s="112"/>
      <c r="H353" s="99" t="s">
        <v>584</v>
      </c>
      <c r="I353" s="45">
        <f t="array" ref="I353">match(TRUE,ISBLANK(F353:F365),0)-1</f>
        <v>1</v>
      </c>
      <c r="J353" s="120" t="s">
        <v>420</v>
      </c>
      <c r="K353" s="120" t="s">
        <v>585</v>
      </c>
      <c r="L353" s="121"/>
      <c r="M353" s="121"/>
      <c r="N353" s="121"/>
      <c r="O353" s="121"/>
      <c r="P353" s="121"/>
      <c r="Q353" s="121"/>
      <c r="R353" s="121"/>
      <c r="S353" s="121"/>
      <c r="T353" s="121"/>
      <c r="U353" s="121"/>
      <c r="V353" s="121"/>
      <c r="W353" s="121"/>
      <c r="X353" s="121"/>
      <c r="Y353" s="121"/>
      <c r="Z353" s="121"/>
      <c r="AA353" s="121"/>
      <c r="AB353" s="121"/>
      <c r="AC353" s="121"/>
      <c r="AD353" s="121"/>
      <c r="AE353" s="118"/>
      <c r="AF353" s="121"/>
      <c r="AG353" s="121"/>
      <c r="AH353" s="121"/>
      <c r="AI353" s="121"/>
      <c r="AJ353" s="121"/>
      <c r="AK353" s="121"/>
      <c r="AL353" s="121"/>
      <c r="AM353" s="121"/>
      <c r="AN353" s="121"/>
      <c r="AO353" s="121"/>
      <c r="AP353" s="121"/>
      <c r="AQ353" s="121"/>
      <c r="AR353" s="118"/>
      <c r="AS353" s="121"/>
      <c r="AT353" s="121"/>
      <c r="AU353" s="121"/>
      <c r="AV353" s="121"/>
      <c r="AW353" s="121"/>
      <c r="AX353" s="121"/>
      <c r="AY353" s="121"/>
      <c r="AZ353" s="116">
        <f>AZ352*AX352</f>
        <v>480</v>
      </c>
      <c r="BA353" s="121"/>
      <c r="BB353" s="121"/>
      <c r="BC353" s="121"/>
      <c r="BD353" s="121"/>
      <c r="BE353" s="121"/>
      <c r="BF353" s="121"/>
      <c r="BG353" s="122"/>
    </row>
    <row r="354">
      <c r="B354" s="40"/>
      <c r="C354" s="41" t="s">
        <v>238</v>
      </c>
      <c r="D354" s="38">
        <f>1000*I354</f>
        <v>1000</v>
      </c>
      <c r="E354" s="38"/>
      <c r="F354" s="42"/>
      <c r="G354" s="112"/>
      <c r="H354" s="48" t="s">
        <v>502</v>
      </c>
      <c r="I354" s="49">
        <v>1.0</v>
      </c>
      <c r="J354" s="100" t="s">
        <v>424</v>
      </c>
      <c r="K354" s="120">
        <v>0.0</v>
      </c>
      <c r="L354" s="121"/>
      <c r="M354" s="121"/>
      <c r="N354" s="121"/>
      <c r="O354" s="121"/>
      <c r="P354" s="121"/>
      <c r="Q354" s="121"/>
      <c r="R354" s="121"/>
      <c r="S354" s="121"/>
      <c r="T354" s="121"/>
      <c r="U354" s="121"/>
      <c r="V354" s="121"/>
      <c r="W354" s="121"/>
      <c r="X354" s="121"/>
      <c r="Y354" s="121"/>
      <c r="Z354" s="121"/>
      <c r="AA354" s="121"/>
      <c r="AB354" s="121"/>
      <c r="AC354" s="121"/>
      <c r="AD354" s="121"/>
      <c r="AE354" s="118"/>
      <c r="AF354" s="121"/>
      <c r="AG354" s="121"/>
      <c r="AH354" s="121"/>
      <c r="AI354" s="121"/>
      <c r="AJ354" s="121"/>
      <c r="AK354" s="121"/>
      <c r="AL354" s="121"/>
      <c r="AM354" s="121"/>
      <c r="AN354" s="121"/>
      <c r="AO354" s="121"/>
      <c r="AP354" s="121"/>
      <c r="AQ354" s="121"/>
      <c r="AR354" s="118"/>
      <c r="AS354" s="121"/>
      <c r="AT354" s="121"/>
      <c r="AU354" s="121"/>
      <c r="AV354" s="121"/>
      <c r="AW354" s="121"/>
      <c r="AX354" s="121"/>
      <c r="AY354" s="121"/>
      <c r="AZ354" s="121"/>
      <c r="BA354" s="121"/>
      <c r="BB354" s="121"/>
      <c r="BC354" s="121"/>
      <c r="BD354" s="121"/>
      <c r="BE354" s="121"/>
      <c r="BF354" s="121"/>
      <c r="BG354" s="122"/>
    </row>
    <row r="355">
      <c r="B355" s="50"/>
      <c r="C355" s="51"/>
      <c r="D355" s="52"/>
      <c r="E355" s="52"/>
      <c r="F355" s="52"/>
      <c r="G355" s="112"/>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2"/>
      <c r="AF355" s="113"/>
      <c r="AG355" s="113"/>
      <c r="AH355" s="113"/>
      <c r="AI355" s="113"/>
      <c r="AJ355" s="113"/>
      <c r="AK355" s="113"/>
      <c r="AL355" s="113"/>
      <c r="AM355" s="113"/>
      <c r="AN355" s="113"/>
      <c r="AO355" s="113"/>
      <c r="AP355" s="113"/>
      <c r="AQ355" s="113"/>
      <c r="AR355" s="112"/>
      <c r="AS355" s="113"/>
      <c r="AT355" s="113"/>
      <c r="AU355" s="113"/>
      <c r="AV355" s="113"/>
      <c r="AW355" s="113"/>
      <c r="AX355" s="113"/>
      <c r="AY355" s="113"/>
      <c r="AZ355" s="113"/>
      <c r="BA355" s="113"/>
      <c r="BB355" s="113"/>
      <c r="BC355" s="113"/>
      <c r="BD355" s="113"/>
      <c r="BE355" s="113"/>
      <c r="BF355" s="113"/>
      <c r="BG355" s="114"/>
    </row>
    <row r="356">
      <c r="B356" s="31" t="s">
        <v>671</v>
      </c>
      <c r="C356" s="54"/>
      <c r="D356" s="45"/>
      <c r="E356" s="45"/>
      <c r="F356" s="47"/>
      <c r="G356" s="35"/>
      <c r="H356" s="55" t="s">
        <v>349</v>
      </c>
      <c r="I356" s="38">
        <f>VLOOKUP(H356,'Machine List'!$A$1:$I$300,9,FALSE)</f>
        <v>4000</v>
      </c>
      <c r="J356" s="38">
        <f>IF(VLOOKUP(H356,'Machine List'!$A$1:$I$300,5,FALSE)="Multi",IF(VLOOKUP(H356,'Machine List'!$A$1:$I$300,6,FALSE)="Yes",AG356*3*10^Z356,AG356*(2*3)*10^(Z356-1)),0)</f>
        <v>6</v>
      </c>
      <c r="K356" s="38">
        <f>J356+IF(ISNUMBER(I356),I356,
  SWITCH(
      I356,
      "1T",1*10^Z356,
      "2T",2*10^Z356,
      "3T",3*10^Z356,
      "4T",4*10^Z356,
      "4000+500(7O-5)",4000+500*(7*I357-5),
      1
  )
)</f>
        <v>4006</v>
      </c>
      <c r="L356" s="38">
        <f>IF(VLOOKUP(H356,'Machine List'!$A$1:$I$300,5,FALSE)="Multi",IF(VLOOKUP(H356,'Machine List'!$A$1:$I$300,6,FALSE)="Yes",AU356*3*10^AT356,AU356*(2*3)*10^(AT356-1)),0)</f>
        <v>6000</v>
      </c>
      <c r="M356" s="38">
        <f>L356+IF(ISNUMBER(I356),I356,
  SWITCH(
      I356,
      "1T",1*10^AT356,
      "2T",2*10^AT356,
      "3T",3*10^AT356,
      "4T",4*10^AT356,
      "4000+500(7O-5)",4000+500*(7*I357-5),
      1
  )
)</f>
        <v>10000</v>
      </c>
      <c r="N356" s="38" t="str">
        <f>VLOOKUP(H356,'Machine List'!$A$1:$I$300,8,FALSE)</f>
        <v>Tier</v>
      </c>
      <c r="O356" s="38">
        <f>IF(ISNUMBER(N356),N356,10^Z356)</f>
        <v>10</v>
      </c>
      <c r="P356" s="38">
        <f>IF(ISNUMBER(N356),N356,10^AT356)</f>
        <v>10000</v>
      </c>
      <c r="Q356" s="38">
        <f>VLOOKUP(H356,'Machine List'!$A$1:$B$138,2,FALSE)</f>
        <v>1</v>
      </c>
      <c r="R356" s="38" t="s">
        <v>594</v>
      </c>
      <c r="S356" s="45">
        <f>IF(ISNUMBER(Q356),Q356,
  SWITCH(
      Q356,
      "1",1,
      "2T",Z356*2,
      "4T",Z356*4,
      "6T",Z356*6,
      "8T",Z356*8,
      "10T",Z356*10,
      "12T",Z356*12,
      "14T",Z356*14,
      "16T",Z356*16,
      "2(T+1)",2*(Z356+1),
      "1T*C",Z356*J358,
      1
  )
)</f>
        <v>1</v>
      </c>
      <c r="T356" s="38" t="s">
        <v>277</v>
      </c>
      <c r="U356" s="38">
        <f>IF(OR(T356="No",T356=""),S356,T356)</f>
        <v>1</v>
      </c>
      <c r="V356" s="38">
        <f>IF(ISNUMBER(Q356),Q356,
  SWITCH(
      Q356,
      "1",1,
      "2T",AT356*2,
      "4T",AT356*4,
      "6T",AT356*6,
      "8T",AT356*8,
      "10T",AT356*10,
      "12T",AT356*12,
      "14T",AT356*14,
      "16T",AT356*16,
      "2(T+1)",2*(AT356+1),
      "1T*C",AT356*J358,
      1
  )
)</f>
        <v>1</v>
      </c>
      <c r="W356" s="38" t="str">
        <f>T356</f>
        <v>No</v>
      </c>
      <c r="X356" s="38">
        <f>IF(OR(W356="No",W356=""),V356,W356)</f>
        <v>1</v>
      </c>
      <c r="Y356" s="38" t="s">
        <v>390</v>
      </c>
      <c r="Z356" s="38">
        <f>VLOOKUP(Y356,'Item Helper Sheet'!$A$2:$B$16,2,FALSE)</f>
        <v>1</v>
      </c>
      <c r="AA356" s="38">
        <v>1920.0</v>
      </c>
      <c r="AB356" s="38">
        <f>2.5*20</f>
        <v>50</v>
      </c>
      <c r="AC356" s="38">
        <f>AB356*I358</f>
        <v>50</v>
      </c>
      <c r="AD356" s="38">
        <f>AA356*AC356</f>
        <v>96000</v>
      </c>
      <c r="AE356" s="75"/>
      <c r="AF356" s="38" t="str">
        <f>Y356</f>
        <v>01 - LV</v>
      </c>
      <c r="AG356" s="38">
        <v>1.0</v>
      </c>
      <c r="AH356" s="38">
        <v>1.0</v>
      </c>
      <c r="AI356" s="38">
        <f>AH356*8*4^Z356</f>
        <v>32</v>
      </c>
      <c r="AJ356" s="38">
        <f>MIN(ROUNDDOWN(AI356/AL356,0),U356)</f>
        <v>0</v>
      </c>
      <c r="AK356" s="38">
        <f>IF(OR(T356="No",T356=""),AG356*S356,AG356*T356)</f>
        <v>1</v>
      </c>
      <c r="AL356" s="38">
        <f>ROUNDUP(AA356*VLOOKUP(H356,'Machine List'!$A$2:$D$219,4,FALSE),0)</f>
        <v>1920</v>
      </c>
      <c r="AM356" s="38">
        <f>AL356*AK356</f>
        <v>1920</v>
      </c>
      <c r="AN356" s="38">
        <f>ROUNDUP(AB356*I358,0)</f>
        <v>50</v>
      </c>
      <c r="AO356" s="38">
        <f>ROUNDUP(AN356/VLOOKUP(H356,'Machine List'!$A$2:$D$219,3,FALSE),0)</f>
        <v>50</v>
      </c>
      <c r="AP356" s="38">
        <f>ROUNDUP(AO356/AK356,0)</f>
        <v>50</v>
      </c>
      <c r="AQ356" s="38">
        <f>AM356*AP356</f>
        <v>96000</v>
      </c>
      <c r="AR356" s="75"/>
      <c r="AS356" s="38" t="s">
        <v>401</v>
      </c>
      <c r="AT356" s="38">
        <f>VLOOKUP(AS356,'Item Helper Sheet'!$A$2:$B$16,2,FALSE)</f>
        <v>4</v>
      </c>
      <c r="AU356" s="38">
        <f>AG356</f>
        <v>1</v>
      </c>
      <c r="AV356" s="38">
        <v>1.0</v>
      </c>
      <c r="AW356" s="38">
        <f>AV356*8*4^AT356</f>
        <v>2048</v>
      </c>
      <c r="AX356" s="38">
        <f>MIN(ROUNDDOWN(AW356/AL356,0),X356)</f>
        <v>1</v>
      </c>
      <c r="AY356" s="38">
        <f>AX356*AU356</f>
        <v>1</v>
      </c>
      <c r="AZ356" s="38">
        <f>AL356</f>
        <v>1920</v>
      </c>
      <c r="BA356" s="38">
        <f>MIN(AT356-Z356,IF(AW356&gt;=AZ357*4,
IF(AW356&gt;=AZ357*4^2,
IF(AW356&gt;=AZ357*4^3,
IF(AW356&gt;=AZ357*4^4,
IF(AW356&gt;=AZ357*4^5,
IF(AW356&gt;=AZ357*4^6,
IF(AW356&gt;=AZ357*4^7,
IF(AW356&gt;=AZ357*4^8,
IF(AW356&gt;=AZ357*4^9,
IF(AW356&gt;=AZ357*4^10,
9),
8),
7),
6),
5),
4),
3),
2),
1),
0))</f>
        <v>0</v>
      </c>
      <c r="BB356" s="38">
        <f>AZ356*AX356*4^BA356</f>
        <v>1920</v>
      </c>
      <c r="BC356" s="38">
        <f>BB356*AU356</f>
        <v>1920</v>
      </c>
      <c r="BD356" s="45">
        <f>ROUNDUP(IF(R356="Yes",AN356/(2^((BA356)*2)),AN356/(2^(BA356))),0)</f>
        <v>50</v>
      </c>
      <c r="BE356" s="45">
        <f>ROUNDUP(BD356/VLOOKUP(H356,'Machine List'!$A$2:$D$219,3,FALSE),0)</f>
        <v>50</v>
      </c>
      <c r="BF356" s="45">
        <f>ROUNDUP(BE356/AY356,0)</f>
        <v>50</v>
      </c>
      <c r="BG356" s="46">
        <f>BF356*BC356</f>
        <v>96000</v>
      </c>
    </row>
    <row r="357">
      <c r="B357" s="40"/>
      <c r="C357" s="41" t="s">
        <v>78</v>
      </c>
      <c r="D357" s="38">
        <f>20000*I358</f>
        <v>20000</v>
      </c>
      <c r="E357" s="38" t="s">
        <v>83</v>
      </c>
      <c r="F357" s="42">
        <f>32000*I358</f>
        <v>32000</v>
      </c>
      <c r="G357" s="43"/>
      <c r="H357" s="99" t="s">
        <v>584</v>
      </c>
      <c r="I357" s="45">
        <f t="array" ref="I357">match(TRUE,ISBLANK(F357:F369),0)-1</f>
        <v>1</v>
      </c>
      <c r="J357" s="100" t="s">
        <v>420</v>
      </c>
      <c r="K357" s="100" t="s">
        <v>585</v>
      </c>
      <c r="L357" s="38"/>
      <c r="M357" s="38"/>
      <c r="N357" s="38"/>
      <c r="O357" s="38"/>
      <c r="P357" s="38"/>
      <c r="Q357" s="38"/>
      <c r="R357" s="101"/>
      <c r="S357" s="101"/>
      <c r="T357" s="101"/>
      <c r="U357" s="45"/>
      <c r="V357" s="45"/>
      <c r="W357" s="45"/>
      <c r="X357" s="45"/>
      <c r="Y357" s="45"/>
      <c r="Z357" s="45"/>
      <c r="AA357" s="45"/>
      <c r="AB357" s="45"/>
      <c r="AC357" s="45"/>
      <c r="AD357" s="45"/>
      <c r="AE357" s="79"/>
      <c r="AF357" s="45"/>
      <c r="AG357" s="45"/>
      <c r="AH357" s="45"/>
      <c r="AI357" s="45"/>
      <c r="AJ357" s="45"/>
      <c r="AK357" s="45"/>
      <c r="AL357" s="45"/>
      <c r="AM357" s="45"/>
      <c r="AN357" s="45"/>
      <c r="AO357" s="45"/>
      <c r="AP357" s="45"/>
      <c r="AQ357" s="45"/>
      <c r="AR357" s="79"/>
      <c r="AS357" s="45"/>
      <c r="AT357" s="45"/>
      <c r="AU357" s="45"/>
      <c r="AV357" s="45"/>
      <c r="AW357" s="45"/>
      <c r="AX357" s="45"/>
      <c r="AY357" s="45"/>
      <c r="AZ357" s="45">
        <f>AZ356*AX356</f>
        <v>1920</v>
      </c>
      <c r="BA357" s="45"/>
      <c r="BB357" s="45"/>
      <c r="BC357" s="45"/>
      <c r="BD357" s="45"/>
      <c r="BE357" s="45"/>
      <c r="BF357" s="45"/>
      <c r="BG357" s="46"/>
    </row>
    <row r="358">
      <c r="B358" s="40"/>
      <c r="C358" s="41" t="s">
        <v>137</v>
      </c>
      <c r="D358" s="38">
        <f>2000*I358</f>
        <v>2000</v>
      </c>
      <c r="E358" s="38"/>
      <c r="F358" s="42"/>
      <c r="G358" s="43"/>
      <c r="H358" s="56" t="s">
        <v>502</v>
      </c>
      <c r="I358" s="49">
        <v>1.0</v>
      </c>
      <c r="J358" s="100" t="s">
        <v>424</v>
      </c>
      <c r="K358" s="100">
        <v>0.0</v>
      </c>
      <c r="L358" s="45"/>
      <c r="M358" s="45"/>
      <c r="N358" s="45"/>
      <c r="O358" s="45"/>
      <c r="P358" s="45"/>
      <c r="Q358" s="45"/>
      <c r="R358" s="45"/>
      <c r="S358" s="101"/>
      <c r="T358" s="101"/>
      <c r="U358" s="45"/>
      <c r="V358" s="45"/>
      <c r="W358" s="45"/>
      <c r="X358" s="45"/>
      <c r="Y358" s="45"/>
      <c r="Z358" s="45"/>
      <c r="AA358" s="45"/>
      <c r="AB358" s="45"/>
      <c r="AC358" s="45"/>
      <c r="AD358" s="45"/>
      <c r="AE358" s="79"/>
      <c r="AF358" s="45"/>
      <c r="AG358" s="45"/>
      <c r="AH358" s="45"/>
      <c r="AI358" s="45"/>
      <c r="AJ358" s="45"/>
      <c r="AK358" s="45"/>
      <c r="AL358" s="45"/>
      <c r="AM358" s="45"/>
      <c r="AN358" s="45"/>
      <c r="AO358" s="45"/>
      <c r="AP358" s="45"/>
      <c r="AQ358" s="45"/>
      <c r="AR358" s="79"/>
      <c r="AS358" s="45"/>
      <c r="AT358" s="45"/>
      <c r="AU358" s="45"/>
      <c r="AV358" s="45"/>
      <c r="AW358" s="45"/>
      <c r="AX358" s="45"/>
      <c r="AY358" s="45"/>
      <c r="AZ358" s="45"/>
      <c r="BA358" s="45"/>
      <c r="BB358" s="45"/>
      <c r="BC358" s="45"/>
      <c r="BD358" s="45"/>
      <c r="BE358" s="45"/>
      <c r="BF358" s="45"/>
      <c r="BG358" s="46"/>
    </row>
    <row r="359">
      <c r="B359" s="40"/>
      <c r="C359" s="41" t="s">
        <v>134</v>
      </c>
      <c r="D359" s="38">
        <f>6000*I358</f>
        <v>6000</v>
      </c>
      <c r="E359" s="38"/>
      <c r="F359" s="42"/>
      <c r="G359" s="43"/>
      <c r="H359" s="44"/>
      <c r="I359" s="45"/>
      <c r="J359" s="45"/>
      <c r="K359" s="45"/>
      <c r="L359" s="45"/>
      <c r="M359" s="45"/>
      <c r="N359" s="45"/>
      <c r="O359" s="45"/>
      <c r="P359" s="45"/>
      <c r="Q359" s="45"/>
      <c r="R359" s="45"/>
      <c r="S359" s="101"/>
      <c r="T359" s="101"/>
      <c r="U359" s="45"/>
      <c r="V359" s="45"/>
      <c r="W359" s="45"/>
      <c r="X359" s="45"/>
      <c r="Y359" s="45"/>
      <c r="Z359" s="45"/>
      <c r="AA359" s="45"/>
      <c r="AB359" s="45"/>
      <c r="AC359" s="45"/>
      <c r="AD359" s="45"/>
      <c r="AE359" s="79"/>
      <c r="AF359" s="45"/>
      <c r="AG359" s="45"/>
      <c r="AH359" s="45"/>
      <c r="AI359" s="45"/>
      <c r="AJ359" s="45"/>
      <c r="AK359" s="45"/>
      <c r="AL359" s="45"/>
      <c r="AM359" s="45"/>
      <c r="AN359" s="45"/>
      <c r="AO359" s="45"/>
      <c r="AP359" s="45"/>
      <c r="AQ359" s="45"/>
      <c r="AR359" s="79"/>
      <c r="AS359" s="45"/>
      <c r="AT359" s="45"/>
      <c r="AU359" s="45"/>
      <c r="AV359" s="45"/>
      <c r="AW359" s="45"/>
      <c r="AX359" s="45"/>
      <c r="AY359" s="45"/>
      <c r="AZ359" s="45"/>
      <c r="BA359" s="45"/>
      <c r="BB359" s="45"/>
      <c r="BC359" s="45"/>
      <c r="BD359" s="45"/>
      <c r="BE359" s="45"/>
      <c r="BF359" s="45"/>
      <c r="BG359" s="46"/>
    </row>
    <row r="360">
      <c r="B360" s="40"/>
      <c r="C360" s="41" t="s">
        <v>26</v>
      </c>
      <c r="D360" s="38">
        <f>3000*I358</f>
        <v>3000</v>
      </c>
      <c r="E360" s="38"/>
      <c r="F360" s="42"/>
      <c r="G360" s="43"/>
      <c r="H360" s="44"/>
      <c r="I360" s="45"/>
      <c r="J360" s="45"/>
      <c r="K360" s="45"/>
      <c r="L360" s="45"/>
      <c r="M360" s="45"/>
      <c r="N360" s="45"/>
      <c r="O360" s="45"/>
      <c r="P360" s="45"/>
      <c r="Q360" s="45"/>
      <c r="R360" s="45"/>
      <c r="S360" s="101"/>
      <c r="T360" s="101"/>
      <c r="U360" s="45"/>
      <c r="V360" s="45"/>
      <c r="W360" s="45"/>
      <c r="X360" s="45"/>
      <c r="Y360" s="45"/>
      <c r="Z360" s="45"/>
      <c r="AA360" s="45"/>
      <c r="AB360" s="45"/>
      <c r="AC360" s="45"/>
      <c r="AD360" s="45"/>
      <c r="AE360" s="79"/>
      <c r="AF360" s="45"/>
      <c r="AG360" s="45"/>
      <c r="AH360" s="45"/>
      <c r="AI360" s="45"/>
      <c r="AJ360" s="45"/>
      <c r="AK360" s="45"/>
      <c r="AL360" s="45"/>
      <c r="AM360" s="45"/>
      <c r="AN360" s="45"/>
      <c r="AO360" s="45"/>
      <c r="AP360" s="45"/>
      <c r="AQ360" s="45"/>
      <c r="AR360" s="79"/>
      <c r="AS360" s="45"/>
      <c r="AT360" s="45"/>
      <c r="AU360" s="45"/>
      <c r="AV360" s="45"/>
      <c r="AW360" s="45"/>
      <c r="AX360" s="45"/>
      <c r="AY360" s="45"/>
      <c r="AZ360" s="45"/>
      <c r="BA360" s="45"/>
      <c r="BB360" s="45"/>
      <c r="BC360" s="45"/>
      <c r="BD360" s="45"/>
      <c r="BE360" s="45"/>
      <c r="BF360" s="45"/>
      <c r="BG360" s="46"/>
    </row>
    <row r="361">
      <c r="B361" s="40"/>
      <c r="C361" s="41" t="s">
        <v>238</v>
      </c>
      <c r="D361" s="133">
        <f>1000*I358</f>
        <v>1000</v>
      </c>
      <c r="E361" s="38"/>
      <c r="F361" s="42"/>
      <c r="G361" s="43"/>
      <c r="H361" s="44"/>
      <c r="I361" s="45"/>
      <c r="J361" s="45"/>
      <c r="K361" s="45"/>
      <c r="L361" s="45"/>
      <c r="M361" s="45"/>
      <c r="N361" s="45"/>
      <c r="O361" s="45"/>
      <c r="P361" s="45"/>
      <c r="Q361" s="45"/>
      <c r="R361" s="45"/>
      <c r="S361" s="101"/>
      <c r="T361" s="101"/>
      <c r="U361" s="45"/>
      <c r="V361" s="45"/>
      <c r="W361" s="45"/>
      <c r="X361" s="45"/>
      <c r="Y361" s="45"/>
      <c r="Z361" s="45"/>
      <c r="AA361" s="45"/>
      <c r="AB361" s="45"/>
      <c r="AC361" s="45"/>
      <c r="AD361" s="45"/>
      <c r="AE361" s="79"/>
      <c r="AF361" s="45"/>
      <c r="AG361" s="45"/>
      <c r="AH361" s="45"/>
      <c r="AI361" s="45"/>
      <c r="AJ361" s="45"/>
      <c r="AK361" s="45"/>
      <c r="AL361" s="45"/>
      <c r="AM361" s="45"/>
      <c r="AN361" s="45"/>
      <c r="AO361" s="45"/>
      <c r="AP361" s="45"/>
      <c r="AQ361" s="45"/>
      <c r="AR361" s="79"/>
      <c r="AS361" s="45"/>
      <c r="AT361" s="45"/>
      <c r="AU361" s="45"/>
      <c r="AV361" s="45"/>
      <c r="AW361" s="45"/>
      <c r="AX361" s="45"/>
      <c r="AY361" s="45"/>
      <c r="AZ361" s="45"/>
      <c r="BA361" s="45"/>
      <c r="BB361" s="45"/>
      <c r="BC361" s="45"/>
      <c r="BD361" s="45"/>
      <c r="BE361" s="45"/>
      <c r="BF361" s="45"/>
      <c r="BG361" s="46"/>
    </row>
    <row r="362">
      <c r="B362" s="50"/>
      <c r="C362" s="51"/>
      <c r="D362" s="134"/>
      <c r="E362" s="52"/>
      <c r="F362" s="52"/>
      <c r="G362" s="43"/>
      <c r="H362" s="52"/>
      <c r="I362" s="52"/>
      <c r="J362" s="52"/>
      <c r="K362" s="52"/>
      <c r="L362" s="52"/>
      <c r="M362" s="52"/>
      <c r="N362" s="52"/>
      <c r="O362" s="52"/>
      <c r="P362" s="52"/>
      <c r="Q362" s="52"/>
      <c r="R362" s="52"/>
      <c r="S362" s="52"/>
      <c r="T362" s="52"/>
      <c r="U362" s="52"/>
      <c r="V362" s="52"/>
      <c r="W362" s="52"/>
      <c r="X362" s="52"/>
      <c r="Y362" s="52"/>
      <c r="Z362" s="52"/>
      <c r="AA362" s="52"/>
      <c r="AB362" s="52"/>
      <c r="AC362" s="52"/>
      <c r="AD362" s="52"/>
      <c r="AE362" s="43"/>
      <c r="AF362" s="52"/>
      <c r="AG362" s="52"/>
      <c r="AH362" s="52"/>
      <c r="AI362" s="52"/>
      <c r="AJ362" s="52"/>
      <c r="AK362" s="52"/>
      <c r="AL362" s="52"/>
      <c r="AM362" s="52"/>
      <c r="AN362" s="52"/>
      <c r="AO362" s="52"/>
      <c r="AP362" s="52"/>
      <c r="AQ362" s="52"/>
      <c r="AR362" s="43"/>
      <c r="AS362" s="52"/>
      <c r="AT362" s="52"/>
      <c r="AU362" s="52"/>
      <c r="AV362" s="52"/>
      <c r="AW362" s="52"/>
      <c r="AX362" s="52"/>
      <c r="AY362" s="52"/>
      <c r="AZ362" s="52"/>
      <c r="BA362" s="52"/>
      <c r="BB362" s="52"/>
      <c r="BC362" s="52"/>
      <c r="BD362" s="52"/>
      <c r="BE362" s="52"/>
      <c r="BF362" s="52"/>
      <c r="BG362" s="53"/>
    </row>
    <row r="364">
      <c r="C364" s="103" t="s">
        <v>248</v>
      </c>
      <c r="E364" s="4" t="s">
        <v>689</v>
      </c>
    </row>
    <row r="365">
      <c r="C365" s="4" t="s">
        <v>83</v>
      </c>
      <c r="E365" s="4" t="s">
        <v>45</v>
      </c>
    </row>
    <row r="366">
      <c r="C366" s="4" t="s">
        <v>43</v>
      </c>
      <c r="E366" s="4" t="s">
        <v>142</v>
      </c>
    </row>
    <row r="367">
      <c r="C367" s="103" t="s">
        <v>118</v>
      </c>
      <c r="E367" s="4" t="s">
        <v>180</v>
      </c>
    </row>
    <row r="368">
      <c r="C368" s="103" t="s">
        <v>44</v>
      </c>
      <c r="E368" s="4" t="s">
        <v>226</v>
      </c>
    </row>
    <row r="369">
      <c r="C369" s="103" t="s">
        <v>61</v>
      </c>
      <c r="E369" s="4" t="s">
        <v>87</v>
      </c>
    </row>
    <row r="370">
      <c r="C370" s="103" t="s">
        <v>162</v>
      </c>
    </row>
    <row r="371">
      <c r="C371" s="103" t="s">
        <v>161</v>
      </c>
    </row>
    <row r="372">
      <c r="C372" s="103" t="s">
        <v>37</v>
      </c>
    </row>
    <row r="373">
      <c r="C373" s="103" t="s">
        <v>30</v>
      </c>
    </row>
    <row r="374">
      <c r="C374" s="4" t="s">
        <v>147</v>
      </c>
    </row>
    <row r="375">
      <c r="C375" s="4" t="s">
        <v>38</v>
      </c>
    </row>
    <row r="376">
      <c r="C376" s="4" t="s">
        <v>125</v>
      </c>
    </row>
    <row r="377">
      <c r="C377" s="4" t="s">
        <v>88</v>
      </c>
    </row>
  </sheetData>
  <mergeCells count="14">
    <mergeCell ref="G112:U112"/>
    <mergeCell ref="G113:U113"/>
    <mergeCell ref="G114:U114"/>
    <mergeCell ref="G115:U115"/>
    <mergeCell ref="G116:U116"/>
    <mergeCell ref="A258:U258"/>
    <mergeCell ref="A259:U259"/>
    <mergeCell ref="A1:U1"/>
    <mergeCell ref="BJ1:CF1"/>
    <mergeCell ref="A2:U2"/>
    <mergeCell ref="BJ2:CF2"/>
    <mergeCell ref="G109:U109"/>
    <mergeCell ref="G110:U110"/>
    <mergeCell ref="G111:U111"/>
  </mergeCells>
  <dataValidations>
    <dataValidation type="list" allowBlank="1" sqref="J7 J14 J18 J22 J26 J30 J34 J42 J46 J60 J65 J69 J73 J78 J82 J86 J91 J97 J101 J264 J271 J275 J279 J283 J287 J291 J299 J303 J317 J322 J326 J330 J335 J339 J343 J348 J354 J358">
      <formula1>'Machine Helper Sheet'!$G$2:$G$16</formula1>
    </dataValidation>
    <dataValidation type="list" allowBlank="1" showErrorMessage="1" sqref="Y5 AS5 Y12 AS12 Y16 AS16 Y20 AS20 Y24 AS24 Y28 AS28 Y32 AS32 Y40 AS40 Y44 AS44 Y58 AS58 Y63 AS63 Y67 AS67 Y71 AS71 Y76 AS76 Y80 AS80 Y84 AS84 Y89 AS89 Y95 AS95 Y99 AS99 Y262 AS262 Y269 AS269 Y273 AS273 Y277 AS277 Y281 AS281 Y285 AS285 Y289 AS289 Y297 AS297 Y301 AS301 Y315 AS315 Y320 AS320 Y324 AS324 Y328 AS328 Y333 AS333 Y337 AS337 Y341 AS341 Y346 AS346 Y352 AS352 Y356 AS356">
      <formula1>'Item Helper Sheet'!$A$2:$A$16</formula1>
    </dataValidation>
    <dataValidation type="list" allowBlank="1" showErrorMessage="1" sqref="H5 H12 H16 H20 H24 H28 H32 H40 H44 H58 H63 H67 H71 H76 H80 H84 H89 H95 H99 H262 H269 H273 H277 H281 H285 H289 H297 H301 H315 H320 H324 H328 H333 H337 H341 H346 H352 H356">
      <formula1>'Machine List'!$A$2:$A$107</formula1>
    </dataValidation>
    <dataValidation type="list" allowBlank="1" sqref="C6 CE6 E6:E10 C13:C14 E13:E14 C17:C18 E17:E18 C21:C22 E21:E22 C25:C26 E25:E26 E29 C29:C30 C33 E33:E38 E41 C41:C42 C45 E45:E56 C59 E59:E61 E64 C64:C65 E68 C68:C69 C72 E72:E74 E77 C77:C78 E81 C81:C82 C85:C86 E85:E87 E90 C90:C93 E96 C96:C97 E100 C100:C104 E107:E112 C107:C120 C263 E263:E267 C270:C271 E270:E271 C274:C275 E274:E275 C278:C279 E278:E279 C282:C283 E282:E283 E286 C286:C287 C290 E290:E295 E298 C298:C299 C302 E302:E313 C316 E316:E318 E321 C321:C322 E325 C325:C326 C329 E329:E331 E334 C334:C335 E338 C338:C339 C342:C343 E342:E344 E347 C347:C350 E353 C353:C354 E357 C357:C361 E364:E369 C364:C377">
      <formula1>'Item List'!$A$2:$A$300</formula1>
    </dataValidation>
    <dataValidation type="list" allowBlank="1" showErrorMessage="1" sqref="R5 R12 R16 R20 R24 R28 R32 R40 R44 R58 R63 R67 R71 R76 R80 R84 R89 R95 R99 R262 R269 R273 R277 R281 R285 R289 R297 R301 R315 R320 R324 R328 R333 R337 R341 R346 R352 R356">
      <formula1>"Yes,No"</formula1>
    </dataValidation>
  </dataValidations>
  <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 customWidth="1" min="3" max="3" width="23.13"/>
    <col customWidth="1" min="5" max="5" width="23.13"/>
    <col customWidth="1" min="8" max="8" width="19.63"/>
    <col customWidth="1" min="9" max="9" width="12.63"/>
    <col customWidth="1" min="10" max="10" width="17.63"/>
    <col customWidth="1" min="11" max="11" width="8.38"/>
    <col customWidth="1" min="12" max="12" width="9.38"/>
    <col customWidth="1" min="13" max="13" width="7.75"/>
    <col customWidth="1" min="14" max="16" width="9.13"/>
    <col customWidth="1" min="17" max="17" width="7.63"/>
    <col customWidth="1" min="18" max="18" width="9.5"/>
    <col customWidth="1" min="19" max="24" width="8.0"/>
    <col customWidth="1" min="25" max="25" width="11.38"/>
    <col customWidth="1" min="26" max="26" width="7.25"/>
    <col customWidth="1" min="27" max="27" width="6.5"/>
    <col customWidth="1" min="28" max="28" width="7.0"/>
    <col customWidth="1" min="29" max="29" width="9.38"/>
    <col customWidth="1" min="30" max="30" width="8.0"/>
    <col customWidth="1" min="31" max="31" width="9.5"/>
    <col customWidth="1" min="32" max="32" width="8.5"/>
    <col customWidth="1" min="33" max="33" width="7.75"/>
    <col customWidth="1" min="34" max="35" width="8.5"/>
    <col customWidth="1" min="36" max="37" width="8.0"/>
    <col customWidth="1" min="38" max="38" width="7.88"/>
    <col customWidth="1" min="39" max="40" width="9.38"/>
    <col customWidth="1" min="41" max="41" width="7.88"/>
    <col customWidth="1" min="42" max="42" width="9.5"/>
    <col customWidth="1" min="43" max="43" width="8.0"/>
    <col customWidth="1" min="44" max="44" width="9.5"/>
    <col customWidth="1" min="45" max="45" width="11.38"/>
    <col customWidth="1" min="46" max="46" width="7.25"/>
    <col customWidth="1" min="47" max="47" width="7.63"/>
    <col customWidth="1" min="48" max="48" width="9.25"/>
    <col customWidth="1" min="49" max="49" width="8.63"/>
    <col customWidth="1" min="50" max="51" width="8.0"/>
    <col customWidth="1" min="52" max="52" width="7.25"/>
    <col customWidth="1" min="53" max="53" width="9.63"/>
    <col customWidth="1" min="54" max="54" width="7.25"/>
    <col customWidth="1" min="55" max="56" width="7.75"/>
    <col customWidth="1" min="57" max="57" width="8.75"/>
    <col customWidth="1" min="58" max="58" width="7.88"/>
    <col customWidth="1" min="59" max="59" width="8.13"/>
    <col customWidth="1" min="63" max="63" width="22.38"/>
    <col customWidth="1" min="66" max="66" width="22.38"/>
    <col customWidth="1" min="69" max="69" width="22.38"/>
    <col customWidth="1" min="75" max="75" width="22.38"/>
    <col customWidth="1" min="83" max="83" width="21.75"/>
    <col customWidth="1" min="84" max="84" width="18.25"/>
    <col customWidth="1" min="85" max="85" width="14.38"/>
    <col customWidth="1" min="86" max="86" width="17.25"/>
    <col customWidth="1" min="87" max="88" width="15.88"/>
  </cols>
  <sheetData>
    <row r="1">
      <c r="A1" s="9" t="s">
        <v>690</v>
      </c>
      <c r="B1" s="10"/>
      <c r="C1" s="10"/>
      <c r="D1" s="10"/>
      <c r="E1" s="10"/>
      <c r="F1" s="10"/>
      <c r="G1" s="10"/>
      <c r="H1" s="10"/>
      <c r="I1" s="10"/>
      <c r="J1" s="10"/>
      <c r="K1" s="10"/>
      <c r="L1" s="10"/>
      <c r="M1" s="10"/>
      <c r="N1" s="10"/>
      <c r="O1" s="10"/>
      <c r="P1" s="10"/>
      <c r="Q1" s="10"/>
      <c r="R1" s="10"/>
      <c r="S1" s="10"/>
      <c r="T1" s="10"/>
      <c r="U1" s="13"/>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8"/>
      <c r="BI1" s="12" t="s">
        <v>490</v>
      </c>
      <c r="BJ1" s="9" t="s">
        <v>655</v>
      </c>
      <c r="BK1" s="10"/>
      <c r="BL1" s="10"/>
      <c r="BM1" s="10"/>
      <c r="BN1" s="10"/>
      <c r="BO1" s="10"/>
      <c r="BP1" s="10"/>
      <c r="BQ1" s="10"/>
      <c r="BR1" s="10"/>
      <c r="BS1" s="10"/>
      <c r="BT1" s="10"/>
      <c r="BU1" s="10"/>
      <c r="BV1" s="10"/>
      <c r="BW1" s="10"/>
      <c r="BX1" s="10"/>
      <c r="BY1" s="10"/>
      <c r="BZ1" s="10"/>
      <c r="CA1" s="10"/>
      <c r="CB1" s="10"/>
      <c r="CC1" s="10"/>
      <c r="CD1" s="10"/>
      <c r="CE1" s="10"/>
      <c r="CF1" s="13"/>
      <c r="CG1" s="126"/>
      <c r="CH1" s="126"/>
      <c r="CI1" s="126"/>
      <c r="CJ1" s="7"/>
    </row>
    <row r="2">
      <c r="A2" s="15" t="s">
        <v>656</v>
      </c>
      <c r="B2" s="16"/>
      <c r="C2" s="16"/>
      <c r="D2" s="16"/>
      <c r="E2" s="16"/>
      <c r="F2" s="16"/>
      <c r="G2" s="16"/>
      <c r="H2" s="16"/>
      <c r="I2" s="16"/>
      <c r="J2" s="16"/>
      <c r="K2" s="16"/>
      <c r="L2" s="16"/>
      <c r="M2" s="16"/>
      <c r="N2" s="16"/>
      <c r="O2" s="16"/>
      <c r="P2" s="16"/>
      <c r="Q2" s="16"/>
      <c r="R2" s="16"/>
      <c r="S2" s="16"/>
      <c r="T2" s="16"/>
      <c r="U2" s="18"/>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9"/>
      <c r="BI2" s="12" t="s">
        <v>492</v>
      </c>
      <c r="BJ2" s="15" t="s">
        <v>656</v>
      </c>
      <c r="BK2" s="16"/>
      <c r="BL2" s="16"/>
      <c r="BM2" s="16"/>
      <c r="BN2" s="16"/>
      <c r="BO2" s="16"/>
      <c r="BP2" s="16"/>
      <c r="BQ2" s="16"/>
      <c r="BR2" s="16"/>
      <c r="BS2" s="16"/>
      <c r="BT2" s="16"/>
      <c r="BU2" s="16"/>
      <c r="BV2" s="16"/>
      <c r="BW2" s="16"/>
      <c r="BX2" s="16"/>
      <c r="BY2" s="16"/>
      <c r="BZ2" s="16"/>
      <c r="CA2" s="16"/>
      <c r="CB2" s="16"/>
      <c r="CC2" s="16"/>
      <c r="CD2" s="16"/>
      <c r="CE2" s="16"/>
      <c r="CF2" s="18"/>
      <c r="CG2" s="127"/>
      <c r="CH2" s="127"/>
      <c r="CI2" s="127"/>
      <c r="CJ2" s="7"/>
    </row>
    <row r="3">
      <c r="A3" s="19"/>
      <c r="B3" s="20"/>
      <c r="C3" s="20"/>
      <c r="D3" s="20"/>
      <c r="E3" s="20"/>
      <c r="F3" s="20"/>
      <c r="G3" s="20"/>
      <c r="H3" s="20"/>
      <c r="I3" s="20"/>
      <c r="J3" s="20"/>
      <c r="K3" s="20"/>
      <c r="L3" s="20"/>
      <c r="M3" s="20"/>
      <c r="N3" s="20"/>
      <c r="O3" s="20"/>
      <c r="P3" s="20"/>
      <c r="Q3" s="20"/>
      <c r="R3" s="20"/>
      <c r="S3" s="20"/>
      <c r="T3" s="20"/>
      <c r="U3" s="20"/>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70"/>
      <c r="BI3" s="130"/>
    </row>
    <row r="4">
      <c r="A4" s="23"/>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2" t="s">
        <v>495</v>
      </c>
      <c r="Z4" s="90" t="s">
        <v>421</v>
      </c>
      <c r="AA4" s="92" t="s">
        <v>553</v>
      </c>
      <c r="AB4" s="90" t="s">
        <v>554</v>
      </c>
      <c r="AC4" s="92" t="s">
        <v>555</v>
      </c>
      <c r="AD4" s="93" t="s">
        <v>467</v>
      </c>
      <c r="AE4" s="90"/>
      <c r="AF4" s="90" t="s">
        <v>556</v>
      </c>
      <c r="AG4" s="94" t="s">
        <v>475</v>
      </c>
      <c r="AH4" s="90" t="s">
        <v>557</v>
      </c>
      <c r="AI4" s="90" t="s">
        <v>558</v>
      </c>
      <c r="AJ4" s="90" t="s">
        <v>559</v>
      </c>
      <c r="AK4" s="92" t="s">
        <v>560</v>
      </c>
      <c r="AL4" s="90" t="s">
        <v>561</v>
      </c>
      <c r="AM4" s="90" t="s">
        <v>562</v>
      </c>
      <c r="AN4" s="92" t="s">
        <v>563</v>
      </c>
      <c r="AO4" s="90" t="s">
        <v>564</v>
      </c>
      <c r="AP4" s="90" t="s">
        <v>565</v>
      </c>
      <c r="AQ4" s="95" t="s">
        <v>566</v>
      </c>
      <c r="AR4" s="90"/>
      <c r="AS4" s="90" t="s">
        <v>468</v>
      </c>
      <c r="AT4" s="92" t="s">
        <v>496</v>
      </c>
      <c r="AU4" s="94" t="s">
        <v>567</v>
      </c>
      <c r="AV4" s="90" t="s">
        <v>568</v>
      </c>
      <c r="AW4" s="90" t="s">
        <v>569</v>
      </c>
      <c r="AX4" s="90" t="s">
        <v>570</v>
      </c>
      <c r="AY4" s="92" t="s">
        <v>571</v>
      </c>
      <c r="AZ4" s="90" t="s">
        <v>572</v>
      </c>
      <c r="BA4" s="90" t="s">
        <v>573</v>
      </c>
      <c r="BB4" s="90" t="s">
        <v>574</v>
      </c>
      <c r="BC4" s="90" t="s">
        <v>575</v>
      </c>
      <c r="BD4" s="92" t="s">
        <v>576</v>
      </c>
      <c r="BE4" s="92" t="s">
        <v>577</v>
      </c>
      <c r="BF4" s="92" t="s">
        <v>578</v>
      </c>
      <c r="BG4" s="96" t="s">
        <v>471</v>
      </c>
      <c r="BI4" s="28"/>
    </row>
    <row r="5">
      <c r="A5" s="23"/>
      <c r="B5" s="31" t="s">
        <v>579</v>
      </c>
      <c r="C5" s="32"/>
      <c r="D5" s="33"/>
      <c r="E5" s="33"/>
      <c r="F5" s="34"/>
      <c r="G5" s="35"/>
      <c r="H5" s="55" t="s">
        <v>298</v>
      </c>
      <c r="I5" s="38" t="str">
        <f>VLOOKUP(H5,'Machine List'!$A$1:$I$300,9,FALSE)</f>
        <v>4000+500(7O-5)</v>
      </c>
      <c r="J5" s="38">
        <f>IF(VLOOKUP(H5,'Machine List'!$A$1:$I$300,5,FALSE)="Multi",IF(VLOOKUP(H5,'Machine List'!$A$1:$I$300,6,FALSE)="Yes",AG5*3*10^Z5,AG5*(2*3)*10^(Z5-1)),0)</f>
        <v>600</v>
      </c>
      <c r="K5" s="38">
        <f>J5+IF(ISNUMBER(I5),I5,
  SWITCH(
      I5,
      "1T",1*10^Z5,
      "2T",2*10^Z5,
      "3T",3*10^Z5,
      "4T",4*10^Z5,
      "4000+500(7O-5)",4000+500*(7*I6-5),
      1
  )
)</f>
        <v>19600</v>
      </c>
      <c r="L5" s="38">
        <f>IF(VLOOKUP(H5,'Machine List'!$A$1:$I$300,5,FALSE)="Multi",IF(VLOOKUP(H5,'Machine List'!$A$1:$I$300,6,FALSE)="Yes",AU5*3*10^AT5,AU5*(2*3)*10^(AT5-1)),0)</f>
        <v>24000</v>
      </c>
      <c r="M5" s="38">
        <f>L5+IF(ISNUMBER(I5),I5,
  SWITCH(
      I5,
      "1T",1*10^AT5,
      "2T",2*10^AT5,
      "3T",3*10^AT5,
      "4T",4*10^AT5,
      "4000+500(7O-5)",4000+500*(7*I6-5),
      1
  )
)</f>
        <v>43000</v>
      </c>
      <c r="N5" s="38" t="str">
        <f>VLOOKUP(H5,'Machine List'!$A$1:$I$300,8,FALSE)</f>
        <v>Tier</v>
      </c>
      <c r="O5" s="38">
        <f>IF(ISNUMBER(N5),N5,10^Z5)</f>
        <v>1000</v>
      </c>
      <c r="P5" s="38">
        <f>IF(ISNUMBER(N5),N5,10^AT5)</f>
        <v>10000</v>
      </c>
      <c r="Q5" s="38">
        <f>VLOOKUP(H5,'Machine List'!$A$1:$B$138,2,FALSE)</f>
        <v>1</v>
      </c>
      <c r="R5" s="38" t="s">
        <v>277</v>
      </c>
      <c r="S5" s="45">
        <f>IF(ISNUMBER(Q5),Q5,
  SWITCH(
      Q5,
      "1",1,
      "2T",Z5*2,
      "4T",Z5*4,
      "6T",Z5*6,
      "8T",Z5*8,
      "10T",Z5*10,
      "12T",Z5*12,
      "14T",Z5*14,
      "16T",Z5*16,
      "2(T+1)",2*(Z5+1),
      "1T*C",Z5*J7,
      1
  )
)</f>
        <v>1</v>
      </c>
      <c r="T5" s="38" t="s">
        <v>277</v>
      </c>
      <c r="U5" s="38">
        <f>IF(OR(T5="No",T5=""),S5,T5)</f>
        <v>1</v>
      </c>
      <c r="V5" s="38">
        <f>IF(ISNUMBER(Q5),Q5,
  SWITCH(
      Q5,
      "1",1,
      "2T",AT5*2,
      "4T",AT5*4,
      "6T",AT5*6,
      "8T",AT5*8,
      "10T",AT5*10,
      "12T",AT5*12,
      "14T",AT5*14,
      "16T",AT5*16,
      "2(T+1)",2*(AT5+1),
      "1T*C",AT5*J7,
      1
  )
)</f>
        <v>1</v>
      </c>
      <c r="W5" s="38" t="str">
        <f>T5</f>
        <v>No</v>
      </c>
      <c r="X5" s="38">
        <f>IF(OR(W5="No",W5=""),V5,W5)</f>
        <v>1</v>
      </c>
      <c r="Y5" s="38" t="s">
        <v>397</v>
      </c>
      <c r="Z5" s="38">
        <f>VLOOKUP(Y5,'Item Helper Sheet'!$A$2:$B$16,2,FALSE)</f>
        <v>3</v>
      </c>
      <c r="AA5" s="38">
        <v>480.0</v>
      </c>
      <c r="AB5" s="38">
        <f>0.8*20</f>
        <v>16</v>
      </c>
      <c r="AC5" s="38">
        <f>AB5*I7</f>
        <v>8544</v>
      </c>
      <c r="AD5" s="38">
        <f>AA5*AC5</f>
        <v>4101120</v>
      </c>
      <c r="AE5" s="75"/>
      <c r="AF5" s="38" t="str">
        <f>Y5</f>
        <v>03 - HV</v>
      </c>
      <c r="AG5" s="38">
        <v>1.0</v>
      </c>
      <c r="AH5" s="38">
        <v>1.0</v>
      </c>
      <c r="AI5" s="38">
        <f>AH5*8*4^Z5</f>
        <v>512</v>
      </c>
      <c r="AJ5" s="38">
        <f>MIN(ROUNDDOWN(AI5/AL5,0),U5)</f>
        <v>1</v>
      </c>
      <c r="AK5" s="38">
        <f>AJ5*AG5</f>
        <v>1</v>
      </c>
      <c r="AL5" s="38">
        <f>ROUNDUP(AA5*VLOOKUP(H5,'Machine List'!$A$2:$D$219,4,FALSE),0)</f>
        <v>480</v>
      </c>
      <c r="AM5" s="38">
        <f>AL5*AK5</f>
        <v>480</v>
      </c>
      <c r="AN5" s="38">
        <f>ROUNDUP(AB5*I7,0)</f>
        <v>8544</v>
      </c>
      <c r="AO5" s="38">
        <f>ROUNDUP(AN5/VLOOKUP(H5,'Machine List'!$A$2:$D$219,3,FALSE),0)</f>
        <v>8544</v>
      </c>
      <c r="AP5" s="38">
        <f>ROUNDUP(AO5/AK5,0)</f>
        <v>8544</v>
      </c>
      <c r="AQ5" s="38">
        <f>AM5*AP5</f>
        <v>4101120</v>
      </c>
      <c r="AR5" s="75"/>
      <c r="AS5" s="38" t="s">
        <v>401</v>
      </c>
      <c r="AT5" s="38">
        <f>VLOOKUP(AS5,'Item Helper Sheet'!$A$2:$B$16,2,FALSE)</f>
        <v>4</v>
      </c>
      <c r="AU5" s="38">
        <v>4.0</v>
      </c>
      <c r="AV5" s="38">
        <v>1.0</v>
      </c>
      <c r="AW5" s="38">
        <f>AV5*8*4^AT5</f>
        <v>2048</v>
      </c>
      <c r="AX5" s="38">
        <f>MIN(ROUNDDOWN(AW5/AL5,0),X5)</f>
        <v>1</v>
      </c>
      <c r="AY5" s="38">
        <f>AX5*AU5</f>
        <v>4</v>
      </c>
      <c r="AZ5" s="38">
        <f>AL5</f>
        <v>480</v>
      </c>
      <c r="BA5" s="38">
        <f>MIN(AT5-Z5,IF(AW5&gt;=AZ6*4,
IF(AW5&gt;=AZ6*4^2,
IF(AW5&gt;=AZ6*4^3,
IF(AW5&gt;=AZ6*4^4,
IF(AW5&gt;=AZ6*4^5,
IF(AW5&gt;=AZ6*4^6,
IF(AW5&gt;=AZ6*4^7,
IF(AW5&gt;=AZ6*4^8,
IF(AW5&gt;=AZ6*4^9,
IF(AW5&gt;=AZ6*4^10,
9),
8),
7),
6),
5),
4),
3),
2),
1),
0))</f>
        <v>1</v>
      </c>
      <c r="BB5" s="38">
        <f>AZ5*AX5*4^BA5</f>
        <v>1920</v>
      </c>
      <c r="BC5" s="38">
        <f>BB5*AU5</f>
        <v>7680</v>
      </c>
      <c r="BD5" s="45">
        <f>ROUNDUP(IF(R5="Yes",AN5/(2^((BA5)*2)),AN5/(2^(BA5))),0)</f>
        <v>4272</v>
      </c>
      <c r="BE5" s="45">
        <f>ROUNDUP(BD5/VLOOKUP(H5,'Machine List'!$A$2:$D$219,3,FALSE),0)</f>
        <v>4272</v>
      </c>
      <c r="BF5" s="45">
        <f>ROUNDUP(BE5/AY5,0)</f>
        <v>1068</v>
      </c>
      <c r="BG5" s="46">
        <f>BF5*BC5</f>
        <v>8202240</v>
      </c>
      <c r="BI5" s="28"/>
      <c r="BQ5" s="6" t="s">
        <v>458</v>
      </c>
      <c r="BR5" s="6" t="s">
        <v>497</v>
      </c>
      <c r="BS5" s="7" t="s">
        <v>281</v>
      </c>
      <c r="BT5" s="7" t="s">
        <v>8</v>
      </c>
      <c r="BU5" s="1" t="s">
        <v>9</v>
      </c>
      <c r="BY5" s="97" t="s">
        <v>513</v>
      </c>
      <c r="BZ5" s="97" t="s">
        <v>514</v>
      </c>
      <c r="CA5" s="97" t="s">
        <v>580</v>
      </c>
      <c r="CB5" s="97" t="s">
        <v>581</v>
      </c>
      <c r="CC5" s="97" t="s">
        <v>582</v>
      </c>
      <c r="CE5" s="98" t="s">
        <v>503</v>
      </c>
      <c r="CF5" s="98" t="s">
        <v>583</v>
      </c>
      <c r="CG5" s="98" t="s">
        <v>498</v>
      </c>
      <c r="CH5" s="98" t="s">
        <v>504</v>
      </c>
      <c r="CI5" s="98" t="s">
        <v>509</v>
      </c>
      <c r="CJ5" s="7"/>
    </row>
    <row r="6">
      <c r="A6" s="29"/>
      <c r="B6" s="40"/>
      <c r="C6" s="41" t="s">
        <v>138</v>
      </c>
      <c r="D6" s="38">
        <f>500*I7</f>
        <v>267000</v>
      </c>
      <c r="E6" s="38" t="s">
        <v>228</v>
      </c>
      <c r="F6" s="42">
        <f>600*I7</f>
        <v>320400</v>
      </c>
      <c r="G6" s="43"/>
      <c r="H6" s="99" t="s">
        <v>584</v>
      </c>
      <c r="I6" s="45">
        <f t="array" ref="I6">match(TRUE,ISBLANK(F6:F18),0)-1</f>
        <v>5</v>
      </c>
      <c r="J6" s="100" t="s">
        <v>420</v>
      </c>
      <c r="K6" s="100" t="s">
        <v>585</v>
      </c>
      <c r="L6" s="38"/>
      <c r="M6" s="38"/>
      <c r="N6" s="38"/>
      <c r="O6" s="38"/>
      <c r="P6" s="38"/>
      <c r="Q6" s="38"/>
      <c r="R6" s="101"/>
      <c r="S6" s="101"/>
      <c r="T6" s="101"/>
      <c r="U6" s="45"/>
      <c r="V6" s="45"/>
      <c r="W6" s="45"/>
      <c r="X6" s="45"/>
      <c r="Y6" s="45"/>
      <c r="Z6" s="45"/>
      <c r="AA6" s="45"/>
      <c r="AB6" s="45"/>
      <c r="AC6" s="45"/>
      <c r="AD6" s="45"/>
      <c r="AE6" s="79"/>
      <c r="AF6" s="45"/>
      <c r="AG6" s="45"/>
      <c r="AH6" s="45"/>
      <c r="AI6" s="45"/>
      <c r="AJ6" s="45"/>
      <c r="AK6" s="45"/>
      <c r="AL6" s="45"/>
      <c r="AM6" s="45"/>
      <c r="AN6" s="45"/>
      <c r="AO6" s="45"/>
      <c r="AP6" s="45"/>
      <c r="AQ6" s="45"/>
      <c r="AR6" s="79"/>
      <c r="AS6" s="45"/>
      <c r="AT6" s="45"/>
      <c r="AU6" s="45"/>
      <c r="AV6" s="45"/>
      <c r="AW6" s="45"/>
      <c r="AX6" s="45"/>
      <c r="AY6" s="45"/>
      <c r="AZ6" s="45">
        <f>AZ5*AX5</f>
        <v>480</v>
      </c>
      <c r="BA6" s="45"/>
      <c r="BB6" s="45"/>
      <c r="BC6" s="45"/>
      <c r="BD6" s="45"/>
      <c r="BE6" s="45"/>
      <c r="BF6" s="45"/>
      <c r="BG6" s="46"/>
      <c r="BI6" s="28"/>
      <c r="BQ6" s="6" t="s">
        <v>13</v>
      </c>
      <c r="BR6" s="6">
        <v>0.0</v>
      </c>
      <c r="BS6" s="6">
        <f>VLOOKUP(BQ6,'Item List'!$A$2:$D$300,2,FALSE)</f>
        <v>1</v>
      </c>
      <c r="BT6" s="6">
        <f>VLOOKUP(BQ6,'Item List'!$A$2:$D$300,3,FALSE)</f>
        <v>4</v>
      </c>
      <c r="BU6" s="6">
        <f>VLOOKUP(BQ6,'Item List'!$A$2:$D$300,4,FALSE)</f>
        <v>2</v>
      </c>
      <c r="BY6" s="6">
        <f t="shared" ref="BY6:BY10" si="1">VLOOKUP(BW6,$BK$6:$BL$47,2)</f>
        <v>54000</v>
      </c>
      <c r="BZ6" s="6">
        <f t="shared" ref="BZ6:BZ10" si="2">BY6/$CF$21</f>
        <v>0.1534090909</v>
      </c>
      <c r="CA6" s="102">
        <f t="shared" ref="CA6:CA10" si="3">1/($CG$8/BZ6)</f>
        <v>40.90909091</v>
      </c>
      <c r="CB6" s="102">
        <f t="shared" ref="CB6:CB10" si="4">1/($CH$8/BZ6)</f>
        <v>923.0769231</v>
      </c>
      <c r="CC6" s="102">
        <f t="shared" ref="CC6:CC10" si="5">1/($CI$8/BZ6)</f>
        <v>153.4090909</v>
      </c>
      <c r="CE6" s="38" t="s">
        <v>83</v>
      </c>
      <c r="CF6" s="5">
        <f>VLOOKUP(CE6,BQ5:BR47,2,FALSE)</f>
        <v>352000</v>
      </c>
      <c r="CG6" s="5">
        <f>CF21/BO71*20</f>
        <v>266.6666667</v>
      </c>
      <c r="CH6" s="103">
        <f>CF21/BP71*20</f>
        <v>6017.094017</v>
      </c>
      <c r="CI6" s="4">
        <v>1000.0</v>
      </c>
      <c r="CJ6" s="7"/>
    </row>
    <row r="7">
      <c r="A7" s="29"/>
      <c r="B7" s="40"/>
      <c r="C7" s="41"/>
      <c r="D7" s="38"/>
      <c r="E7" s="38" t="s">
        <v>231</v>
      </c>
      <c r="F7" s="42">
        <f>200*I7</f>
        <v>106800</v>
      </c>
      <c r="G7" s="43"/>
      <c r="H7" s="56" t="s">
        <v>502</v>
      </c>
      <c r="I7" s="49">
        <v>534.0</v>
      </c>
      <c r="J7" s="100" t="s">
        <v>424</v>
      </c>
      <c r="K7" s="100">
        <v>0.0</v>
      </c>
      <c r="L7" s="45"/>
      <c r="M7" s="45"/>
      <c r="N7" s="45"/>
      <c r="O7" s="45"/>
      <c r="P7" s="45"/>
      <c r="Q7" s="45"/>
      <c r="R7" s="45"/>
      <c r="S7" s="101"/>
      <c r="T7" s="101"/>
      <c r="U7" s="45"/>
      <c r="V7" s="45"/>
      <c r="W7" s="45"/>
      <c r="X7" s="45"/>
      <c r="Y7" s="45"/>
      <c r="Z7" s="45"/>
      <c r="AA7" s="45"/>
      <c r="AB7" s="45"/>
      <c r="AC7" s="45"/>
      <c r="AD7" s="45"/>
      <c r="AE7" s="79"/>
      <c r="AF7" s="45"/>
      <c r="AG7" s="45"/>
      <c r="AH7" s="45"/>
      <c r="AI7" s="45"/>
      <c r="AJ7" s="45"/>
      <c r="AK7" s="45"/>
      <c r="AL7" s="45"/>
      <c r="AM7" s="45"/>
      <c r="AN7" s="45"/>
      <c r="AO7" s="45"/>
      <c r="AP7" s="45"/>
      <c r="AQ7" s="45"/>
      <c r="AR7" s="79"/>
      <c r="AS7" s="45"/>
      <c r="AT7" s="45"/>
      <c r="AU7" s="45"/>
      <c r="AV7" s="45"/>
      <c r="AW7" s="45"/>
      <c r="AX7" s="45"/>
      <c r="AY7" s="45"/>
      <c r="AZ7" s="45"/>
      <c r="BA7" s="45"/>
      <c r="BB7" s="45"/>
      <c r="BC7" s="45"/>
      <c r="BD7" s="45"/>
      <c r="BE7" s="45"/>
      <c r="BF7" s="45"/>
      <c r="BG7" s="46"/>
      <c r="BI7" s="28"/>
      <c r="BQ7" s="6" t="s">
        <v>14</v>
      </c>
      <c r="BR7" s="6">
        <v>0.0</v>
      </c>
      <c r="BS7" s="6">
        <f>VLOOKUP(BQ7,'Item List'!$A$2:$D$300,2,FALSE)</f>
        <v>1</v>
      </c>
      <c r="BT7" s="6">
        <f>VLOOKUP(BQ7,'Item List'!$A$2:$D$300,3,FALSE)</f>
        <v>4</v>
      </c>
      <c r="BU7" s="6">
        <f>VLOOKUP(BQ7,'Item List'!$A$2:$D$300,4,FALSE)</f>
        <v>2</v>
      </c>
      <c r="BY7" s="6">
        <f t="shared" si="1"/>
        <v>40000</v>
      </c>
      <c r="BZ7" s="6">
        <f t="shared" si="2"/>
        <v>0.1136363636</v>
      </c>
      <c r="CA7" s="102">
        <f t="shared" si="3"/>
        <v>30.3030303</v>
      </c>
      <c r="CB7" s="102">
        <f t="shared" si="4"/>
        <v>683.7606838</v>
      </c>
      <c r="CC7" s="102">
        <f t="shared" si="5"/>
        <v>113.6363636</v>
      </c>
      <c r="CE7" s="5"/>
      <c r="CF7" s="5"/>
      <c r="CG7" s="98" t="s">
        <v>505</v>
      </c>
      <c r="CH7" s="98" t="s">
        <v>506</v>
      </c>
      <c r="CI7" s="98" t="s">
        <v>586</v>
      </c>
      <c r="CJ7" s="7"/>
    </row>
    <row r="8">
      <c r="A8" s="29"/>
      <c r="B8" s="40"/>
      <c r="C8" s="41"/>
      <c r="D8" s="38"/>
      <c r="E8" s="38" t="s">
        <v>230</v>
      </c>
      <c r="F8" s="42">
        <f>500*I7</f>
        <v>267000</v>
      </c>
      <c r="G8" s="43"/>
      <c r="H8" s="44"/>
      <c r="I8" s="45"/>
      <c r="J8" s="45"/>
      <c r="K8" s="45"/>
      <c r="L8" s="45"/>
      <c r="M8" s="45"/>
      <c r="N8" s="45"/>
      <c r="O8" s="45"/>
      <c r="P8" s="45"/>
      <c r="Q8" s="45"/>
      <c r="R8" s="45"/>
      <c r="S8" s="101"/>
      <c r="T8" s="101"/>
      <c r="U8" s="45"/>
      <c r="V8" s="45"/>
      <c r="W8" s="45"/>
      <c r="X8" s="45"/>
      <c r="Y8" s="45"/>
      <c r="Z8" s="45"/>
      <c r="AA8" s="45"/>
      <c r="AB8" s="45"/>
      <c r="AC8" s="45"/>
      <c r="AD8" s="45"/>
      <c r="AE8" s="79"/>
      <c r="AF8" s="45"/>
      <c r="AG8" s="45"/>
      <c r="AH8" s="45"/>
      <c r="AI8" s="45"/>
      <c r="AJ8" s="45"/>
      <c r="AK8" s="45"/>
      <c r="AL8" s="45"/>
      <c r="AM8" s="45"/>
      <c r="AN8" s="45"/>
      <c r="AO8" s="45"/>
      <c r="AP8" s="45"/>
      <c r="AQ8" s="45"/>
      <c r="AR8" s="79"/>
      <c r="AS8" s="45"/>
      <c r="AT8" s="45"/>
      <c r="AU8" s="45"/>
      <c r="AV8" s="45"/>
      <c r="AW8" s="45"/>
      <c r="AX8" s="45"/>
      <c r="AY8" s="45"/>
      <c r="AZ8" s="45"/>
      <c r="BA8" s="45"/>
      <c r="BB8" s="45"/>
      <c r="BC8" s="45"/>
      <c r="BD8" s="45"/>
      <c r="BE8" s="45"/>
      <c r="BF8" s="45"/>
      <c r="BG8" s="46"/>
      <c r="BI8" s="28"/>
      <c r="BQ8" s="6" t="s">
        <v>26</v>
      </c>
      <c r="BR8" s="6">
        <v>200.0</v>
      </c>
      <c r="BS8" s="6">
        <f>VLOOKUP(BQ8,'Item List'!$A$2:$D$300,2,FALSE)</f>
        <v>3</v>
      </c>
      <c r="BT8" s="6">
        <f>VLOOKUP(BQ8,'Item List'!$A$2:$D$300,3,FALSE)</f>
        <v>3</v>
      </c>
      <c r="BU8" s="6">
        <f>VLOOKUP(BQ8,'Item List'!$A$2:$D$300,4,FALSE)</f>
        <v>2</v>
      </c>
      <c r="BY8" s="6">
        <f t="shared" si="1"/>
        <v>847600</v>
      </c>
      <c r="BZ8" s="6">
        <f t="shared" si="2"/>
        <v>2.407954545</v>
      </c>
      <c r="CA8" s="102">
        <f t="shared" si="3"/>
        <v>642.1212121</v>
      </c>
      <c r="CB8" s="102">
        <f t="shared" si="4"/>
        <v>14488.88889</v>
      </c>
      <c r="CC8" s="102">
        <f t="shared" si="5"/>
        <v>2407.954545</v>
      </c>
      <c r="CE8" s="5"/>
      <c r="CF8" s="5"/>
      <c r="CG8" s="105">
        <f>BO71/CF6/20</f>
        <v>0.00375</v>
      </c>
      <c r="CH8" s="106">
        <f>BP71/CF6/20</f>
        <v>0.0001661931818</v>
      </c>
      <c r="CI8" s="5">
        <f>1/CI6</f>
        <v>0.001</v>
      </c>
    </row>
    <row r="9">
      <c r="A9" s="29"/>
      <c r="B9" s="40"/>
      <c r="C9" s="41"/>
      <c r="D9" s="38"/>
      <c r="E9" s="38" t="s">
        <v>229</v>
      </c>
      <c r="F9" s="42">
        <f>150*I7</f>
        <v>80100</v>
      </c>
      <c r="G9" s="43"/>
      <c r="H9" s="44"/>
      <c r="I9" s="45"/>
      <c r="J9" s="45"/>
      <c r="K9" s="45"/>
      <c r="L9" s="45"/>
      <c r="M9" s="45"/>
      <c r="N9" s="45"/>
      <c r="O9" s="45"/>
      <c r="P9" s="45"/>
      <c r="Q9" s="45"/>
      <c r="R9" s="45"/>
      <c r="S9" s="101"/>
      <c r="T9" s="101"/>
      <c r="U9" s="45"/>
      <c r="V9" s="45"/>
      <c r="W9" s="45"/>
      <c r="X9" s="45"/>
      <c r="Y9" s="45"/>
      <c r="Z9" s="45"/>
      <c r="AA9" s="45"/>
      <c r="AB9" s="45"/>
      <c r="AC9" s="45"/>
      <c r="AD9" s="45"/>
      <c r="AE9" s="79"/>
      <c r="AF9" s="45"/>
      <c r="AG9" s="45"/>
      <c r="AH9" s="45"/>
      <c r="AI9" s="45"/>
      <c r="AJ9" s="45"/>
      <c r="AK9" s="45"/>
      <c r="AL9" s="45"/>
      <c r="AM9" s="45"/>
      <c r="AN9" s="45"/>
      <c r="AO9" s="45"/>
      <c r="AP9" s="45"/>
      <c r="AQ9" s="45"/>
      <c r="AR9" s="79"/>
      <c r="AS9" s="45"/>
      <c r="AT9" s="45"/>
      <c r="AU9" s="45"/>
      <c r="AV9" s="45"/>
      <c r="AW9" s="45"/>
      <c r="AX9" s="45"/>
      <c r="AY9" s="45"/>
      <c r="AZ9" s="45"/>
      <c r="BA9" s="45"/>
      <c r="BB9" s="45"/>
      <c r="BC9" s="45"/>
      <c r="BD9" s="45"/>
      <c r="BE9" s="45"/>
      <c r="BF9" s="45"/>
      <c r="BG9" s="46"/>
      <c r="BI9" s="28"/>
      <c r="BQ9" s="6" t="s">
        <v>30</v>
      </c>
      <c r="BR9" s="6">
        <v>31200.0</v>
      </c>
      <c r="BS9" s="6">
        <f>VLOOKUP(BQ9,'Item List'!$A$2:$D$300,2,FALSE)</f>
        <v>1</v>
      </c>
      <c r="BT9" s="6">
        <f>VLOOKUP(BQ9,'Item List'!$A$2:$D$300,3,FALSE)</f>
        <v>4</v>
      </c>
      <c r="BU9" s="6">
        <f>VLOOKUP(BQ9,'Item List'!$A$2:$D$300,4,FALSE)</f>
        <v>2</v>
      </c>
      <c r="BY9" s="6">
        <f t="shared" si="1"/>
        <v>267000</v>
      </c>
      <c r="BZ9" s="6">
        <f t="shared" si="2"/>
        <v>0.7585227273</v>
      </c>
      <c r="CA9" s="102">
        <f t="shared" si="3"/>
        <v>202.2727273</v>
      </c>
      <c r="CB9" s="102">
        <f t="shared" si="4"/>
        <v>4564.102564</v>
      </c>
      <c r="CC9" s="102">
        <f t="shared" si="5"/>
        <v>758.5227273</v>
      </c>
      <c r="CE9" s="5"/>
      <c r="CF9" s="5"/>
      <c r="CG9" s="98" t="s">
        <v>587</v>
      </c>
      <c r="CH9" s="98" t="s">
        <v>588</v>
      </c>
    </row>
    <row r="10">
      <c r="A10" s="29"/>
      <c r="B10" s="40"/>
      <c r="C10" s="41"/>
      <c r="D10" s="38"/>
      <c r="E10" s="38" t="s">
        <v>125</v>
      </c>
      <c r="F10" s="42">
        <f>25*I7</f>
        <v>13350</v>
      </c>
      <c r="G10" s="43"/>
      <c r="H10" s="44"/>
      <c r="I10" s="45"/>
      <c r="J10" s="45"/>
      <c r="K10" s="45"/>
      <c r="L10" s="45"/>
      <c r="M10" s="45"/>
      <c r="N10" s="45"/>
      <c r="O10" s="45"/>
      <c r="P10" s="45"/>
      <c r="Q10" s="45"/>
      <c r="R10" s="45"/>
      <c r="S10" s="101"/>
      <c r="T10" s="101"/>
      <c r="U10" s="45"/>
      <c r="V10" s="45"/>
      <c r="W10" s="45"/>
      <c r="X10" s="45"/>
      <c r="Y10" s="45"/>
      <c r="Z10" s="45"/>
      <c r="AA10" s="45"/>
      <c r="AB10" s="45"/>
      <c r="AC10" s="45"/>
      <c r="AD10" s="45"/>
      <c r="AE10" s="79"/>
      <c r="AF10" s="45"/>
      <c r="AG10" s="45"/>
      <c r="AH10" s="45"/>
      <c r="AI10" s="45"/>
      <c r="AJ10" s="45"/>
      <c r="AK10" s="45"/>
      <c r="AL10" s="45"/>
      <c r="AM10" s="45"/>
      <c r="AN10" s="45"/>
      <c r="AO10" s="45"/>
      <c r="AP10" s="45"/>
      <c r="AQ10" s="45"/>
      <c r="AR10" s="79"/>
      <c r="AS10" s="45"/>
      <c r="AT10" s="45"/>
      <c r="AU10" s="45"/>
      <c r="AV10" s="45"/>
      <c r="AW10" s="45"/>
      <c r="AX10" s="45"/>
      <c r="AY10" s="45"/>
      <c r="AZ10" s="45"/>
      <c r="BA10" s="45"/>
      <c r="BB10" s="45"/>
      <c r="BC10" s="45"/>
      <c r="BD10" s="45"/>
      <c r="BE10" s="45"/>
      <c r="BF10" s="45"/>
      <c r="BG10" s="46"/>
      <c r="BI10" s="28"/>
      <c r="BQ10" s="6" t="s">
        <v>38</v>
      </c>
      <c r="BR10" s="6">
        <v>0.0</v>
      </c>
      <c r="BS10" s="6">
        <f>VLOOKUP(BQ10,'Item List'!$A$2:$D$300,2,FALSE)</f>
        <v>1</v>
      </c>
      <c r="BT10" s="6">
        <f>VLOOKUP(BQ10,'Item List'!$A$2:$D$300,3,FALSE)</f>
        <v>3</v>
      </c>
      <c r="BU10" s="6">
        <f>VLOOKUP(BQ10,'Item List'!$A$2:$D$300,4,FALSE)</f>
        <v>2</v>
      </c>
      <c r="BY10" s="6">
        <f t="shared" si="1"/>
        <v>90000</v>
      </c>
      <c r="BZ10" s="6">
        <f t="shared" si="2"/>
        <v>0.2556818182</v>
      </c>
      <c r="CA10" s="102">
        <f t="shared" si="3"/>
        <v>68.18181818</v>
      </c>
      <c r="CB10" s="102">
        <f t="shared" si="4"/>
        <v>1538.461538</v>
      </c>
      <c r="CC10" s="102">
        <f t="shared" si="5"/>
        <v>255.6818182</v>
      </c>
      <c r="CE10" s="5"/>
      <c r="CF10" s="5"/>
      <c r="CG10" s="107">
        <f>BL57/CF6</f>
        <v>9</v>
      </c>
      <c r="CH10" s="107">
        <f>BM57/CF6</f>
        <v>72</v>
      </c>
      <c r="CI10" s="5"/>
    </row>
    <row r="11">
      <c r="A11" s="29"/>
      <c r="B11" s="50"/>
      <c r="C11" s="51"/>
      <c r="D11" s="52"/>
      <c r="E11" s="52"/>
      <c r="F11" s="52"/>
      <c r="G11" s="43"/>
      <c r="H11" s="52"/>
      <c r="I11" s="52"/>
      <c r="J11" s="52"/>
      <c r="K11" s="52"/>
      <c r="L11" s="52"/>
      <c r="M11" s="52"/>
      <c r="N11" s="52"/>
      <c r="O11" s="52"/>
      <c r="P11" s="52"/>
      <c r="Q11" s="52"/>
      <c r="R11" s="52"/>
      <c r="S11" s="52"/>
      <c r="T11" s="52"/>
      <c r="U11" s="52"/>
      <c r="V11" s="52"/>
      <c r="W11" s="52"/>
      <c r="X11" s="52"/>
      <c r="Y11" s="52"/>
      <c r="Z11" s="52"/>
      <c r="AA11" s="52"/>
      <c r="AB11" s="52"/>
      <c r="AC11" s="52"/>
      <c r="AD11" s="52"/>
      <c r="AE11" s="43"/>
      <c r="AF11" s="52"/>
      <c r="AG11" s="52"/>
      <c r="AH11" s="52"/>
      <c r="AI11" s="52"/>
      <c r="AJ11" s="52"/>
      <c r="AK11" s="52"/>
      <c r="AL11" s="52"/>
      <c r="AM11" s="52"/>
      <c r="AN11" s="52"/>
      <c r="AO11" s="52"/>
      <c r="AP11" s="52"/>
      <c r="AQ11" s="52"/>
      <c r="AR11" s="43"/>
      <c r="AS11" s="52"/>
      <c r="AT11" s="52"/>
      <c r="AU11" s="52"/>
      <c r="AV11" s="52"/>
      <c r="AW11" s="52"/>
      <c r="AX11" s="52"/>
      <c r="AY11" s="52"/>
      <c r="AZ11" s="52"/>
      <c r="BA11" s="52"/>
      <c r="BB11" s="52"/>
      <c r="BC11" s="52"/>
      <c r="BD11" s="52"/>
      <c r="BE11" s="52"/>
      <c r="BF11" s="52"/>
      <c r="BG11" s="53"/>
      <c r="BI11" s="28"/>
      <c r="BQ11" s="6" t="s">
        <v>40</v>
      </c>
      <c r="BR11" s="6">
        <v>-10.0</v>
      </c>
      <c r="BS11" s="6">
        <f>VLOOKUP(BQ11,'Item List'!$A$2:$D$300,2,FALSE)</f>
        <v>1</v>
      </c>
      <c r="BT11" s="6">
        <f>VLOOKUP(BQ11,'Item List'!$A$2:$D$300,3,FALSE)</f>
        <v>3</v>
      </c>
      <c r="BU11" s="6">
        <f>VLOOKUP(BQ11,'Item List'!$A$2:$D$300,4,FALSE)</f>
        <v>1</v>
      </c>
      <c r="CA11" s="102"/>
      <c r="CB11" s="102"/>
      <c r="CC11" s="102"/>
    </row>
    <row r="12">
      <c r="A12" s="23"/>
      <c r="B12" s="31" t="s">
        <v>593</v>
      </c>
      <c r="C12" s="54"/>
      <c r="D12" s="45"/>
      <c r="E12" s="45"/>
      <c r="F12" s="47"/>
      <c r="G12" s="35"/>
      <c r="H12" s="55" t="s">
        <v>349</v>
      </c>
      <c r="I12" s="38">
        <f>VLOOKUP(H12,'Machine List'!$A$1:$I$300,9,FALSE)</f>
        <v>4000</v>
      </c>
      <c r="J12" s="38">
        <f>IF(VLOOKUP(H12,'Machine List'!$A$1:$I$300,5,FALSE)="Multi",IF(VLOOKUP(H12,'Machine List'!$A$1:$I$300,6,FALSE)="Yes",AG12*3*10^Z12,AG12*(2*3)*10^(Z12-1)),0)</f>
        <v>6</v>
      </c>
      <c r="K12" s="38">
        <f>J12+IF(ISNUMBER(I12),I12,
  SWITCH(
      I12,
      "1T",1*10^Z12,
      "2T",2*10^Z12,
      "3T",3*10^Z12,
      "4T",4*10^Z12,
      "4000+500(7O-5)",4000+500*(7*I13-5),
      1
  )
)</f>
        <v>4006</v>
      </c>
      <c r="L12" s="38">
        <f>IF(VLOOKUP(H12,'Machine List'!$A$1:$I$300,5,FALSE)="Multi",IF(VLOOKUP(H12,'Machine List'!$A$1:$I$300,6,FALSE)="Yes",AU12*3*10^AT12,AU12*(2*3)*10^(AT12-1)),0)</f>
        <v>6000</v>
      </c>
      <c r="M12" s="38">
        <f>L12+IF(ISNUMBER(I12),I12,
  SWITCH(
      I12,
      "1T",1*10^AT12,
      "2T",2*10^AT12,
      "3T",3*10^AT12,
      "4T",4*10^AT12,
      "4000+500(7O-5)",4000+500*(7*I13-5),
      1
  )
)</f>
        <v>10000</v>
      </c>
      <c r="N12" s="38" t="str">
        <f>VLOOKUP(H12,'Machine List'!$A$1:$I$300,8,FALSE)</f>
        <v>Tier</v>
      </c>
      <c r="O12" s="38">
        <f>IF(ISNUMBER(N12),N12,10^Z12)</f>
        <v>10</v>
      </c>
      <c r="P12" s="38">
        <f>IF(ISNUMBER(N12),N12,10^AT12)</f>
        <v>10000</v>
      </c>
      <c r="Q12" s="38">
        <f>VLOOKUP(H12,'Machine List'!$A$1:$B$138,2,FALSE)</f>
        <v>1</v>
      </c>
      <c r="R12" s="38" t="s">
        <v>594</v>
      </c>
      <c r="S12" s="45">
        <f>IF(ISNUMBER(Q12),Q12,
  SWITCH(
      Q12,
      "1",1,
      "2T",Z12*2,
      "4T",Z12*4,
      "6T",Z12*6,
      "8T",Z12*8,
      "10T",Z12*10,
      "12T",Z12*12,
      "14T",Z12*14,
      "16T",Z12*16,
      "2(T+1)",2*(Z12+1),
      "1T*C",Z12*J14,
      1
  )
)</f>
        <v>1</v>
      </c>
      <c r="T12" s="38" t="s">
        <v>277</v>
      </c>
      <c r="U12" s="38">
        <f>IF(OR(T12="No",T12=""),S12,T12)</f>
        <v>1</v>
      </c>
      <c r="V12" s="38">
        <f>IF(ISNUMBER(Q12),Q12,
  SWITCH(
      Q12,
      "1",1,
      "2T",AT12*2,
      "4T",AT12*4,
      "6T",AT12*6,
      "8T",AT12*8,
      "10T",AT12*10,
      "12T",AT12*12,
      "14T",AT12*14,
      "16T",AT12*16,
      "2(T+1)",2*(AT12+1),
      "1T*C",AT12*J14,
      1
  )
)</f>
        <v>1</v>
      </c>
      <c r="W12" s="38" t="str">
        <f>T12</f>
        <v>No</v>
      </c>
      <c r="X12" s="38">
        <f>IF(OR(W12="No",W12=""),V12,W12)</f>
        <v>1</v>
      </c>
      <c r="Y12" s="38" t="s">
        <v>390</v>
      </c>
      <c r="Z12" s="38">
        <f>VLOOKUP(Y12,'Item Helper Sheet'!$A$2:$B$16,2,FALSE)</f>
        <v>1</v>
      </c>
      <c r="AA12" s="38">
        <v>30.0</v>
      </c>
      <c r="AB12" s="38">
        <f>8*20</f>
        <v>160</v>
      </c>
      <c r="AC12" s="38">
        <f>AB12*I14</f>
        <v>3200</v>
      </c>
      <c r="AD12" s="38">
        <f>AA12*AC12</f>
        <v>96000</v>
      </c>
      <c r="AE12" s="75"/>
      <c r="AF12" s="38" t="str">
        <f>Y12</f>
        <v>01 - LV</v>
      </c>
      <c r="AG12" s="38">
        <v>1.0</v>
      </c>
      <c r="AH12" s="38">
        <v>1.0</v>
      </c>
      <c r="AI12" s="38">
        <f>AH12*8*4^Z12</f>
        <v>32</v>
      </c>
      <c r="AJ12" s="38">
        <f>MIN(ROUNDDOWN(AI12/AL12,0),U12)</f>
        <v>1</v>
      </c>
      <c r="AK12" s="38">
        <f>IF(OR(T12="No",T12=""),AG12*S12,AG12*T12)</f>
        <v>1</v>
      </c>
      <c r="AL12" s="38">
        <f>ROUNDUP(AA12*VLOOKUP(H12,'Machine List'!$A$2:$D$219,4,FALSE),0)</f>
        <v>30</v>
      </c>
      <c r="AM12" s="38">
        <f>AL12*AK12</f>
        <v>30</v>
      </c>
      <c r="AN12" s="38">
        <f>ROUNDUP(AB12*I14,0)</f>
        <v>3200</v>
      </c>
      <c r="AO12" s="38">
        <f>ROUNDUP(AN12/VLOOKUP(H12,'Machine List'!$A$2:$D$219,3,FALSE),0)</f>
        <v>3200</v>
      </c>
      <c r="AP12" s="38">
        <f>ROUNDUP(AO12/AK12,0)</f>
        <v>3200</v>
      </c>
      <c r="AQ12" s="38">
        <f>AM12*AP12</f>
        <v>96000</v>
      </c>
      <c r="AR12" s="75"/>
      <c r="AS12" s="38" t="s">
        <v>401</v>
      </c>
      <c r="AT12" s="38">
        <f>VLOOKUP(AS12,'Item Helper Sheet'!$A$2:$B$16,2,FALSE)</f>
        <v>4</v>
      </c>
      <c r="AU12" s="38">
        <f>AG12</f>
        <v>1</v>
      </c>
      <c r="AV12" s="38">
        <v>1.0</v>
      </c>
      <c r="AW12" s="38">
        <f>AV12*8*4^AT12</f>
        <v>2048</v>
      </c>
      <c r="AX12" s="38">
        <f>MIN(ROUNDDOWN(AW12/AL12,0),X12)</f>
        <v>1</v>
      </c>
      <c r="AY12" s="38">
        <f>AX12*AU12</f>
        <v>1</v>
      </c>
      <c r="AZ12" s="38">
        <f>AL12</f>
        <v>30</v>
      </c>
      <c r="BA12" s="38">
        <f>MIN(AT12-Z12,IF(AW12&gt;=AZ13*4,
IF(AW12&gt;=AZ13*4^2,
IF(AW12&gt;=AZ13*4^3,
IF(AW12&gt;=AZ13*4^4,
IF(AW12&gt;=AZ13*4^5,
IF(AW12&gt;=AZ13*4^6,
IF(AW12&gt;=AZ13*4^7,
IF(AW12&gt;=AZ13*4^8,
IF(AW12&gt;=AZ13*4^9,
IF(AW12&gt;=AZ13*4^10,
9),
8),
7),
6),
5),
4),
3),
2),
1),
0))</f>
        <v>3</v>
      </c>
      <c r="BB12" s="38">
        <f>AZ12*AX12*4^BA12</f>
        <v>1920</v>
      </c>
      <c r="BC12" s="38">
        <f>BB12*AU12</f>
        <v>1920</v>
      </c>
      <c r="BD12" s="45">
        <f>ROUNDUP(IF(R12="Yes",AN12/(2^((BA12)*2)),AN12/(2^(BA12))),0)</f>
        <v>50</v>
      </c>
      <c r="BE12" s="45">
        <f>ROUNDUP(BD12/VLOOKUP(H12,'Machine List'!$A$2:$D$219,3,FALSE),0)</f>
        <v>50</v>
      </c>
      <c r="BF12" s="45">
        <f>ROUNDUP(BE12/AY12,0)</f>
        <v>50</v>
      </c>
      <c r="BG12" s="46">
        <f>BF12*BC12</f>
        <v>96000</v>
      </c>
      <c r="BI12" s="28"/>
      <c r="BQ12" s="6" t="s">
        <v>43</v>
      </c>
      <c r="BR12" s="6">
        <v>10000.0</v>
      </c>
      <c r="BS12" s="6">
        <f>VLOOKUP(BQ12,'Item List'!$A$2:$D$300,2,FALSE)</f>
        <v>1</v>
      </c>
      <c r="BT12" s="6">
        <f>VLOOKUP(BQ12,'Item List'!$A$2:$D$300,3,FALSE)</f>
        <v>3</v>
      </c>
      <c r="BU12" s="6">
        <f>VLOOKUP(BQ12,'Item List'!$A$2:$D$300,4,FALSE)</f>
        <v>2</v>
      </c>
      <c r="CE12" s="108" t="s">
        <v>595</v>
      </c>
      <c r="CF12" s="108" t="s">
        <v>596</v>
      </c>
    </row>
    <row r="13">
      <c r="A13" s="29"/>
      <c r="B13" s="40"/>
      <c r="C13" s="41" t="s">
        <v>228</v>
      </c>
      <c r="D13" s="38">
        <f>16000*I14</f>
        <v>320000</v>
      </c>
      <c r="E13" s="38" t="s">
        <v>183</v>
      </c>
      <c r="F13" s="42">
        <f>16000*I14</f>
        <v>320000</v>
      </c>
      <c r="G13" s="43"/>
      <c r="H13" s="99" t="s">
        <v>584</v>
      </c>
      <c r="I13" s="45">
        <f t="array" ref="I13">match(TRUE,ISBLANK(F13:F25),0)-1</f>
        <v>2</v>
      </c>
      <c r="J13" s="100" t="s">
        <v>420</v>
      </c>
      <c r="K13" s="100" t="s">
        <v>585</v>
      </c>
      <c r="L13" s="38"/>
      <c r="M13" s="38"/>
      <c r="N13" s="38"/>
      <c r="O13" s="38"/>
      <c r="P13" s="38"/>
      <c r="Q13" s="38"/>
      <c r="R13" s="101"/>
      <c r="S13" s="101"/>
      <c r="T13" s="101"/>
      <c r="U13" s="45"/>
      <c r="V13" s="45"/>
      <c r="W13" s="45"/>
      <c r="X13" s="45"/>
      <c r="Y13" s="45"/>
      <c r="Z13" s="45"/>
      <c r="AA13" s="45"/>
      <c r="AB13" s="45"/>
      <c r="AC13" s="45"/>
      <c r="AD13" s="45"/>
      <c r="AE13" s="79"/>
      <c r="AF13" s="45"/>
      <c r="AG13" s="45"/>
      <c r="AH13" s="45"/>
      <c r="AI13" s="45"/>
      <c r="AJ13" s="45"/>
      <c r="AK13" s="45"/>
      <c r="AL13" s="45"/>
      <c r="AM13" s="45"/>
      <c r="AN13" s="45"/>
      <c r="AO13" s="45"/>
      <c r="AP13" s="45"/>
      <c r="AQ13" s="45"/>
      <c r="AR13" s="79"/>
      <c r="AS13" s="45"/>
      <c r="AT13" s="45"/>
      <c r="AU13" s="45"/>
      <c r="AV13" s="45"/>
      <c r="AW13" s="45"/>
      <c r="AX13" s="45"/>
      <c r="AY13" s="45"/>
      <c r="AZ13" s="45">
        <f>AZ12*AX12</f>
        <v>30</v>
      </c>
      <c r="BA13" s="45"/>
      <c r="BB13" s="45"/>
      <c r="BC13" s="45"/>
      <c r="BD13" s="45"/>
      <c r="BE13" s="45"/>
      <c r="BF13" s="45"/>
      <c r="BG13" s="46"/>
      <c r="BI13" s="28"/>
      <c r="BQ13" s="6" t="s">
        <v>45</v>
      </c>
      <c r="BR13" s="6">
        <v>-54000.0</v>
      </c>
      <c r="BS13" s="6">
        <f>VLOOKUP(BQ13,'Item List'!$A$2:$D$300,2,FALSE)</f>
        <v>1</v>
      </c>
      <c r="BT13" s="6">
        <f>VLOOKUP(BQ13,'Item List'!$A$2:$D$300,3,FALSE)</f>
        <v>3</v>
      </c>
      <c r="BU13" s="6">
        <f>VLOOKUP(BQ13,'Item List'!$A$2:$D$300,4,FALSE)</f>
        <v>2</v>
      </c>
      <c r="BY13" s="97" t="s">
        <v>589</v>
      </c>
      <c r="BZ13" s="97" t="s">
        <v>514</v>
      </c>
      <c r="CA13" s="97" t="s">
        <v>590</v>
      </c>
      <c r="CB13" s="97" t="s">
        <v>591</v>
      </c>
      <c r="CC13" s="97" t="s">
        <v>592</v>
      </c>
      <c r="CE13" s="98" t="s">
        <v>597</v>
      </c>
      <c r="CF13" s="98" t="s">
        <v>597</v>
      </c>
    </row>
    <row r="14">
      <c r="A14" s="29"/>
      <c r="B14" s="40"/>
      <c r="C14" s="41" t="s">
        <v>87</v>
      </c>
      <c r="D14" s="38">
        <f>2000*I14</f>
        <v>40000</v>
      </c>
      <c r="E14" s="38" t="s">
        <v>88</v>
      </c>
      <c r="F14" s="42">
        <f>1000*I14</f>
        <v>20000</v>
      </c>
      <c r="G14" s="43"/>
      <c r="H14" s="56" t="s">
        <v>502</v>
      </c>
      <c r="I14" s="57">
        <v>20.0</v>
      </c>
      <c r="J14" s="100" t="s">
        <v>424</v>
      </c>
      <c r="K14" s="100">
        <v>0.0</v>
      </c>
      <c r="L14" s="45"/>
      <c r="M14" s="45"/>
      <c r="N14" s="45"/>
      <c r="O14" s="45"/>
      <c r="P14" s="45"/>
      <c r="Q14" s="45"/>
      <c r="R14" s="45"/>
      <c r="S14" s="101"/>
      <c r="T14" s="101"/>
      <c r="U14" s="45"/>
      <c r="V14" s="45"/>
      <c r="W14" s="45"/>
      <c r="X14" s="45"/>
      <c r="Y14" s="45"/>
      <c r="Z14" s="45"/>
      <c r="AA14" s="45"/>
      <c r="AB14" s="45"/>
      <c r="AC14" s="45"/>
      <c r="AD14" s="45"/>
      <c r="AE14" s="79"/>
      <c r="AF14" s="45"/>
      <c r="AG14" s="45"/>
      <c r="AH14" s="45"/>
      <c r="AI14" s="45"/>
      <c r="AJ14" s="45"/>
      <c r="AK14" s="45"/>
      <c r="AL14" s="45"/>
      <c r="AM14" s="45"/>
      <c r="AN14" s="45"/>
      <c r="AO14" s="45"/>
      <c r="AP14" s="45"/>
      <c r="AQ14" s="45"/>
      <c r="AR14" s="79"/>
      <c r="AS14" s="45"/>
      <c r="AT14" s="45"/>
      <c r="AU14" s="45"/>
      <c r="AV14" s="45"/>
      <c r="AW14" s="45"/>
      <c r="AX14" s="45"/>
      <c r="AY14" s="45"/>
      <c r="AZ14" s="45"/>
      <c r="BA14" s="45"/>
      <c r="BB14" s="45"/>
      <c r="BC14" s="45"/>
      <c r="BD14" s="45"/>
      <c r="BE14" s="45"/>
      <c r="BF14" s="45"/>
      <c r="BG14" s="46"/>
      <c r="BI14" s="28"/>
      <c r="BQ14" s="6" t="s">
        <v>61</v>
      </c>
      <c r="BR14" s="6">
        <v>35750.0</v>
      </c>
      <c r="BS14" s="6">
        <f>VLOOKUP(BQ14,'Item List'!$A$2:$D$300,2,FALSE)</f>
        <v>1</v>
      </c>
      <c r="BT14" s="6">
        <f>VLOOKUP(BQ14,'Item List'!$A$2:$D$300,3,FALSE)</f>
        <v>3</v>
      </c>
      <c r="BU14" s="6">
        <f>VLOOKUP(BQ14,'Item List'!$A$2:$D$300,4,FALSE)</f>
        <v>2</v>
      </c>
      <c r="BY14" s="6">
        <f t="shared" ref="BY14:BY22" si="6">BX14</f>
        <v>31200</v>
      </c>
      <c r="BZ14" s="6">
        <f t="shared" ref="BZ14:BZ22" si="7">BY14/$CF$21</f>
        <v>0.08863636364</v>
      </c>
      <c r="CA14" s="102">
        <f t="shared" ref="CA14:CA22" si="8">1/($CG$8/BZ14)</f>
        <v>23.63636364</v>
      </c>
      <c r="CB14" s="102">
        <f t="shared" ref="CB14:CB22" si="9">1/($CH$8/BZ14)</f>
        <v>533.3333333</v>
      </c>
      <c r="CC14" s="102">
        <f t="shared" ref="CC14:CC22" si="10">1/($CI$8/BZ14)</f>
        <v>88.63636364</v>
      </c>
      <c r="CE14" s="5">
        <f>BO94</f>
        <v>19</v>
      </c>
      <c r="CF14" s="5">
        <f>BO117</f>
        <v>28</v>
      </c>
    </row>
    <row r="15">
      <c r="A15" s="29"/>
      <c r="B15" s="50"/>
      <c r="C15" s="51"/>
      <c r="D15" s="52"/>
      <c r="E15" s="52"/>
      <c r="F15" s="52"/>
      <c r="G15" s="43"/>
      <c r="H15" s="52"/>
      <c r="I15" s="52"/>
      <c r="J15" s="52"/>
      <c r="K15" s="52"/>
      <c r="L15" s="52"/>
      <c r="M15" s="52"/>
      <c r="N15" s="52"/>
      <c r="O15" s="52"/>
      <c r="P15" s="52"/>
      <c r="Q15" s="52"/>
      <c r="R15" s="52"/>
      <c r="S15" s="52"/>
      <c r="T15" s="52"/>
      <c r="U15" s="52"/>
      <c r="V15" s="52"/>
      <c r="W15" s="52"/>
      <c r="X15" s="52"/>
      <c r="Y15" s="52"/>
      <c r="Z15" s="52"/>
      <c r="AA15" s="52"/>
      <c r="AB15" s="52"/>
      <c r="AC15" s="52"/>
      <c r="AD15" s="52"/>
      <c r="AE15" s="43"/>
      <c r="AF15" s="52"/>
      <c r="AG15" s="52"/>
      <c r="AH15" s="52"/>
      <c r="AI15" s="52"/>
      <c r="AJ15" s="52"/>
      <c r="AK15" s="52"/>
      <c r="AL15" s="52"/>
      <c r="AM15" s="52"/>
      <c r="AN15" s="52"/>
      <c r="AO15" s="52"/>
      <c r="AP15" s="52"/>
      <c r="AQ15" s="52"/>
      <c r="AR15" s="43"/>
      <c r="AS15" s="52"/>
      <c r="AT15" s="52"/>
      <c r="AU15" s="52"/>
      <c r="AV15" s="52"/>
      <c r="AW15" s="52"/>
      <c r="AX15" s="52"/>
      <c r="AY15" s="52"/>
      <c r="AZ15" s="52"/>
      <c r="BA15" s="52"/>
      <c r="BB15" s="52"/>
      <c r="BC15" s="52"/>
      <c r="BD15" s="52"/>
      <c r="BE15" s="52"/>
      <c r="BF15" s="52"/>
      <c r="BG15" s="53"/>
      <c r="BI15" s="28"/>
      <c r="BQ15" s="6" t="s">
        <v>64</v>
      </c>
      <c r="BR15" s="6">
        <v>-40000.0</v>
      </c>
      <c r="BS15" s="6">
        <f>VLOOKUP(BQ15,'Item List'!$A$2:$D$300,2,FALSE)</f>
        <v>1</v>
      </c>
      <c r="BT15" s="6">
        <f>VLOOKUP(BQ15,'Item List'!$A$2:$D$300,3,FALSE)</f>
        <v>5</v>
      </c>
      <c r="BU15" s="6">
        <f>VLOOKUP(BQ15,'Item List'!$A$2:$D$300,4,FALSE)</f>
        <v>2</v>
      </c>
      <c r="BY15" s="6">
        <f t="shared" si="6"/>
        <v>35750</v>
      </c>
      <c r="BZ15" s="6">
        <f t="shared" si="7"/>
        <v>0.1015625</v>
      </c>
      <c r="CA15" s="102">
        <f t="shared" si="8"/>
        <v>27.08333333</v>
      </c>
      <c r="CB15" s="102">
        <f t="shared" si="9"/>
        <v>611.1111111</v>
      </c>
      <c r="CC15" s="102">
        <f t="shared" si="10"/>
        <v>101.5625</v>
      </c>
      <c r="CE15" s="98" t="s">
        <v>598</v>
      </c>
      <c r="CF15" s="98" t="s">
        <v>598</v>
      </c>
    </row>
    <row r="16">
      <c r="A16" s="23"/>
      <c r="B16" s="31" t="s">
        <v>599</v>
      </c>
      <c r="C16" s="54"/>
      <c r="D16" s="45"/>
      <c r="E16" s="45"/>
      <c r="F16" s="47"/>
      <c r="G16" s="35"/>
      <c r="H16" s="55" t="s">
        <v>349</v>
      </c>
      <c r="I16" s="38">
        <f>VLOOKUP(H16,'Machine List'!$A$1:$I$300,9,FALSE)</f>
        <v>4000</v>
      </c>
      <c r="J16" s="38">
        <f>IF(VLOOKUP(H16,'Machine List'!$A$1:$I$300,5,FALSE)="Multi",IF(VLOOKUP(H16,'Machine List'!$A$1:$I$300,6,FALSE)="Yes",AG16*3*10^Z16,AG16*(2*3)*10^(Z16-1)),0)</f>
        <v>6</v>
      </c>
      <c r="K16" s="38">
        <f>J16+IF(ISNUMBER(I16),I16,
  SWITCH(
      I16,
      "1T",1*10^Z16,
      "2T",2*10^Z16,
      "3T",3*10^Z16,
      "4T",4*10^Z16,
      "4000+500(7O-5)",4000+500*(7*I17-5),
      1
  )
)</f>
        <v>4006</v>
      </c>
      <c r="L16" s="38">
        <f>IF(VLOOKUP(H16,'Machine List'!$A$1:$I$300,5,FALSE)="Multi",IF(VLOOKUP(H16,'Machine List'!$A$1:$I$300,6,FALSE)="Yes",AU16*3*10^AT16,AU16*(2*3)*10^(AT16-1)),0)</f>
        <v>6000</v>
      </c>
      <c r="M16" s="38">
        <f>L16+IF(ISNUMBER(I16),I16,
  SWITCH(
      I16,
      "1T",1*10^AT16,
      "2T",2*10^AT16,
      "3T",3*10^AT16,
      "4T",4*10^AT16,
      "4000+500(7O-5)",4000+500*(7*I17-5),
      1
  )
)</f>
        <v>10000</v>
      </c>
      <c r="N16" s="38" t="str">
        <f>VLOOKUP(H16,'Machine List'!$A$1:$I$300,8,FALSE)</f>
        <v>Tier</v>
      </c>
      <c r="O16" s="38">
        <f>IF(ISNUMBER(N16),N16,10^Z16)</f>
        <v>10</v>
      </c>
      <c r="P16" s="38">
        <f>IF(ISNUMBER(N16),N16,10^AT16)</f>
        <v>10000</v>
      </c>
      <c r="Q16" s="38">
        <f>VLOOKUP(H16,'Machine List'!$A$1:$B$138,2,FALSE)</f>
        <v>1</v>
      </c>
      <c r="R16" s="38" t="s">
        <v>594</v>
      </c>
      <c r="S16" s="45">
        <f>IF(ISNUMBER(Q16),Q16,
  SWITCH(
      Q16,
      "1",1,
      "2T",Z16*2,
      "4T",Z16*4,
      "6T",Z16*6,
      "8T",Z16*8,
      "10T",Z16*10,
      "12T",Z16*12,
      "14T",Z16*14,
      "16T",Z16*16,
      "2(T+1)",2*(Z16+1),
      "1T*C",Z16*J18,
      1
  )
)</f>
        <v>1</v>
      </c>
      <c r="T16" s="38" t="s">
        <v>277</v>
      </c>
      <c r="U16" s="38">
        <f>IF(OR(T16="No",T16=""),S16,T16)</f>
        <v>1</v>
      </c>
      <c r="V16" s="38">
        <f>IF(ISNUMBER(Q16),Q16,
  SWITCH(
      Q16,
      "1",1,
      "2T",AT16*2,
      "4T",AT16*4,
      "6T",AT16*6,
      "8T",AT16*8,
      "10T",AT16*10,
      "12T",AT16*12,
      "14T",AT16*14,
      "16T",AT16*16,
      "2(T+1)",2*(AT16+1),
      "1T*C",AT16*J18,
      1
  )
)</f>
        <v>1</v>
      </c>
      <c r="W16" s="38" t="str">
        <f>T16</f>
        <v>No</v>
      </c>
      <c r="X16" s="38">
        <f>IF(OR(W16="No",W16=""),V16,W16)</f>
        <v>1</v>
      </c>
      <c r="Y16" s="38" t="s">
        <v>390</v>
      </c>
      <c r="Z16" s="38">
        <f>VLOOKUP(Y16,'Item Helper Sheet'!$A$2:$B$16,2,FALSE)</f>
        <v>1</v>
      </c>
      <c r="AA16" s="38">
        <v>30.0</v>
      </c>
      <c r="AB16" s="38">
        <f>8*20</f>
        <v>160</v>
      </c>
      <c r="AC16" s="38">
        <f>AB16*I18</f>
        <v>1440</v>
      </c>
      <c r="AD16" s="38">
        <f>AA16*AC16</f>
        <v>43200</v>
      </c>
      <c r="AE16" s="75"/>
      <c r="AF16" s="38" t="str">
        <f>Y16</f>
        <v>01 - LV</v>
      </c>
      <c r="AG16" s="38">
        <v>1.0</v>
      </c>
      <c r="AH16" s="38">
        <v>1.0</v>
      </c>
      <c r="AI16" s="38">
        <f>AH16*8*4^Z16</f>
        <v>32</v>
      </c>
      <c r="AJ16" s="38">
        <f>MIN(ROUNDDOWN(AI16/AL16,0),U16)</f>
        <v>1</v>
      </c>
      <c r="AK16" s="38">
        <f>IF(OR(T16="No",T16=""),AG16*S16,AG16*T16)</f>
        <v>1</v>
      </c>
      <c r="AL16" s="38">
        <f>ROUNDUP(AA16*VLOOKUP(H16,'Machine List'!$A$2:$D$219,4,FALSE),0)</f>
        <v>30</v>
      </c>
      <c r="AM16" s="38">
        <f>AL16*AK16</f>
        <v>30</v>
      </c>
      <c r="AN16" s="38">
        <f>ROUNDUP(AB16*I18,0)</f>
        <v>1440</v>
      </c>
      <c r="AO16" s="38">
        <f>ROUNDUP(AN16/VLOOKUP(H16,'Machine List'!$A$2:$D$219,3,FALSE),0)</f>
        <v>1440</v>
      </c>
      <c r="AP16" s="38">
        <f>ROUNDUP(AO16/AK16,0)</f>
        <v>1440</v>
      </c>
      <c r="AQ16" s="38">
        <f>AM16*AP16</f>
        <v>43200</v>
      </c>
      <c r="AR16" s="75"/>
      <c r="AS16" s="38" t="s">
        <v>401</v>
      </c>
      <c r="AT16" s="38">
        <f>VLOOKUP(AS16,'Item Helper Sheet'!$A$2:$B$16,2,FALSE)</f>
        <v>4</v>
      </c>
      <c r="AU16" s="38">
        <f>AG16</f>
        <v>1</v>
      </c>
      <c r="AV16" s="38">
        <v>1.0</v>
      </c>
      <c r="AW16" s="38">
        <f>AV16*8*4^AT16</f>
        <v>2048</v>
      </c>
      <c r="AX16" s="38">
        <f>MIN(ROUNDDOWN(AW16/AL16,0),X16)</f>
        <v>1</v>
      </c>
      <c r="AY16" s="38">
        <f>AX16*AU16</f>
        <v>1</v>
      </c>
      <c r="AZ16" s="38">
        <f>AL16</f>
        <v>30</v>
      </c>
      <c r="BA16" s="38">
        <f>MIN(AT16-Z16,IF(AW16&gt;=AZ17*4,
IF(AW16&gt;=AZ17*4^2,
IF(AW16&gt;=AZ17*4^3,
IF(AW16&gt;=AZ17*4^4,
IF(AW16&gt;=AZ17*4^5,
IF(AW16&gt;=AZ17*4^6,
IF(AW16&gt;=AZ17*4^7,
IF(AW16&gt;=AZ17*4^8,
IF(AW16&gt;=AZ17*4^9,
IF(AW16&gt;=AZ17*4^10,
9),
8),
7),
6),
5),
4),
3),
2),
1),
0))</f>
        <v>3</v>
      </c>
      <c r="BB16" s="38">
        <f>AZ16*AX16*4^BA16</f>
        <v>1920</v>
      </c>
      <c r="BC16" s="38">
        <f>BB16*AU16</f>
        <v>1920</v>
      </c>
      <c r="BD16" s="45">
        <f>ROUNDUP(IF(R16="Yes",AN16/(2^((BA16)*2)),AN16/(2^(BA16))),0)</f>
        <v>23</v>
      </c>
      <c r="BE16" s="45">
        <f>ROUNDUP(BD16/VLOOKUP(H16,'Machine List'!$A$2:$D$219,3,FALSE),0)</f>
        <v>23</v>
      </c>
      <c r="BF16" s="45">
        <f>ROUNDUP(BE16/AY16,0)</f>
        <v>23</v>
      </c>
      <c r="BG16" s="46">
        <f>BF16*BC16</f>
        <v>44160</v>
      </c>
      <c r="BI16" s="28"/>
      <c r="BQ16" s="6" t="s">
        <v>78</v>
      </c>
      <c r="BR16" s="6">
        <v>0.0</v>
      </c>
      <c r="BS16" s="6">
        <f>VLOOKUP(BQ16,'Item List'!$A$2:$D$300,2,FALSE)</f>
        <v>3</v>
      </c>
      <c r="BT16" s="6">
        <f>VLOOKUP(BQ16,'Item List'!$A$2:$D$300,3,FALSE)</f>
        <v>3</v>
      </c>
      <c r="BU16" s="6">
        <f>VLOOKUP(BQ16,'Item List'!$A$2:$D$300,4,FALSE)</f>
        <v>2</v>
      </c>
      <c r="BY16" s="6">
        <f t="shared" si="6"/>
        <v>352000</v>
      </c>
      <c r="BZ16" s="6">
        <f t="shared" si="7"/>
        <v>1</v>
      </c>
      <c r="CA16" s="102">
        <f t="shared" si="8"/>
        <v>266.6666667</v>
      </c>
      <c r="CB16" s="102">
        <f t="shared" si="9"/>
        <v>6017.094017</v>
      </c>
      <c r="CC16" s="102">
        <f t="shared" si="10"/>
        <v>1000</v>
      </c>
      <c r="CE16" s="5">
        <f>SUM(BX28:BX46)</f>
        <v>129710</v>
      </c>
      <c r="CF16" s="5">
        <f>SUM(CB28:CB46)</f>
        <v>1591502</v>
      </c>
    </row>
    <row r="17">
      <c r="A17" s="29"/>
      <c r="B17" s="40"/>
      <c r="C17" s="41" t="s">
        <v>231</v>
      </c>
      <c r="D17" s="38">
        <f>12000*I18</f>
        <v>108000</v>
      </c>
      <c r="E17" s="38" t="s">
        <v>124</v>
      </c>
      <c r="F17" s="42">
        <f>12000*I18</f>
        <v>108000</v>
      </c>
      <c r="G17" s="43"/>
      <c r="H17" s="99" t="s">
        <v>584</v>
      </c>
      <c r="I17" s="45">
        <f t="array" ref="I17">match(TRUE,ISBLANK(F17:F29),0)-1</f>
        <v>2</v>
      </c>
      <c r="J17" s="100" t="s">
        <v>420</v>
      </c>
      <c r="K17" s="100" t="s">
        <v>585</v>
      </c>
      <c r="L17" s="38"/>
      <c r="M17" s="38"/>
      <c r="N17" s="38"/>
      <c r="O17" s="38"/>
      <c r="P17" s="38"/>
      <c r="Q17" s="38"/>
      <c r="R17" s="101"/>
      <c r="S17" s="101"/>
      <c r="T17" s="101"/>
      <c r="U17" s="45"/>
      <c r="V17" s="45"/>
      <c r="W17" s="45"/>
      <c r="X17" s="45"/>
      <c r="Y17" s="45"/>
      <c r="Z17" s="45"/>
      <c r="AA17" s="45"/>
      <c r="AB17" s="45"/>
      <c r="AC17" s="45"/>
      <c r="AD17" s="45"/>
      <c r="AE17" s="79"/>
      <c r="AF17" s="45"/>
      <c r="AG17" s="45"/>
      <c r="AH17" s="45"/>
      <c r="AI17" s="45"/>
      <c r="AJ17" s="45"/>
      <c r="AK17" s="45"/>
      <c r="AL17" s="45"/>
      <c r="AM17" s="45"/>
      <c r="AN17" s="45"/>
      <c r="AO17" s="45"/>
      <c r="AP17" s="45"/>
      <c r="AQ17" s="45"/>
      <c r="AR17" s="79"/>
      <c r="AS17" s="45"/>
      <c r="AT17" s="45"/>
      <c r="AU17" s="45"/>
      <c r="AV17" s="45"/>
      <c r="AW17" s="45"/>
      <c r="AX17" s="45"/>
      <c r="AY17" s="45"/>
      <c r="AZ17" s="45">
        <f>AZ16*AX16</f>
        <v>30</v>
      </c>
      <c r="BA17" s="45"/>
      <c r="BB17" s="45"/>
      <c r="BC17" s="45"/>
      <c r="BD17" s="45"/>
      <c r="BE17" s="45"/>
      <c r="BF17" s="45"/>
      <c r="BG17" s="46"/>
      <c r="BI17" s="28"/>
      <c r="BQ17" s="6" t="s">
        <v>81</v>
      </c>
      <c r="BR17" s="6">
        <v>2000.0</v>
      </c>
      <c r="BS17" s="6">
        <f>VLOOKUP(BQ17,'Item List'!$A$2:$D$300,2,FALSE)</f>
        <v>1</v>
      </c>
      <c r="BT17" s="6">
        <f>VLOOKUP(BQ17,'Item List'!$A$2:$D$300,3,FALSE)</f>
        <v>4</v>
      </c>
      <c r="BU17" s="6">
        <f>VLOOKUP(BQ17,'Item List'!$A$2:$D$300,4,FALSE)</f>
        <v>2</v>
      </c>
      <c r="BY17" s="6">
        <f t="shared" si="6"/>
        <v>61000</v>
      </c>
      <c r="BZ17" s="6">
        <f t="shared" si="7"/>
        <v>0.1732954545</v>
      </c>
      <c r="CA17" s="102">
        <f t="shared" si="8"/>
        <v>46.21212121</v>
      </c>
      <c r="CB17" s="102">
        <f t="shared" si="9"/>
        <v>1042.735043</v>
      </c>
      <c r="CC17" s="102">
        <f t="shared" si="10"/>
        <v>173.2954545</v>
      </c>
      <c r="CE17" s="98" t="s">
        <v>600</v>
      </c>
      <c r="CF17" s="98" t="s">
        <v>600</v>
      </c>
    </row>
    <row r="18">
      <c r="A18" s="29"/>
      <c r="B18" s="40"/>
      <c r="C18" s="41" t="s">
        <v>87</v>
      </c>
      <c r="D18" s="38">
        <f>2000*I18</f>
        <v>18000</v>
      </c>
      <c r="E18" s="38" t="s">
        <v>88</v>
      </c>
      <c r="F18" s="42">
        <f>1000*I18</f>
        <v>9000</v>
      </c>
      <c r="G18" s="43"/>
      <c r="H18" s="56" t="s">
        <v>502</v>
      </c>
      <c r="I18" s="57">
        <v>9.0</v>
      </c>
      <c r="J18" s="100" t="s">
        <v>424</v>
      </c>
      <c r="K18" s="100">
        <v>0.0</v>
      </c>
      <c r="L18" s="45"/>
      <c r="M18" s="45"/>
      <c r="N18" s="45"/>
      <c r="O18" s="45"/>
      <c r="P18" s="45"/>
      <c r="Q18" s="45"/>
      <c r="R18" s="45"/>
      <c r="S18" s="101"/>
      <c r="T18" s="101"/>
      <c r="U18" s="45"/>
      <c r="V18" s="45"/>
      <c r="W18" s="45"/>
      <c r="X18" s="45"/>
      <c r="Y18" s="45"/>
      <c r="Z18" s="45"/>
      <c r="AA18" s="45"/>
      <c r="AB18" s="45"/>
      <c r="AC18" s="45"/>
      <c r="AD18" s="45"/>
      <c r="AE18" s="79"/>
      <c r="AF18" s="45"/>
      <c r="AG18" s="45"/>
      <c r="AH18" s="45"/>
      <c r="AI18" s="45"/>
      <c r="AJ18" s="45"/>
      <c r="AK18" s="45"/>
      <c r="AL18" s="45"/>
      <c r="AM18" s="45"/>
      <c r="AN18" s="45"/>
      <c r="AO18" s="45"/>
      <c r="AP18" s="45"/>
      <c r="AQ18" s="45"/>
      <c r="AR18" s="79"/>
      <c r="AS18" s="45"/>
      <c r="AT18" s="45"/>
      <c r="AU18" s="45"/>
      <c r="AV18" s="45"/>
      <c r="AW18" s="45"/>
      <c r="AX18" s="45"/>
      <c r="AY18" s="45"/>
      <c r="AZ18" s="45"/>
      <c r="BA18" s="45"/>
      <c r="BB18" s="45"/>
      <c r="BC18" s="45"/>
      <c r="BD18" s="45"/>
      <c r="BE18" s="45"/>
      <c r="BF18" s="45"/>
      <c r="BG18" s="46"/>
      <c r="BI18" s="28"/>
      <c r="BQ18" s="6" t="s">
        <v>83</v>
      </c>
      <c r="BR18" s="6">
        <v>352000.0</v>
      </c>
      <c r="BS18" s="6">
        <f>VLOOKUP(BQ18,'Item List'!$A$2:$D$300,2,FALSE)</f>
        <v>4</v>
      </c>
      <c r="BT18" s="6">
        <f>VLOOKUP(BQ18,'Item List'!$A$2:$D$300,3,FALSE)</f>
        <v>3</v>
      </c>
      <c r="BU18" s="6">
        <f>VLOOKUP(BQ18,'Item List'!$A$2:$D$300,4,FALSE)</f>
        <v>3</v>
      </c>
      <c r="BY18" s="6">
        <f t="shared" si="6"/>
        <v>44000</v>
      </c>
      <c r="BZ18" s="6">
        <f t="shared" si="7"/>
        <v>0.125</v>
      </c>
      <c r="CA18" s="102">
        <f t="shared" si="8"/>
        <v>33.33333333</v>
      </c>
      <c r="CB18" s="102">
        <f t="shared" si="9"/>
        <v>752.1367521</v>
      </c>
      <c r="CC18" s="102">
        <f t="shared" si="10"/>
        <v>125</v>
      </c>
      <c r="CE18" s="5">
        <f>BY48</f>
        <v>1000</v>
      </c>
      <c r="CF18" s="5">
        <f>CC48</f>
        <v>100000</v>
      </c>
    </row>
    <row r="19">
      <c r="A19" s="29"/>
      <c r="B19" s="50"/>
      <c r="C19" s="51"/>
      <c r="D19" s="52"/>
      <c r="E19" s="52"/>
      <c r="F19" s="52"/>
      <c r="G19" s="43"/>
      <c r="H19" s="52"/>
      <c r="I19" s="52"/>
      <c r="J19" s="52"/>
      <c r="K19" s="52"/>
      <c r="L19" s="52"/>
      <c r="M19" s="52"/>
      <c r="N19" s="52"/>
      <c r="O19" s="52"/>
      <c r="P19" s="52"/>
      <c r="Q19" s="52"/>
      <c r="R19" s="52"/>
      <c r="S19" s="52"/>
      <c r="T19" s="52"/>
      <c r="U19" s="52"/>
      <c r="V19" s="52"/>
      <c r="W19" s="52"/>
      <c r="X19" s="52"/>
      <c r="Y19" s="52"/>
      <c r="Z19" s="52"/>
      <c r="AA19" s="52"/>
      <c r="AB19" s="52"/>
      <c r="AC19" s="52"/>
      <c r="AD19" s="52"/>
      <c r="AE19" s="43"/>
      <c r="AF19" s="52"/>
      <c r="AG19" s="52"/>
      <c r="AH19" s="52"/>
      <c r="AI19" s="52"/>
      <c r="AJ19" s="52"/>
      <c r="AK19" s="52"/>
      <c r="AL19" s="52"/>
      <c r="AM19" s="52"/>
      <c r="AN19" s="52"/>
      <c r="AO19" s="52"/>
      <c r="AP19" s="52"/>
      <c r="AQ19" s="52"/>
      <c r="AR19" s="43"/>
      <c r="AS19" s="52"/>
      <c r="AT19" s="52"/>
      <c r="AU19" s="52"/>
      <c r="AV19" s="52"/>
      <c r="AW19" s="52"/>
      <c r="AX19" s="52"/>
      <c r="AY19" s="52"/>
      <c r="AZ19" s="52"/>
      <c r="BA19" s="52"/>
      <c r="BB19" s="52"/>
      <c r="BC19" s="52"/>
      <c r="BD19" s="52"/>
      <c r="BE19" s="52"/>
      <c r="BF19" s="52"/>
      <c r="BG19" s="53"/>
      <c r="BI19" s="28"/>
      <c r="BQ19" s="6" t="s">
        <v>87</v>
      </c>
      <c r="BR19" s="6">
        <v>-847600.0</v>
      </c>
      <c r="BS19" s="6">
        <f>VLOOKUP(BQ19,'Item List'!$A$2:$D$300,2,FALSE)</f>
        <v>1</v>
      </c>
      <c r="BT19" s="6">
        <f>VLOOKUP(BQ19,'Item List'!$A$2:$D$300,3,FALSE)</f>
        <v>4</v>
      </c>
      <c r="BU19" s="6">
        <f>VLOOKUP(BQ19,'Item List'!$A$2:$D$300,4,FALSE)</f>
        <v>1</v>
      </c>
      <c r="BY19" s="6">
        <f t="shared" si="6"/>
        <v>30250</v>
      </c>
      <c r="BZ19" s="6">
        <f t="shared" si="7"/>
        <v>0.0859375</v>
      </c>
      <c r="CA19" s="102">
        <f t="shared" si="8"/>
        <v>22.91666667</v>
      </c>
      <c r="CB19" s="102">
        <f t="shared" si="9"/>
        <v>517.0940171</v>
      </c>
      <c r="CC19" s="102">
        <f t="shared" si="10"/>
        <v>85.9375</v>
      </c>
    </row>
    <row r="20">
      <c r="A20" s="29"/>
      <c r="B20" s="31" t="s">
        <v>601</v>
      </c>
      <c r="C20" s="54"/>
      <c r="D20" s="45"/>
      <c r="E20" s="45"/>
      <c r="F20" s="47"/>
      <c r="G20" s="35"/>
      <c r="H20" s="55" t="s">
        <v>349</v>
      </c>
      <c r="I20" s="38">
        <f>VLOOKUP(H20,'Machine List'!$A$1:$I$300,9,FALSE)</f>
        <v>4000</v>
      </c>
      <c r="J20" s="38">
        <f>IF(VLOOKUP(H20,'Machine List'!$A$1:$I$300,5,FALSE)="Multi",IF(VLOOKUP(H20,'Machine List'!$A$1:$I$300,6,FALSE)="Yes",AG20*3*10^Z20,AG20*(2*3)*10^(Z20-1)),0)</f>
        <v>6</v>
      </c>
      <c r="K20" s="38">
        <f>J20+IF(ISNUMBER(I20),I20,
  SWITCH(
      I20,
      "1T",1*10^Z20,
      "2T",2*10^Z20,
      "3T",3*10^Z20,
      "4T",4*10^Z20,
      "4000+500(7O-5)",4000+500*(7*I21-5),
      1
  )
)</f>
        <v>4006</v>
      </c>
      <c r="L20" s="38">
        <f>IF(VLOOKUP(H20,'Machine List'!$A$1:$I$300,5,FALSE)="Multi",IF(VLOOKUP(H20,'Machine List'!$A$1:$I$300,6,FALSE)="Yes",AU20*3*10^AT20,AU20*(2*3)*10^(AT20-1)),0)</f>
        <v>6000</v>
      </c>
      <c r="M20" s="38">
        <f>L20+IF(ISNUMBER(I20),I20,
  SWITCH(
      I20,
      "1T",1*10^AT20,
      "2T",2*10^AT20,
      "3T",3*10^AT20,
      "4T",4*10^AT20,
      "4000+500(7O-5)",4000+500*(7*I21-5),
      1
  )
)</f>
        <v>10000</v>
      </c>
      <c r="N20" s="38" t="str">
        <f>VLOOKUP(H20,'Machine List'!$A$1:$I$300,8,FALSE)</f>
        <v>Tier</v>
      </c>
      <c r="O20" s="38">
        <f>IF(ISNUMBER(N20),N20,10^Z20)</f>
        <v>10</v>
      </c>
      <c r="P20" s="38">
        <f>IF(ISNUMBER(N20),N20,10^AT20)</f>
        <v>10000</v>
      </c>
      <c r="Q20" s="38">
        <f>VLOOKUP(H20,'Machine List'!$A$1:$B$138,2,FALSE)</f>
        <v>1</v>
      </c>
      <c r="R20" s="38" t="s">
        <v>594</v>
      </c>
      <c r="S20" s="45">
        <f>IF(ISNUMBER(Q20),Q20,
  SWITCH(
      Q20,
      "1",1,
      "2T",Z20*2,
      "4T",Z20*4,
      "6T",Z20*6,
      "8T",Z20*8,
      "10T",Z20*10,
      "12T",Z20*12,
      "14T",Z20*14,
      "16T",Z20*16,
      "2(T+1)",2*(Z20+1),
      "1T*C",Z20*J22,
      1
  )
)</f>
        <v>1</v>
      </c>
      <c r="T20" s="38" t="s">
        <v>277</v>
      </c>
      <c r="U20" s="38">
        <f>IF(OR(T20="No",T20=""),S20,T20)</f>
        <v>1</v>
      </c>
      <c r="V20" s="38">
        <f>IF(ISNUMBER(Q20),Q20,
  SWITCH(
      Q20,
      "1",1,
      "2T",AT20*2,
      "4T",AT20*4,
      "6T",AT20*6,
      "8T",AT20*8,
      "10T",AT20*10,
      "12T",AT20*12,
      "14T",AT20*14,
      "16T",AT20*16,
      "2(T+1)",2*(AT20+1),
      "1T*C",AT20*J22,
      1
  )
)</f>
        <v>1</v>
      </c>
      <c r="W20" s="38" t="str">
        <f>T20</f>
        <v>No</v>
      </c>
      <c r="X20" s="38">
        <f>IF(OR(W20="No",W20=""),V20,W20)</f>
        <v>1</v>
      </c>
      <c r="Y20" s="38" t="s">
        <v>390</v>
      </c>
      <c r="Z20" s="38">
        <f>VLOOKUP(Y20,'Item Helper Sheet'!$A$2:$B$16,2,FALSE)</f>
        <v>1</v>
      </c>
      <c r="AA20" s="38">
        <v>30.0</v>
      </c>
      <c r="AB20" s="38">
        <f>8*20</f>
        <v>160</v>
      </c>
      <c r="AC20" s="38">
        <f>AB20*I22</f>
        <v>3520</v>
      </c>
      <c r="AD20" s="38">
        <f>AA20*AC20</f>
        <v>105600</v>
      </c>
      <c r="AE20" s="75"/>
      <c r="AF20" s="38" t="str">
        <f>Y20</f>
        <v>01 - LV</v>
      </c>
      <c r="AG20" s="38">
        <v>1.0</v>
      </c>
      <c r="AH20" s="38">
        <v>1.0</v>
      </c>
      <c r="AI20" s="38">
        <f>AH20*8*4^Z20</f>
        <v>32</v>
      </c>
      <c r="AJ20" s="38">
        <f>MIN(ROUNDDOWN(AI20/AL20,0),U20)</f>
        <v>1</v>
      </c>
      <c r="AK20" s="38">
        <f>IF(OR(T20="No",T20=""),AG20*S20,AG20*T20)</f>
        <v>1</v>
      </c>
      <c r="AL20" s="38">
        <f>ROUNDUP(AA20*VLOOKUP(H20,'Machine List'!$A$2:$D$219,4,FALSE),0)</f>
        <v>30</v>
      </c>
      <c r="AM20" s="38">
        <f>AL20*AK20</f>
        <v>30</v>
      </c>
      <c r="AN20" s="38">
        <f>ROUNDUP(AB20*I22,0)</f>
        <v>3520</v>
      </c>
      <c r="AO20" s="38">
        <f>ROUNDUP(AN20/VLOOKUP(H20,'Machine List'!$A$2:$D$219,3,FALSE),0)</f>
        <v>3520</v>
      </c>
      <c r="AP20" s="38">
        <f>ROUNDUP(AO20/AK20,0)</f>
        <v>3520</v>
      </c>
      <c r="AQ20" s="38">
        <f>AM20*AP20</f>
        <v>105600</v>
      </c>
      <c r="AR20" s="75"/>
      <c r="AS20" s="38" t="s">
        <v>401</v>
      </c>
      <c r="AT20" s="38">
        <f>VLOOKUP(AS20,'Item Helper Sheet'!$A$2:$B$16,2,FALSE)</f>
        <v>4</v>
      </c>
      <c r="AU20" s="38">
        <f>AG20</f>
        <v>1</v>
      </c>
      <c r="AV20" s="38">
        <v>1.0</v>
      </c>
      <c r="AW20" s="38">
        <f>AV20*8*4^AT20</f>
        <v>2048</v>
      </c>
      <c r="AX20" s="38">
        <f>MIN(ROUNDDOWN(AW20/AL20,0),X20)</f>
        <v>1</v>
      </c>
      <c r="AY20" s="38">
        <f>AX20*AU20</f>
        <v>1</v>
      </c>
      <c r="AZ20" s="38">
        <f>AL20</f>
        <v>30</v>
      </c>
      <c r="BA20" s="38">
        <f>MIN(AT20-Z20,IF(AW20&gt;=AZ21*4,
IF(AW20&gt;=AZ21*4^2,
IF(AW20&gt;=AZ21*4^3,
IF(AW20&gt;=AZ21*4^4,
IF(AW20&gt;=AZ21*4^5,
IF(AW20&gt;=AZ21*4^6,
IF(AW20&gt;=AZ21*4^7,
IF(AW20&gt;=AZ21*4^8,
IF(AW20&gt;=AZ21*4^9,
IF(AW20&gt;=AZ21*4^10,
9),
8),
7),
6),
5),
4),
3),
2),
1),
0))</f>
        <v>3</v>
      </c>
      <c r="BB20" s="38">
        <f>AZ20*AX20*4^BA20</f>
        <v>1920</v>
      </c>
      <c r="BC20" s="38">
        <f>BB20*AU20</f>
        <v>1920</v>
      </c>
      <c r="BD20" s="45">
        <f>ROUNDUP(IF(R20="Yes",AN20/(2^((BA20)*2)),AN20/(2^(BA20))),0)</f>
        <v>55</v>
      </c>
      <c r="BE20" s="45">
        <f>ROUNDUP(BD20/VLOOKUP(H20,'Machine List'!$A$2:$D$219,3,FALSE),0)</f>
        <v>55</v>
      </c>
      <c r="BF20" s="45">
        <f>ROUNDUP(BE20/AY20,0)</f>
        <v>55</v>
      </c>
      <c r="BG20" s="46">
        <f>BF20*BC20</f>
        <v>105600</v>
      </c>
      <c r="BI20" s="28"/>
      <c r="BQ20" s="6" t="s">
        <v>88</v>
      </c>
      <c r="BR20" s="6">
        <v>61000.0</v>
      </c>
      <c r="BS20" s="6">
        <f>VLOOKUP(BQ20,'Item List'!$A$2:$D$300,2,FALSE)</f>
        <v>1</v>
      </c>
      <c r="BT20" s="6">
        <f>VLOOKUP(BQ20,'Item List'!$A$2:$D$300,3,FALSE)</f>
        <v>4</v>
      </c>
      <c r="BU20" s="6">
        <f>VLOOKUP(BQ20,'Item List'!$A$2:$D$300,4,FALSE)</f>
        <v>2</v>
      </c>
      <c r="BY20" s="6">
        <f t="shared" si="6"/>
        <v>113000</v>
      </c>
      <c r="BZ20" s="6">
        <f t="shared" si="7"/>
        <v>0.3210227273</v>
      </c>
      <c r="CA20" s="102">
        <f t="shared" si="8"/>
        <v>85.60606061</v>
      </c>
      <c r="CB20" s="102">
        <f t="shared" si="9"/>
        <v>1931.623932</v>
      </c>
      <c r="CC20" s="102">
        <f t="shared" si="10"/>
        <v>321.0227273</v>
      </c>
      <c r="CE20" s="98" t="s">
        <v>602</v>
      </c>
      <c r="CF20" s="98" t="s">
        <v>583</v>
      </c>
      <c r="CG20" s="98" t="s">
        <v>603</v>
      </c>
      <c r="CH20" s="98" t="s">
        <v>604</v>
      </c>
    </row>
    <row r="21">
      <c r="A21" s="29"/>
      <c r="B21" s="40"/>
      <c r="C21" s="41" t="s">
        <v>230</v>
      </c>
      <c r="D21" s="38">
        <f>12000*I22</f>
        <v>264000</v>
      </c>
      <c r="E21" s="38" t="s">
        <v>106</v>
      </c>
      <c r="F21" s="42">
        <f>12000*I22</f>
        <v>264000</v>
      </c>
      <c r="G21" s="43"/>
      <c r="H21" s="99" t="s">
        <v>584</v>
      </c>
      <c r="I21" s="45">
        <f t="array" ref="I21">match(TRUE,ISBLANK(F21:F33),0)-1</f>
        <v>2</v>
      </c>
      <c r="J21" s="100" t="s">
        <v>420</v>
      </c>
      <c r="K21" s="100" t="s">
        <v>585</v>
      </c>
      <c r="L21" s="38"/>
      <c r="M21" s="38"/>
      <c r="N21" s="38"/>
      <c r="O21" s="38"/>
      <c r="P21" s="38"/>
      <c r="Q21" s="38"/>
      <c r="R21" s="101"/>
      <c r="S21" s="101"/>
      <c r="T21" s="101"/>
      <c r="U21" s="45"/>
      <c r="V21" s="45"/>
      <c r="W21" s="45"/>
      <c r="X21" s="45"/>
      <c r="Y21" s="45"/>
      <c r="Z21" s="45"/>
      <c r="AA21" s="45"/>
      <c r="AB21" s="45"/>
      <c r="AC21" s="45"/>
      <c r="AD21" s="45"/>
      <c r="AE21" s="79"/>
      <c r="AF21" s="45"/>
      <c r="AG21" s="45"/>
      <c r="AH21" s="45"/>
      <c r="AI21" s="45"/>
      <c r="AJ21" s="45"/>
      <c r="AK21" s="45"/>
      <c r="AL21" s="45"/>
      <c r="AM21" s="45"/>
      <c r="AN21" s="45"/>
      <c r="AO21" s="45"/>
      <c r="AP21" s="45"/>
      <c r="AQ21" s="45"/>
      <c r="AR21" s="79"/>
      <c r="AS21" s="45"/>
      <c r="AT21" s="45"/>
      <c r="AU21" s="45"/>
      <c r="AV21" s="45"/>
      <c r="AW21" s="45"/>
      <c r="AX21" s="45"/>
      <c r="AY21" s="45"/>
      <c r="AZ21" s="45">
        <f>AZ20*AX20</f>
        <v>30</v>
      </c>
      <c r="BA21" s="45"/>
      <c r="BB21" s="45"/>
      <c r="BC21" s="45"/>
      <c r="BD21" s="45"/>
      <c r="BE21" s="45"/>
      <c r="BF21" s="45"/>
      <c r="BG21" s="46"/>
      <c r="BI21" s="28"/>
      <c r="BQ21" s="6" t="s">
        <v>104</v>
      </c>
      <c r="BR21" s="6">
        <v>0.0</v>
      </c>
      <c r="BS21" s="6">
        <f>VLOOKUP(BQ21,'Item List'!$A$2:$D$300,2,FALSE)</f>
        <v>1</v>
      </c>
      <c r="BT21" s="6">
        <f>VLOOKUP(BQ21,'Item List'!$A$2:$D$300,3,FALSE)</f>
        <v>3</v>
      </c>
      <c r="BU21" s="6">
        <f>VLOOKUP(BQ21,'Item List'!$A$2:$D$300,4,FALSE)</f>
        <v>2</v>
      </c>
      <c r="BY21" s="6">
        <f t="shared" si="6"/>
        <v>47300</v>
      </c>
      <c r="BZ21" s="6">
        <f t="shared" si="7"/>
        <v>0.134375</v>
      </c>
      <c r="CA21" s="102">
        <f t="shared" si="8"/>
        <v>35.83333333</v>
      </c>
      <c r="CB21" s="102">
        <f t="shared" si="9"/>
        <v>808.5470085</v>
      </c>
      <c r="CC21" s="102">
        <f t="shared" si="10"/>
        <v>134.375</v>
      </c>
      <c r="CE21" s="5" t="str">
        <f t="shared" ref="CE21:CF21" si="11">CE6</f>
        <v>High Octane Gasoline</v>
      </c>
      <c r="CF21" s="5">
        <f t="shared" si="11"/>
        <v>352000</v>
      </c>
      <c r="CG21" s="4">
        <v>2500.0</v>
      </c>
      <c r="CH21" s="109">
        <v>1.5</v>
      </c>
    </row>
    <row r="22">
      <c r="A22" s="29"/>
      <c r="B22" s="40"/>
      <c r="C22" s="41" t="s">
        <v>87</v>
      </c>
      <c r="D22" s="38">
        <f>2000*I22</f>
        <v>44000</v>
      </c>
      <c r="E22" s="38" t="s">
        <v>88</v>
      </c>
      <c r="F22" s="42">
        <f>1000*I22</f>
        <v>22000</v>
      </c>
      <c r="G22" s="43"/>
      <c r="H22" s="56" t="s">
        <v>502</v>
      </c>
      <c r="I22" s="57">
        <v>22.0</v>
      </c>
      <c r="J22" s="100" t="s">
        <v>424</v>
      </c>
      <c r="K22" s="100">
        <v>0.0</v>
      </c>
      <c r="L22" s="45"/>
      <c r="M22" s="45"/>
      <c r="N22" s="45"/>
      <c r="O22" s="45"/>
      <c r="P22" s="45"/>
      <c r="Q22" s="45"/>
      <c r="R22" s="45"/>
      <c r="S22" s="101"/>
      <c r="T22" s="101"/>
      <c r="U22" s="45"/>
      <c r="V22" s="45"/>
      <c r="W22" s="45"/>
      <c r="X22" s="45"/>
      <c r="Y22" s="45"/>
      <c r="Z22" s="45"/>
      <c r="AA22" s="45"/>
      <c r="AB22" s="45"/>
      <c r="AC22" s="45"/>
      <c r="AD22" s="45"/>
      <c r="AE22" s="79"/>
      <c r="AF22" s="45"/>
      <c r="AG22" s="45"/>
      <c r="AH22" s="45"/>
      <c r="AI22" s="45"/>
      <c r="AJ22" s="45"/>
      <c r="AK22" s="45"/>
      <c r="AL22" s="45"/>
      <c r="AM22" s="45"/>
      <c r="AN22" s="45"/>
      <c r="AO22" s="45"/>
      <c r="AP22" s="45"/>
      <c r="AQ22" s="45"/>
      <c r="AR22" s="79"/>
      <c r="AS22" s="45"/>
      <c r="AT22" s="45"/>
      <c r="AU22" s="45"/>
      <c r="AV22" s="45"/>
      <c r="AW22" s="45"/>
      <c r="AX22" s="45"/>
      <c r="AY22" s="45"/>
      <c r="AZ22" s="45"/>
      <c r="BA22" s="45"/>
      <c r="BB22" s="45"/>
      <c r="BC22" s="45"/>
      <c r="BD22" s="45"/>
      <c r="BE22" s="45"/>
      <c r="BF22" s="45"/>
      <c r="BG22" s="46"/>
      <c r="BI22" s="28"/>
      <c r="BQ22" s="6" t="s">
        <v>105</v>
      </c>
      <c r="BR22" s="6">
        <v>0.0</v>
      </c>
      <c r="BS22" s="6">
        <f>VLOOKUP(BQ22,'Item List'!$A$2:$D$300,2,FALSE)</f>
        <v>1</v>
      </c>
      <c r="BT22" s="6">
        <f>VLOOKUP(BQ22,'Item List'!$A$2:$D$300,3,FALSE)</f>
        <v>3</v>
      </c>
      <c r="BU22" s="6">
        <f>VLOOKUP(BQ22,'Item List'!$A$2:$D$300,4,FALSE)</f>
        <v>2</v>
      </c>
      <c r="BY22" s="6">
        <f t="shared" si="6"/>
        <v>300000</v>
      </c>
      <c r="BZ22" s="6">
        <f t="shared" si="7"/>
        <v>0.8522727273</v>
      </c>
      <c r="CA22" s="102">
        <f t="shared" si="8"/>
        <v>227.2727273</v>
      </c>
      <c r="CB22" s="102">
        <f t="shared" si="9"/>
        <v>5128.205128</v>
      </c>
      <c r="CC22" s="102">
        <f t="shared" si="10"/>
        <v>852.2727273</v>
      </c>
      <c r="CD22" s="102"/>
      <c r="CH22" s="5"/>
    </row>
    <row r="23">
      <c r="A23" s="29"/>
      <c r="B23" s="50"/>
      <c r="C23" s="51"/>
      <c r="D23" s="52"/>
      <c r="E23" s="52"/>
      <c r="F23" s="52"/>
      <c r="G23" s="43"/>
      <c r="H23" s="52"/>
      <c r="I23" s="52"/>
      <c r="J23" s="52"/>
      <c r="K23" s="52"/>
      <c r="L23" s="52"/>
      <c r="M23" s="52"/>
      <c r="N23" s="52"/>
      <c r="O23" s="52"/>
      <c r="P23" s="52"/>
      <c r="Q23" s="52"/>
      <c r="R23" s="52"/>
      <c r="S23" s="52"/>
      <c r="T23" s="52"/>
      <c r="U23" s="52"/>
      <c r="V23" s="52"/>
      <c r="W23" s="52"/>
      <c r="X23" s="52"/>
      <c r="Y23" s="52"/>
      <c r="Z23" s="52"/>
      <c r="AA23" s="52"/>
      <c r="AB23" s="52"/>
      <c r="AC23" s="52"/>
      <c r="AD23" s="52"/>
      <c r="AE23" s="43"/>
      <c r="AF23" s="52"/>
      <c r="AG23" s="52"/>
      <c r="AH23" s="52"/>
      <c r="AI23" s="52"/>
      <c r="AJ23" s="52"/>
      <c r="AK23" s="52"/>
      <c r="AL23" s="52"/>
      <c r="AM23" s="52"/>
      <c r="AN23" s="52"/>
      <c r="AO23" s="52"/>
      <c r="AP23" s="52"/>
      <c r="AQ23" s="52"/>
      <c r="AR23" s="43"/>
      <c r="AS23" s="52"/>
      <c r="AT23" s="52"/>
      <c r="AU23" s="52"/>
      <c r="AV23" s="52"/>
      <c r="AW23" s="52"/>
      <c r="AX23" s="52"/>
      <c r="AY23" s="52"/>
      <c r="AZ23" s="52"/>
      <c r="BA23" s="52"/>
      <c r="BB23" s="52"/>
      <c r="BC23" s="52"/>
      <c r="BD23" s="52"/>
      <c r="BE23" s="52"/>
      <c r="BF23" s="52"/>
      <c r="BG23" s="53"/>
      <c r="BI23" s="28"/>
      <c r="BQ23" s="6" t="s">
        <v>106</v>
      </c>
      <c r="BR23" s="6">
        <v>44000.0</v>
      </c>
      <c r="BS23" s="6">
        <f>VLOOKUP(BQ23,'Item List'!$A$2:$D$300,2,FALSE)</f>
        <v>1</v>
      </c>
      <c r="BT23" s="6">
        <f>VLOOKUP(BQ23,'Item List'!$A$2:$D$300,3,FALSE)</f>
        <v>4</v>
      </c>
      <c r="BU23" s="6">
        <f>VLOOKUP(BQ23,'Item List'!$A$2:$D$300,4,FALSE)</f>
        <v>2</v>
      </c>
      <c r="CA23" s="102"/>
      <c r="CB23" s="102"/>
      <c r="CC23" s="102"/>
      <c r="CE23" s="98" t="s">
        <v>608</v>
      </c>
      <c r="CF23" s="98" t="s">
        <v>609</v>
      </c>
      <c r="CG23" s="98" t="s">
        <v>610</v>
      </c>
      <c r="CH23" s="5"/>
    </row>
    <row r="24">
      <c r="A24" s="29"/>
      <c r="B24" s="31" t="s">
        <v>611</v>
      </c>
      <c r="C24" s="54"/>
      <c r="D24" s="45"/>
      <c r="E24" s="45"/>
      <c r="F24" s="47"/>
      <c r="G24" s="35"/>
      <c r="H24" s="55" t="s">
        <v>349</v>
      </c>
      <c r="I24" s="38">
        <f>VLOOKUP(H24,'Machine List'!$A$1:$I$300,9,FALSE)</f>
        <v>4000</v>
      </c>
      <c r="J24" s="38">
        <f>IF(VLOOKUP(H24,'Machine List'!$A$1:$I$300,5,FALSE)="Multi",IF(VLOOKUP(H24,'Machine List'!$A$1:$I$300,6,FALSE)="Yes",AG24*3*10^Z24,AG24*(2*3)*10^(Z24-1)),0)</f>
        <v>6</v>
      </c>
      <c r="K24" s="38">
        <f>J24+IF(ISNUMBER(I24),I24,
  SWITCH(
      I24,
      "1T",1*10^Z24,
      "2T",2*10^Z24,
      "3T",3*10^Z24,
      "4T",4*10^Z24,
      "4000+500(7O-5)",4000+500*(7*I25-5),
      1
  )
)</f>
        <v>4006</v>
      </c>
      <c r="L24" s="38">
        <f>IF(VLOOKUP(H24,'Machine List'!$A$1:$I$300,5,FALSE)="Multi",IF(VLOOKUP(H24,'Machine List'!$A$1:$I$300,6,FALSE)="Yes",AU24*3*10^AT24,AU24*(2*3)*10^(AT24-1)),0)</f>
        <v>6000</v>
      </c>
      <c r="M24" s="38">
        <f>L24+IF(ISNUMBER(I24),I24,
  SWITCH(
      I24,
      "1T",1*10^AT24,
      "2T",2*10^AT24,
      "3T",3*10^AT24,
      "4T",4*10^AT24,
      "4000+500(7O-5)",4000+500*(7*I25-5),
      1
  )
)</f>
        <v>10000</v>
      </c>
      <c r="N24" s="38" t="str">
        <f>VLOOKUP(H24,'Machine List'!$A$1:$I$300,8,FALSE)</f>
        <v>Tier</v>
      </c>
      <c r="O24" s="38">
        <f>IF(ISNUMBER(N24),N24,10^Z24)</f>
        <v>10</v>
      </c>
      <c r="P24" s="38">
        <f>IF(ISNUMBER(N24),N24,10^AT24)</f>
        <v>10000</v>
      </c>
      <c r="Q24" s="38">
        <f>VLOOKUP(H24,'Machine List'!$A$1:$B$138,2,FALSE)</f>
        <v>1</v>
      </c>
      <c r="R24" s="38" t="s">
        <v>594</v>
      </c>
      <c r="S24" s="45">
        <f>IF(ISNUMBER(Q24),Q24,
  SWITCH(
      Q24,
      "1",1,
      "2T",Z24*2,
      "4T",Z24*4,
      "6T",Z24*6,
      "8T",Z24*8,
      "10T",Z24*10,
      "12T",Z24*12,
      "14T",Z24*14,
      "16T",Z24*16,
      "2(T+1)",2*(Z24+1),
      "1T*C",Z24*J26,
      1
  )
)</f>
        <v>1</v>
      </c>
      <c r="T24" s="38" t="s">
        <v>277</v>
      </c>
      <c r="U24" s="38">
        <f>IF(OR(T24="No",T24=""),S24,T24)</f>
        <v>1</v>
      </c>
      <c r="V24" s="38">
        <f>IF(ISNUMBER(Q24),Q24,
  SWITCH(
      Q24,
      "1",1,
      "2T",AT24*2,
      "4T",AT24*4,
      "6T",AT24*6,
      "8T",AT24*8,
      "10T",AT24*10,
      "12T",AT24*12,
      "14T",AT24*14,
      "16T",AT24*16,
      "2(T+1)",2*(AT24+1),
      "1T*C",AT24*J26,
      1
  )
)</f>
        <v>1</v>
      </c>
      <c r="W24" s="38" t="str">
        <f>T24</f>
        <v>No</v>
      </c>
      <c r="X24" s="38">
        <f>IF(OR(W24="No",W24=""),V24,W24)</f>
        <v>1</v>
      </c>
      <c r="Y24" s="38" t="s">
        <v>390</v>
      </c>
      <c r="Z24" s="38">
        <f>VLOOKUP(Y24,'Item Helper Sheet'!$A$2:$B$16,2,FALSE)</f>
        <v>1</v>
      </c>
      <c r="AA24" s="38">
        <v>30.0</v>
      </c>
      <c r="AB24" s="38">
        <f>8*20</f>
        <v>160</v>
      </c>
      <c r="AC24" s="38">
        <f>AB24*I26</f>
        <v>1600</v>
      </c>
      <c r="AD24" s="38">
        <f>AA24*AC24</f>
        <v>48000</v>
      </c>
      <c r="AE24" s="75"/>
      <c r="AF24" s="38" t="str">
        <f>Y24</f>
        <v>01 - LV</v>
      </c>
      <c r="AG24" s="38">
        <v>1.0</v>
      </c>
      <c r="AH24" s="38">
        <v>1.0</v>
      </c>
      <c r="AI24" s="38">
        <f>AH24*8*4^Z24</f>
        <v>32</v>
      </c>
      <c r="AJ24" s="38">
        <f>MIN(ROUNDDOWN(AI24/AL24,0),U24)</f>
        <v>1</v>
      </c>
      <c r="AK24" s="38">
        <f>IF(OR(T24="No",T24=""),AG24*S24,AG24*T24)</f>
        <v>1</v>
      </c>
      <c r="AL24" s="38">
        <f>ROUNDUP(AA24*VLOOKUP(H24,'Machine List'!$A$2:$D$219,4,FALSE),0)</f>
        <v>30</v>
      </c>
      <c r="AM24" s="38">
        <f>AL24*AK24</f>
        <v>30</v>
      </c>
      <c r="AN24" s="38">
        <f>ROUNDUP(AB24*I26,0)</f>
        <v>1600</v>
      </c>
      <c r="AO24" s="38">
        <f>ROUNDUP(AN24/VLOOKUP(H24,'Machine List'!$A$2:$D$219,3,FALSE),0)</f>
        <v>1600</v>
      </c>
      <c r="AP24" s="38">
        <f>ROUNDUP(AO24/AK24,0)</f>
        <v>1600</v>
      </c>
      <c r="AQ24" s="38">
        <f>AM24*AP24</f>
        <v>48000</v>
      </c>
      <c r="AR24" s="75"/>
      <c r="AS24" s="38" t="s">
        <v>401</v>
      </c>
      <c r="AT24" s="38">
        <f>VLOOKUP(AS24,'Item Helper Sheet'!$A$2:$B$16,2,FALSE)</f>
        <v>4</v>
      </c>
      <c r="AU24" s="38">
        <f>AG24</f>
        <v>1</v>
      </c>
      <c r="AV24" s="38">
        <v>1.0</v>
      </c>
      <c r="AW24" s="38">
        <f>AV24*8*4^AT24</f>
        <v>2048</v>
      </c>
      <c r="AX24" s="38">
        <f>MIN(ROUNDDOWN(AW24/AL24,0),X24)</f>
        <v>1</v>
      </c>
      <c r="AY24" s="38">
        <f>AX24*AU24</f>
        <v>1</v>
      </c>
      <c r="AZ24" s="38">
        <f>AL24</f>
        <v>30</v>
      </c>
      <c r="BA24" s="38">
        <f>MIN(AT24-Z24,IF(AW24&gt;=AZ25*4,
IF(AW24&gt;=AZ25*4^2,
IF(AW24&gt;=AZ25*4^3,
IF(AW24&gt;=AZ25*4^4,
IF(AW24&gt;=AZ25*4^5,
IF(AW24&gt;=AZ25*4^6,
IF(AW24&gt;=AZ25*4^7,
IF(AW24&gt;=AZ25*4^8,
IF(AW24&gt;=AZ25*4^9,
IF(AW24&gt;=AZ25*4^10,
9),
8),
7),
6),
5),
4),
3),
2),
1),
0))</f>
        <v>3</v>
      </c>
      <c r="BB24" s="38">
        <f>AZ24*AX24*4^BA24</f>
        <v>1920</v>
      </c>
      <c r="BC24" s="38">
        <f>BB24*AU24</f>
        <v>1920</v>
      </c>
      <c r="BD24" s="45">
        <f>ROUNDUP(IF(R24="Yes",AN24/(2^((BA24)*2)),AN24/(2^(BA24))),0)</f>
        <v>25</v>
      </c>
      <c r="BE24" s="45">
        <f>ROUNDUP(BD24/VLOOKUP(H24,'Machine List'!$A$2:$D$219,3,FALSE),0)</f>
        <v>25</v>
      </c>
      <c r="BF24" s="45">
        <f>ROUNDUP(BE24/AY24,0)</f>
        <v>25</v>
      </c>
      <c r="BG24" s="46">
        <f>BF24*BC24</f>
        <v>48000</v>
      </c>
      <c r="BI24" s="28"/>
      <c r="BQ24" s="6" t="s">
        <v>118</v>
      </c>
      <c r="BR24" s="6">
        <v>30250.0</v>
      </c>
      <c r="BS24" s="6">
        <f>VLOOKUP(BQ24,'Item List'!$A$2:$D$300,2,FALSE)</f>
        <v>1</v>
      </c>
      <c r="BT24" s="6">
        <f>VLOOKUP(BQ24,'Item List'!$A$2:$D$300,3,FALSE)</f>
        <v>4</v>
      </c>
      <c r="BU24" s="6">
        <f>VLOOKUP(BQ24,'Item List'!$A$2:$D$300,4,FALSE)</f>
        <v>2</v>
      </c>
      <c r="CA24" s="102"/>
      <c r="CB24" s="102"/>
      <c r="CC24" s="102"/>
      <c r="CE24" s="5">
        <f>CF21*CG21*CH21</f>
        <v>1320000000</v>
      </c>
      <c r="CF24" s="5">
        <f>BM70</f>
        <v>54651648</v>
      </c>
      <c r="CG24" s="110">
        <f>1-(CF24/CE24)</f>
        <v>0.9585972364</v>
      </c>
      <c r="CH24" s="5"/>
    </row>
    <row r="25">
      <c r="A25" s="29"/>
      <c r="B25" s="40"/>
      <c r="C25" s="41" t="s">
        <v>229</v>
      </c>
      <c r="D25" s="38">
        <f>8000*I26</f>
        <v>80000</v>
      </c>
      <c r="E25" s="38" t="s">
        <v>81</v>
      </c>
      <c r="F25" s="42">
        <f>8000*I26</f>
        <v>80000</v>
      </c>
      <c r="G25" s="43"/>
      <c r="H25" s="99" t="s">
        <v>584</v>
      </c>
      <c r="I25" s="45">
        <f t="array" ref="I25">match(TRUE,ISBLANK(F25:F37),0)-1</f>
        <v>2</v>
      </c>
      <c r="J25" s="100" t="s">
        <v>420</v>
      </c>
      <c r="K25" s="100" t="s">
        <v>585</v>
      </c>
      <c r="L25" s="38"/>
      <c r="M25" s="38"/>
      <c r="N25" s="38"/>
      <c r="O25" s="38"/>
      <c r="P25" s="38"/>
      <c r="Q25" s="38"/>
      <c r="R25" s="101"/>
      <c r="S25" s="101"/>
      <c r="T25" s="101"/>
      <c r="U25" s="45"/>
      <c r="V25" s="45"/>
      <c r="W25" s="45"/>
      <c r="X25" s="45"/>
      <c r="Y25" s="45"/>
      <c r="Z25" s="45"/>
      <c r="AA25" s="45"/>
      <c r="AB25" s="45"/>
      <c r="AC25" s="45"/>
      <c r="AD25" s="45"/>
      <c r="AE25" s="79"/>
      <c r="AF25" s="45"/>
      <c r="AG25" s="45"/>
      <c r="AH25" s="45"/>
      <c r="AI25" s="45"/>
      <c r="AJ25" s="45"/>
      <c r="AK25" s="45"/>
      <c r="AL25" s="45"/>
      <c r="AM25" s="45"/>
      <c r="AN25" s="45"/>
      <c r="AO25" s="45"/>
      <c r="AP25" s="45"/>
      <c r="AQ25" s="45"/>
      <c r="AR25" s="79"/>
      <c r="AS25" s="45"/>
      <c r="AT25" s="45"/>
      <c r="AU25" s="45"/>
      <c r="AV25" s="45"/>
      <c r="AW25" s="45"/>
      <c r="AX25" s="45"/>
      <c r="AY25" s="45"/>
      <c r="AZ25" s="45">
        <f>AZ24*AX24</f>
        <v>30</v>
      </c>
      <c r="BA25" s="45"/>
      <c r="BB25" s="45"/>
      <c r="BC25" s="45"/>
      <c r="BD25" s="45"/>
      <c r="BE25" s="45"/>
      <c r="BF25" s="45"/>
      <c r="BG25" s="46"/>
      <c r="BI25" s="28"/>
      <c r="BQ25" s="6" t="s">
        <v>119</v>
      </c>
      <c r="BR25" s="6">
        <v>500.0</v>
      </c>
      <c r="BS25" s="6">
        <f>VLOOKUP(BQ25,'Item List'!$A$2:$D$300,2,FALSE)</f>
        <v>1</v>
      </c>
      <c r="BT25" s="6">
        <f>VLOOKUP(BQ25,'Item List'!$A$2:$D$300,3,FALSE)</f>
        <v>3</v>
      </c>
      <c r="BU25" s="6">
        <f>VLOOKUP(BQ25,'Item List'!$A$2:$D$300,4,FALSE)</f>
        <v>2</v>
      </c>
      <c r="CH25" s="5"/>
    </row>
    <row r="26">
      <c r="A26" s="29"/>
      <c r="B26" s="40"/>
      <c r="C26" s="41" t="s">
        <v>87</v>
      </c>
      <c r="D26" s="38">
        <f>2000*I26</f>
        <v>20000</v>
      </c>
      <c r="E26" s="38" t="s">
        <v>88</v>
      </c>
      <c r="F26" s="42">
        <f>1000*I26</f>
        <v>10000</v>
      </c>
      <c r="G26" s="43"/>
      <c r="H26" s="56" t="s">
        <v>502</v>
      </c>
      <c r="I26" s="57">
        <v>10.0</v>
      </c>
      <c r="J26" s="100" t="s">
        <v>424</v>
      </c>
      <c r="K26" s="100">
        <v>0.0</v>
      </c>
      <c r="L26" s="45"/>
      <c r="M26" s="45"/>
      <c r="N26" s="45"/>
      <c r="O26" s="45"/>
      <c r="P26" s="45"/>
      <c r="Q26" s="45"/>
      <c r="R26" s="45"/>
      <c r="S26" s="101"/>
      <c r="T26" s="101"/>
      <c r="U26" s="45"/>
      <c r="V26" s="45"/>
      <c r="W26" s="45"/>
      <c r="X26" s="45"/>
      <c r="Y26" s="45"/>
      <c r="Z26" s="45"/>
      <c r="AA26" s="45"/>
      <c r="AB26" s="45"/>
      <c r="AC26" s="45"/>
      <c r="AD26" s="45"/>
      <c r="AE26" s="79"/>
      <c r="AF26" s="45"/>
      <c r="AG26" s="45"/>
      <c r="AH26" s="45"/>
      <c r="AI26" s="45"/>
      <c r="AJ26" s="45"/>
      <c r="AK26" s="45"/>
      <c r="AL26" s="45"/>
      <c r="AM26" s="45"/>
      <c r="AN26" s="45"/>
      <c r="AO26" s="45"/>
      <c r="AP26" s="45"/>
      <c r="AQ26" s="45"/>
      <c r="AR26" s="79"/>
      <c r="AS26" s="45"/>
      <c r="AT26" s="45"/>
      <c r="AU26" s="45"/>
      <c r="AV26" s="45"/>
      <c r="AW26" s="45"/>
      <c r="AX26" s="45"/>
      <c r="AY26" s="45"/>
      <c r="AZ26" s="45"/>
      <c r="BA26" s="45"/>
      <c r="BB26" s="45"/>
      <c r="BC26" s="45"/>
      <c r="BD26" s="45"/>
      <c r="BE26" s="45"/>
      <c r="BF26" s="45"/>
      <c r="BG26" s="46"/>
      <c r="BI26" s="28"/>
      <c r="BQ26" s="6" t="s">
        <v>121</v>
      </c>
      <c r="BR26" s="6">
        <v>300.0</v>
      </c>
      <c r="BS26" s="6">
        <f>VLOOKUP(BQ26,'Item List'!$A$2:$D$300,2,FALSE)</f>
        <v>3</v>
      </c>
      <c r="BT26" s="6">
        <f>VLOOKUP(BQ26,'Item List'!$A$2:$D$300,3,FALSE)</f>
        <v>3</v>
      </c>
      <c r="BU26" s="6">
        <f>VLOOKUP(BQ26,'Item List'!$A$2:$D$300,4,FALSE)</f>
        <v>3</v>
      </c>
      <c r="CE26" s="98" t="s">
        <v>612</v>
      </c>
      <c r="CF26" s="98" t="s">
        <v>613</v>
      </c>
      <c r="CG26" s="98" t="s">
        <v>614</v>
      </c>
    </row>
    <row r="27">
      <c r="B27" s="50"/>
      <c r="C27" s="51"/>
      <c r="D27" s="52"/>
      <c r="E27" s="52"/>
      <c r="F27" s="52"/>
      <c r="G27" s="43"/>
      <c r="H27" s="52"/>
      <c r="I27" s="52"/>
      <c r="J27" s="52"/>
      <c r="K27" s="52"/>
      <c r="L27" s="52"/>
      <c r="M27" s="52"/>
      <c r="N27" s="52"/>
      <c r="O27" s="52"/>
      <c r="P27" s="52"/>
      <c r="Q27" s="52"/>
      <c r="R27" s="52"/>
      <c r="S27" s="52"/>
      <c r="T27" s="52"/>
      <c r="U27" s="52"/>
      <c r="V27" s="52"/>
      <c r="W27" s="52"/>
      <c r="X27" s="52"/>
      <c r="Y27" s="52"/>
      <c r="Z27" s="52"/>
      <c r="AA27" s="52"/>
      <c r="AB27" s="52"/>
      <c r="AC27" s="52"/>
      <c r="AD27" s="52"/>
      <c r="AE27" s="43"/>
      <c r="AF27" s="52"/>
      <c r="AG27" s="52"/>
      <c r="AH27" s="52"/>
      <c r="AI27" s="52"/>
      <c r="AJ27" s="52"/>
      <c r="AK27" s="52"/>
      <c r="AL27" s="52"/>
      <c r="AM27" s="52"/>
      <c r="AN27" s="52"/>
      <c r="AO27" s="52"/>
      <c r="AP27" s="52"/>
      <c r="AQ27" s="52"/>
      <c r="AR27" s="43"/>
      <c r="AS27" s="52"/>
      <c r="AT27" s="52"/>
      <c r="AU27" s="52"/>
      <c r="AV27" s="52"/>
      <c r="AW27" s="52"/>
      <c r="AX27" s="52"/>
      <c r="AY27" s="52"/>
      <c r="AZ27" s="52"/>
      <c r="BA27" s="52"/>
      <c r="BB27" s="52"/>
      <c r="BC27" s="52"/>
      <c r="BD27" s="52"/>
      <c r="BE27" s="52"/>
      <c r="BF27" s="52"/>
      <c r="BG27" s="53"/>
      <c r="BI27" s="28"/>
      <c r="BQ27" s="6" t="s">
        <v>124</v>
      </c>
      <c r="BR27" s="6">
        <v>113000.0</v>
      </c>
      <c r="BS27" s="6">
        <f>VLOOKUP(BQ27,'Item List'!$A$2:$D$300,2,FALSE)</f>
        <v>1</v>
      </c>
      <c r="BT27" s="6">
        <f>VLOOKUP(BQ27,'Item List'!$A$2:$D$300,3,FALSE)</f>
        <v>4</v>
      </c>
      <c r="BU27" s="6">
        <f>VLOOKUP(BQ27,'Item List'!$A$2:$D$300,4,FALSE)</f>
        <v>2</v>
      </c>
      <c r="BW27" s="6" t="s">
        <v>457</v>
      </c>
      <c r="BX27" s="6" t="s">
        <v>607</v>
      </c>
      <c r="BY27" s="6" t="s">
        <v>545</v>
      </c>
      <c r="CA27" s="6" t="s">
        <v>457</v>
      </c>
      <c r="CB27" s="6" t="s">
        <v>620</v>
      </c>
      <c r="CC27" s="6" t="s">
        <v>546</v>
      </c>
      <c r="CE27" s="5">
        <f>CE24-CF24</f>
        <v>1265348352</v>
      </c>
      <c r="CF27" s="5">
        <f>BP71</f>
        <v>1170</v>
      </c>
      <c r="CG27" s="5">
        <f>CE27/CF27</f>
        <v>1081494.318</v>
      </c>
    </row>
    <row r="28">
      <c r="B28" s="31" t="s">
        <v>658</v>
      </c>
      <c r="C28" s="54"/>
      <c r="D28" s="45"/>
      <c r="E28" s="45"/>
      <c r="F28" s="47"/>
      <c r="G28" s="35"/>
      <c r="H28" s="55" t="s">
        <v>357</v>
      </c>
      <c r="I28" s="38" t="str">
        <f>VLOOKUP(H28,'Machine List'!$A$1:$I$300,9,FALSE)</f>
        <v>13500 + 16C</v>
      </c>
      <c r="J28" s="38">
        <f>IF(VLOOKUP(H28,'Machine List'!$A$1:$I$300,5,FALSE)="Multi",IF(VLOOKUP(H28,'Machine List'!$A$1:$I$300,6,FALSE)="Yes",AG28*3*10^Z28,AG28*(2*3)*10^(Z28-1)),0)</f>
        <v>6</v>
      </c>
      <c r="K28" s="38">
        <f>J28+IF(ISNUMBER(I28),I28,
  SWITCH(
      I28,
      "1T",1*10^Z28,
      "2T",2*10^Z28,
      "3T",3*10^Z28,
      "4T",4*10^Z28,
      "4000+500(7O-5)",4000+500*(7*I29-5),
      1
  )
)</f>
        <v>7</v>
      </c>
      <c r="L28" s="38">
        <f>IF(VLOOKUP(H28,'Machine List'!$A$1:$I$300,5,FALSE)="Multi",IF(VLOOKUP(H28,'Machine List'!$A$1:$I$300,6,FALSE)="Yes",AU28*3*10^AT28,AU28*(2*3)*10^(AT28-1)),0)</f>
        <v>60000</v>
      </c>
      <c r="M28" s="38">
        <f>L28+IF(ISNUMBER(I28),I28,
  SWITCH(
      I28,
      "1T",1*10^AT28,
      "2T",2*10^AT28,
      "3T",3*10^AT28,
      "4T",4*10^AT28,
      "4000+500(7O-5)",4000+500*(7*I29-5),
      1
  )
)</f>
        <v>60001</v>
      </c>
      <c r="N28" s="38" t="str">
        <f>VLOOKUP(H28,'Machine List'!$A$1:$I$300,8,FALSE)</f>
        <v>Tier</v>
      </c>
      <c r="O28" s="38">
        <f>IF(ISNUMBER(N28),N28,10^Z28)</f>
        <v>10</v>
      </c>
      <c r="P28" s="38">
        <f>IF(ISNUMBER(N28),N28,10^AT28)</f>
        <v>100000</v>
      </c>
      <c r="Q28" s="38">
        <f>VLOOKUP(H28,'Machine List'!$A$1:$B$138,2,FALSE)</f>
        <v>1</v>
      </c>
      <c r="R28" s="38" t="s">
        <v>277</v>
      </c>
      <c r="S28" s="45">
        <f>IF(ISNUMBER(Q28),Q28,
  SWITCH(
      Q28,
      "1",1,
      "2T",Z28*2,
      "4T",Z28*4,
      "6T",Z28*6,
      "8T",Z28*8,
      "10T",Z28*10,
      "12T",Z28*12,
      "14T",Z28*14,
      "16T",Z28*16,
      "2(T+1)",2*(Z28+1),
      "1T*C",Z28*J30,
      1
  )
)</f>
        <v>1</v>
      </c>
      <c r="T28" s="38" t="s">
        <v>277</v>
      </c>
      <c r="U28" s="38">
        <f>IF(OR(T28="No",T28=""),S28,T28)</f>
        <v>1</v>
      </c>
      <c r="V28" s="38">
        <f>IF(ISNUMBER(Q28),Q28,
  SWITCH(
      Q28,
      "1",1,
      "2T",AT28*2,
      "4T",AT28*4,
      "6T",AT28*6,
      "8T",AT28*8,
      "10T",AT28*10,
      "12T",AT28*12,
      "14T",AT28*14,
      "16T",AT28*16,
      "2(T+1)",2*(AT28+1),
      "1T*C",AT28*J30,
      1
  )
)</f>
        <v>1</v>
      </c>
      <c r="W28" s="38" t="str">
        <f>T28</f>
        <v>No</v>
      </c>
      <c r="X28" s="38">
        <f>IF(OR(W28="No",W28=""),V28,W28)</f>
        <v>1</v>
      </c>
      <c r="Y28" s="38" t="s">
        <v>390</v>
      </c>
      <c r="Z28" s="38">
        <f>VLOOKUP(Y28,'Item Helper Sheet'!$A$2:$B$16,2,FALSE)</f>
        <v>1</v>
      </c>
      <c r="AA28" s="38">
        <v>240.0</v>
      </c>
      <c r="AB28" s="38">
        <f>1*20</f>
        <v>20</v>
      </c>
      <c r="AC28" s="38">
        <f>AB28*I30</f>
        <v>4400</v>
      </c>
      <c r="AD28" s="38">
        <f>AA28*AC28</f>
        <v>1056000</v>
      </c>
      <c r="AE28" s="75"/>
      <c r="AF28" s="38" t="str">
        <f>Y28</f>
        <v>01 - LV</v>
      </c>
      <c r="AG28" s="38">
        <v>1.0</v>
      </c>
      <c r="AH28" s="38">
        <v>1.0</v>
      </c>
      <c r="AI28" s="38">
        <f>AH28*8*4^Z28</f>
        <v>32</v>
      </c>
      <c r="AJ28" s="38">
        <f>MIN(ROUNDDOWN(AI28/AL28,0),U28)</f>
        <v>0</v>
      </c>
      <c r="AK28" s="38">
        <f>IF(OR(T28="No",T28=""),AG28*S28,AG28*T28)</f>
        <v>1</v>
      </c>
      <c r="AL28" s="38">
        <f>ROUNDUP(AA28*VLOOKUP(H28,'Machine List'!$A$2:$D$219,4,FALSE),0)</f>
        <v>240</v>
      </c>
      <c r="AM28" s="38">
        <f>AL28*AK28</f>
        <v>240</v>
      </c>
      <c r="AN28" s="38">
        <f>ROUNDUP(AB28*I30,0)</f>
        <v>4400</v>
      </c>
      <c r="AO28" s="38">
        <f>ROUNDUP(AN28/VLOOKUP(H28,'Machine List'!$A$2:$D$219,3,FALSE),0)</f>
        <v>4400</v>
      </c>
      <c r="AP28" s="38">
        <f>ROUNDUP(AO28/AK28,0)</f>
        <v>4400</v>
      </c>
      <c r="AQ28" s="38">
        <f>AM28*AP28</f>
        <v>1056000</v>
      </c>
      <c r="AR28" s="75"/>
      <c r="AS28" s="38" t="s">
        <v>405</v>
      </c>
      <c r="AT28" s="38">
        <f>VLOOKUP(AS28,'Item Helper Sheet'!$A$2:$B$16,2,FALSE)</f>
        <v>5</v>
      </c>
      <c r="AU28" s="38">
        <f>AG28</f>
        <v>1</v>
      </c>
      <c r="AV28" s="38">
        <v>1.0</v>
      </c>
      <c r="AW28" s="38">
        <f>AV28*8*4^AT28</f>
        <v>8192</v>
      </c>
      <c r="AX28" s="38">
        <f>MIN(ROUNDDOWN(AW28/AL28,0),X28)</f>
        <v>1</v>
      </c>
      <c r="AY28" s="38">
        <f>AX28*AU28</f>
        <v>1</v>
      </c>
      <c r="AZ28" s="38">
        <f>AL28</f>
        <v>240</v>
      </c>
      <c r="BA28" s="38">
        <f>MIN(AT28-Z28,IF(AW28&gt;=AZ29*4,
IF(AW28&gt;=AZ29*4^2,
IF(AW28&gt;=AZ29*4^3,
IF(AW28&gt;=AZ29*4^4,
IF(AW28&gt;=AZ29*4^5,
IF(AW28&gt;=AZ29*4^6,
IF(AW28&gt;=AZ29*4^7,
IF(AW28&gt;=AZ29*4^8,
IF(AW28&gt;=AZ29*4^9,
IF(AW28&gt;=AZ29*4^10,
9),
8),
7),
6),
5),
4),
3),
2),
1),
0))</f>
        <v>2</v>
      </c>
      <c r="BB28" s="38">
        <f>AZ28*AX28*4^BA28</f>
        <v>3840</v>
      </c>
      <c r="BC28" s="38">
        <f>BB28*AU28</f>
        <v>3840</v>
      </c>
      <c r="BD28" s="45">
        <f>ROUNDUP(IF(R28="Yes",AN28/(2^((BA28)*2)),AN28/(2^(BA28))),0)</f>
        <v>1100</v>
      </c>
      <c r="BE28" s="45">
        <f>ROUNDUP(BD28/VLOOKUP(H28,'Machine List'!$A$2:$D$219,3,FALSE),0)</f>
        <v>1100</v>
      </c>
      <c r="BF28" s="45">
        <f>ROUNDUP(BE28/AY28,0)</f>
        <v>1100</v>
      </c>
      <c r="BG28" s="46">
        <f>BF28*BC28</f>
        <v>4224000</v>
      </c>
      <c r="BI28" s="28"/>
      <c r="BQ28" s="6" t="s">
        <v>125</v>
      </c>
      <c r="BR28" s="6">
        <v>13350.0</v>
      </c>
      <c r="BS28" s="6">
        <f>VLOOKUP(BQ28,'Item List'!$A$2:$D$300,2,FALSE)</f>
        <v>3</v>
      </c>
      <c r="BT28" s="6">
        <f>VLOOKUP(BQ28,'Item List'!$A$2:$D$300,3,FALSE)</f>
        <v>2</v>
      </c>
      <c r="BU28" s="6">
        <f>VLOOKUP(BQ28,'Item List'!$A$2:$D$300,4,FALSE)</f>
        <v>2</v>
      </c>
      <c r="BW28" s="6" t="s">
        <v>579</v>
      </c>
      <c r="BX28" s="6">
        <v>19600.0</v>
      </c>
      <c r="BY28" s="6">
        <v>1000.0</v>
      </c>
      <c r="CA28" s="6" t="s">
        <v>579</v>
      </c>
      <c r="CB28" s="6">
        <v>172000.0</v>
      </c>
      <c r="CC28" s="6">
        <v>10000.0</v>
      </c>
    </row>
    <row r="29">
      <c r="B29" s="40"/>
      <c r="C29" s="41" t="s">
        <v>106</v>
      </c>
      <c r="D29" s="38">
        <f>1000*I30</f>
        <v>220000</v>
      </c>
      <c r="E29" s="38" t="s">
        <v>104</v>
      </c>
      <c r="F29" s="42">
        <f>1000*I30</f>
        <v>220000</v>
      </c>
      <c r="G29" s="43"/>
      <c r="H29" s="99" t="s">
        <v>584</v>
      </c>
      <c r="I29" s="45">
        <f t="array" ref="I29">match(TRUE,ISBLANK(F29:F41),0)-1</f>
        <v>1</v>
      </c>
      <c r="J29" s="100" t="s">
        <v>420</v>
      </c>
      <c r="K29" s="100" t="s">
        <v>585</v>
      </c>
      <c r="L29" s="38"/>
      <c r="M29" s="38"/>
      <c r="N29" s="38"/>
      <c r="O29" s="38"/>
      <c r="P29" s="38"/>
      <c r="Q29" s="38"/>
      <c r="R29" s="101"/>
      <c r="S29" s="101"/>
      <c r="T29" s="101"/>
      <c r="U29" s="45"/>
      <c r="V29" s="45"/>
      <c r="W29" s="45"/>
      <c r="X29" s="45"/>
      <c r="Y29" s="45"/>
      <c r="Z29" s="45"/>
      <c r="AA29" s="45"/>
      <c r="AB29" s="45"/>
      <c r="AC29" s="45"/>
      <c r="AD29" s="45"/>
      <c r="AE29" s="79"/>
      <c r="AF29" s="45"/>
      <c r="AG29" s="45"/>
      <c r="AH29" s="45"/>
      <c r="AI29" s="45"/>
      <c r="AJ29" s="45"/>
      <c r="AK29" s="45"/>
      <c r="AL29" s="45"/>
      <c r="AM29" s="45"/>
      <c r="AN29" s="45"/>
      <c r="AO29" s="45"/>
      <c r="AP29" s="45"/>
      <c r="AQ29" s="45"/>
      <c r="AR29" s="79"/>
      <c r="AS29" s="45"/>
      <c r="AT29" s="45"/>
      <c r="AU29" s="45"/>
      <c r="AV29" s="45"/>
      <c r="AW29" s="45"/>
      <c r="AX29" s="45"/>
      <c r="AY29" s="45"/>
      <c r="AZ29" s="45">
        <f>AZ28*AX28</f>
        <v>240</v>
      </c>
      <c r="BA29" s="45"/>
      <c r="BB29" s="45"/>
      <c r="BC29" s="45"/>
      <c r="BD29" s="45"/>
      <c r="BE29" s="45"/>
      <c r="BF29" s="45"/>
      <c r="BG29" s="46"/>
      <c r="BI29" s="28"/>
      <c r="BQ29" s="6" t="s">
        <v>134</v>
      </c>
      <c r="BR29" s="6">
        <v>4000.0</v>
      </c>
      <c r="BS29" s="6">
        <f>VLOOKUP(BQ29,'Item List'!$A$2:$D$300,2,FALSE)</f>
        <v>3</v>
      </c>
      <c r="BT29" s="6">
        <f>VLOOKUP(BQ29,'Item List'!$A$2:$D$300,3,FALSE)</f>
        <v>3</v>
      </c>
      <c r="BU29" s="6">
        <f>VLOOKUP(BQ29,'Item List'!$A$2:$D$300,4,FALSE)</f>
        <v>2</v>
      </c>
      <c r="BW29" s="6" t="s">
        <v>593</v>
      </c>
      <c r="BX29" s="6">
        <v>4006.0</v>
      </c>
      <c r="BY29" s="6">
        <v>10.0</v>
      </c>
      <c r="CA29" s="6" t="s">
        <v>593</v>
      </c>
      <c r="CB29" s="6">
        <v>10000.0</v>
      </c>
      <c r="CC29" s="6">
        <v>10000.0</v>
      </c>
    </row>
    <row r="30">
      <c r="B30" s="40"/>
      <c r="C30" s="41" t="s">
        <v>87</v>
      </c>
      <c r="D30" s="38">
        <f>1600*I30</f>
        <v>352000</v>
      </c>
      <c r="E30" s="38"/>
      <c r="F30" s="42"/>
      <c r="G30" s="43"/>
      <c r="H30" s="56" t="s">
        <v>502</v>
      </c>
      <c r="I30" s="57">
        <v>220.0</v>
      </c>
      <c r="J30" s="100" t="s">
        <v>427</v>
      </c>
      <c r="K30" s="100">
        <v>0.0</v>
      </c>
      <c r="L30" s="45"/>
      <c r="M30" s="45"/>
      <c r="N30" s="45"/>
      <c r="O30" s="45"/>
      <c r="P30" s="45"/>
      <c r="Q30" s="45"/>
      <c r="R30" s="45"/>
      <c r="S30" s="101"/>
      <c r="T30" s="101"/>
      <c r="U30" s="45"/>
      <c r="V30" s="45"/>
      <c r="W30" s="45"/>
      <c r="X30" s="45"/>
      <c r="Y30" s="45"/>
      <c r="Z30" s="45"/>
      <c r="AA30" s="45"/>
      <c r="AB30" s="45"/>
      <c r="AC30" s="45"/>
      <c r="AD30" s="45"/>
      <c r="AE30" s="79"/>
      <c r="AF30" s="45"/>
      <c r="AG30" s="45"/>
      <c r="AH30" s="45"/>
      <c r="AI30" s="45"/>
      <c r="AJ30" s="45"/>
      <c r="AK30" s="45"/>
      <c r="AL30" s="45"/>
      <c r="AM30" s="45"/>
      <c r="AN30" s="45"/>
      <c r="AO30" s="45"/>
      <c r="AP30" s="45"/>
      <c r="AQ30" s="45"/>
      <c r="AR30" s="79"/>
      <c r="AS30" s="45"/>
      <c r="AT30" s="45"/>
      <c r="AU30" s="45"/>
      <c r="AV30" s="45"/>
      <c r="AW30" s="45"/>
      <c r="AX30" s="45"/>
      <c r="AY30" s="45"/>
      <c r="AZ30" s="45"/>
      <c r="BA30" s="45"/>
      <c r="BB30" s="45"/>
      <c r="BC30" s="45"/>
      <c r="BD30" s="45"/>
      <c r="BE30" s="45"/>
      <c r="BF30" s="45"/>
      <c r="BG30" s="46"/>
      <c r="BI30" s="28"/>
      <c r="BQ30" s="6" t="s">
        <v>137</v>
      </c>
      <c r="BR30" s="6">
        <v>0.0</v>
      </c>
      <c r="BS30" s="6">
        <f>VLOOKUP(BQ30,'Item List'!$A$2:$D$300,2,FALSE)</f>
        <v>1</v>
      </c>
      <c r="BT30" s="6">
        <f>VLOOKUP(BQ30,'Item List'!$A$2:$D$300,3,FALSE)</f>
        <v>3</v>
      </c>
      <c r="BU30" s="6">
        <f>VLOOKUP(BQ30,'Item List'!$A$2:$D$300,4,FALSE)</f>
        <v>2</v>
      </c>
      <c r="BW30" s="6" t="s">
        <v>599</v>
      </c>
      <c r="BX30" s="6">
        <v>4006.0</v>
      </c>
      <c r="BY30" s="6">
        <v>10.0</v>
      </c>
      <c r="CA30" s="6" t="s">
        <v>599</v>
      </c>
      <c r="CB30" s="6">
        <v>10000.0</v>
      </c>
      <c r="CC30" s="6">
        <v>10000.0</v>
      </c>
    </row>
    <row r="31">
      <c r="B31" s="50"/>
      <c r="C31" s="51"/>
      <c r="D31" s="52"/>
      <c r="E31" s="52"/>
      <c r="F31" s="52"/>
      <c r="G31" s="43"/>
      <c r="H31" s="52"/>
      <c r="I31" s="52"/>
      <c r="J31" s="52"/>
      <c r="K31" s="52"/>
      <c r="L31" s="52"/>
      <c r="M31" s="52"/>
      <c r="N31" s="52"/>
      <c r="O31" s="52"/>
      <c r="P31" s="52"/>
      <c r="Q31" s="52"/>
      <c r="R31" s="52"/>
      <c r="S31" s="52"/>
      <c r="T31" s="52"/>
      <c r="U31" s="52"/>
      <c r="V31" s="52"/>
      <c r="W31" s="52"/>
      <c r="X31" s="52"/>
      <c r="Y31" s="52"/>
      <c r="Z31" s="52"/>
      <c r="AA31" s="52"/>
      <c r="AB31" s="52"/>
      <c r="AC31" s="52"/>
      <c r="AD31" s="52"/>
      <c r="AE31" s="43"/>
      <c r="AF31" s="52"/>
      <c r="AG31" s="52"/>
      <c r="AH31" s="52"/>
      <c r="AI31" s="52"/>
      <c r="AJ31" s="52"/>
      <c r="AK31" s="52"/>
      <c r="AL31" s="52"/>
      <c r="AM31" s="52"/>
      <c r="AN31" s="52"/>
      <c r="AO31" s="52"/>
      <c r="AP31" s="52"/>
      <c r="AQ31" s="52"/>
      <c r="AR31" s="43"/>
      <c r="AS31" s="52"/>
      <c r="AT31" s="52"/>
      <c r="AU31" s="52"/>
      <c r="AV31" s="52"/>
      <c r="AW31" s="52"/>
      <c r="AX31" s="52"/>
      <c r="AY31" s="52"/>
      <c r="AZ31" s="52"/>
      <c r="BA31" s="52"/>
      <c r="BB31" s="52"/>
      <c r="BC31" s="52"/>
      <c r="BD31" s="52"/>
      <c r="BE31" s="52"/>
      <c r="BF31" s="52"/>
      <c r="BG31" s="53"/>
      <c r="BI31" s="28"/>
      <c r="BQ31" s="6" t="s">
        <v>138</v>
      </c>
      <c r="BR31" s="6">
        <v>-267000.0</v>
      </c>
      <c r="BS31" s="6">
        <f>VLOOKUP(BQ31,'Item List'!$A$2:$D$300,2,FALSE)</f>
        <v>1</v>
      </c>
      <c r="BT31" s="6">
        <f>VLOOKUP(BQ31,'Item List'!$A$2:$D$300,3,FALSE)</f>
        <v>4</v>
      </c>
      <c r="BU31" s="6">
        <f>VLOOKUP(BQ31,'Item List'!$A$2:$D$300,4,FALSE)</f>
        <v>1</v>
      </c>
      <c r="BW31" s="6" t="s">
        <v>601</v>
      </c>
      <c r="BX31" s="6">
        <v>4006.0</v>
      </c>
      <c r="BY31" s="6">
        <v>10.0</v>
      </c>
      <c r="CA31" s="6" t="s">
        <v>601</v>
      </c>
      <c r="CB31" s="6">
        <v>10000.0</v>
      </c>
      <c r="CC31" s="6">
        <v>10000.0</v>
      </c>
    </row>
    <row r="32">
      <c r="B32" s="31" t="s">
        <v>659</v>
      </c>
      <c r="C32" s="54"/>
      <c r="D32" s="45"/>
      <c r="E32" s="45"/>
      <c r="F32" s="47"/>
      <c r="G32" s="35"/>
      <c r="H32" s="55" t="s">
        <v>298</v>
      </c>
      <c r="I32" s="38" t="str">
        <f>VLOOKUP(H32,'Machine List'!$A$1:$I$300,9,FALSE)</f>
        <v>4000+500(7O-5)</v>
      </c>
      <c r="J32" s="38">
        <f>IF(VLOOKUP(H32,'Machine List'!$A$1:$I$300,5,FALSE)="Multi",IF(VLOOKUP(H32,'Machine List'!$A$1:$I$300,6,FALSE)="Yes",AG32*3*10^Z32,AG32*(2*3)*10^(Z32-1)),0)</f>
        <v>6</v>
      </c>
      <c r="K32" s="38">
        <f>J32+IF(ISNUMBER(I32),I32,
  SWITCH(
      I32,
      "1T",1*10^Z32,
      "2T",2*10^Z32,
      "3T",3*10^Z32,
      "4T",4*10^Z32,
      "4000+500(7O-5)",4000+500*(7*I33-5),
      1
  )
)</f>
        <v>22506</v>
      </c>
      <c r="L32" s="38">
        <f>IF(VLOOKUP(H32,'Machine List'!$A$1:$I$300,5,FALSE)="Multi",IF(VLOOKUP(H32,'Machine List'!$A$1:$I$300,6,FALSE)="Yes",AU32*3*10^AT32,AU32*(2*3)*10^(AT32-1)),0)</f>
        <v>240000</v>
      </c>
      <c r="M32" s="38">
        <f>L32+IF(ISNUMBER(I32),I32,
  SWITCH(
      I32,
      "1T",1*10^AT32,
      "2T",2*10^AT32,
      "3T",3*10^AT32,
      "4T",4*10^AT32,
      "4000+500(7O-5)",4000+500*(7*I33-5),
      1
  )
)</f>
        <v>262500</v>
      </c>
      <c r="N32" s="38" t="str">
        <f>VLOOKUP(H32,'Machine List'!$A$1:$I$300,8,FALSE)</f>
        <v>Tier</v>
      </c>
      <c r="O32" s="38">
        <f>IF(ISNUMBER(N32),N32,10^Z32)</f>
        <v>10</v>
      </c>
      <c r="P32" s="38">
        <f>IF(ISNUMBER(N32),N32,10^AT32)</f>
        <v>100000</v>
      </c>
      <c r="Q32" s="38">
        <f>VLOOKUP(H32,'Machine List'!$A$1:$B$138,2,FALSE)</f>
        <v>1</v>
      </c>
      <c r="R32" s="38" t="s">
        <v>277</v>
      </c>
      <c r="S32" s="45">
        <f>IF(ISNUMBER(Q32),Q32,
  SWITCH(
      Q32,
      "1",1,
      "2T",Z32*2,
      "4T",Z32*4,
      "6T",Z32*6,
      "8T",Z32*8,
      "10T",Z32*10,
      "12T",Z32*12,
      "14T",Z32*14,
      "16T",Z32*16,
      "2(T+1)",2*(Z32+1),
      "1T*C",Z32*J34,
      1
  )
)</f>
        <v>1</v>
      </c>
      <c r="T32" s="38" t="s">
        <v>277</v>
      </c>
      <c r="U32" s="38">
        <f>IF(OR(T32="No",T32=""),S32,T32)</f>
        <v>1</v>
      </c>
      <c r="V32" s="38">
        <f>IF(ISNUMBER(Q32),Q32,
  SWITCH(
      Q32,
      "1",1,
      "2T",AT32*2,
      "4T",AT32*4,
      "6T",AT32*6,
      "8T",AT32*8,
      "10T",AT32*10,
      "12T",AT32*12,
      "14T",AT32*14,
      "16T",AT32*16,
      "2(T+1)",2*(AT32+1),
      "1T*C",AT32*J34,
      1
  )
)</f>
        <v>1</v>
      </c>
      <c r="W32" s="38" t="str">
        <f>T32</f>
        <v>No</v>
      </c>
      <c r="X32" s="38">
        <f>IF(OR(W32="No",W32=""),V32,W32)</f>
        <v>1</v>
      </c>
      <c r="Y32" s="38" t="s">
        <v>390</v>
      </c>
      <c r="Z32" s="38">
        <f>VLOOKUP(Y32,'Item Helper Sheet'!$A$2:$B$16,2,FALSE)</f>
        <v>1</v>
      </c>
      <c r="AA32" s="38">
        <v>120.0</v>
      </c>
      <c r="AB32" s="38">
        <f>6*20</f>
        <v>120</v>
      </c>
      <c r="AC32" s="38">
        <f>AB32*I34</f>
        <v>26400</v>
      </c>
      <c r="AD32" s="38">
        <f>AA32*AC32</f>
        <v>3168000</v>
      </c>
      <c r="AE32" s="75"/>
      <c r="AF32" s="38" t="str">
        <f>Y32</f>
        <v>01 - LV</v>
      </c>
      <c r="AG32" s="38">
        <v>1.0</v>
      </c>
      <c r="AH32" s="38">
        <v>1.0</v>
      </c>
      <c r="AI32" s="38">
        <f>AH32*8*4^Z32</f>
        <v>32</v>
      </c>
      <c r="AJ32" s="38">
        <f>MIN(ROUNDDOWN(AI32/AL32,0),U32)</f>
        <v>0</v>
      </c>
      <c r="AK32" s="38">
        <f>IF(OR(T32="No",T32=""),AG32*S32,AG32*T32)</f>
        <v>1</v>
      </c>
      <c r="AL32" s="38">
        <f>ROUNDUP(AA32*VLOOKUP(H32,'Machine List'!$A$2:$D$219,4,FALSE),0)</f>
        <v>120</v>
      </c>
      <c r="AM32" s="38">
        <f>AL32*AK32</f>
        <v>120</v>
      </c>
      <c r="AN32" s="38">
        <f>ROUNDUP(AB32*I34,0)</f>
        <v>26400</v>
      </c>
      <c r="AO32" s="38">
        <f>ROUNDUP(AN32/VLOOKUP(H32,'Machine List'!$A$2:$D$219,3,FALSE),0)</f>
        <v>26400</v>
      </c>
      <c r="AP32" s="38">
        <f>ROUNDUP(AO32/AK32,0)</f>
        <v>26400</v>
      </c>
      <c r="AQ32" s="38">
        <f>AM32*AP32</f>
        <v>3168000</v>
      </c>
      <c r="AR32" s="75"/>
      <c r="AS32" s="38" t="s">
        <v>405</v>
      </c>
      <c r="AT32" s="38">
        <f>VLOOKUP(AS32,'Item Helper Sheet'!$A$2:$B$16,2,FALSE)</f>
        <v>5</v>
      </c>
      <c r="AU32" s="38">
        <v>4.0</v>
      </c>
      <c r="AV32" s="38">
        <v>1.0</v>
      </c>
      <c r="AW32" s="38">
        <f>AV32*8*4^AT32</f>
        <v>8192</v>
      </c>
      <c r="AX32" s="38">
        <f>MIN(ROUNDDOWN(AW32/AL32,0),X32)</f>
        <v>1</v>
      </c>
      <c r="AY32" s="38">
        <f>AX32*AU32</f>
        <v>4</v>
      </c>
      <c r="AZ32" s="38">
        <f>AL32</f>
        <v>120</v>
      </c>
      <c r="BA32" s="38">
        <f>MIN(AT32-Z32,IF(AW32&gt;=AZ33*4,
IF(AW32&gt;=AZ33*4^2,
IF(AW32&gt;=AZ33*4^3,
IF(AW32&gt;=AZ33*4^4,
IF(AW32&gt;=AZ33*4^5,
IF(AW32&gt;=AZ33*4^6,
IF(AW32&gt;=AZ33*4^7,
IF(AW32&gt;=AZ33*4^8,
IF(AW32&gt;=AZ33*4^9,
IF(AW32&gt;=AZ33*4^10,
9),
8),
7),
6),
5),
4),
3),
2),
1),
0))</f>
        <v>3</v>
      </c>
      <c r="BB32" s="38">
        <f>AZ32*AX32*4^BA32</f>
        <v>7680</v>
      </c>
      <c r="BC32" s="38">
        <f>BB32*AU32</f>
        <v>30720</v>
      </c>
      <c r="BD32" s="45">
        <f>ROUNDUP(IF(R32="Yes",AN32/(2^((BA32)*2)),AN32/(2^(BA32))),0)</f>
        <v>3300</v>
      </c>
      <c r="BE32" s="45">
        <f>ROUNDUP(BD32/VLOOKUP(H32,'Machine List'!$A$2:$D$219,3,FALSE),0)</f>
        <v>3300</v>
      </c>
      <c r="BF32" s="45">
        <f>ROUNDUP(BE32/AY32,0)</f>
        <v>825</v>
      </c>
      <c r="BG32" s="46">
        <f>BF32*BC32</f>
        <v>25344000</v>
      </c>
      <c r="BI32" s="28"/>
      <c r="BQ32" s="6" t="s">
        <v>142</v>
      </c>
      <c r="BR32" s="6">
        <v>-90000.0</v>
      </c>
      <c r="BS32" s="6">
        <f>VLOOKUP(BQ32,'Item List'!$A$2:$D$300,2,FALSE)</f>
        <v>1</v>
      </c>
      <c r="BT32" s="6">
        <f>VLOOKUP(BQ32,'Item List'!$A$2:$D$300,3,FALSE)</f>
        <v>5</v>
      </c>
      <c r="BU32" s="6">
        <f>VLOOKUP(BQ32,'Item List'!$A$2:$D$300,4,FALSE)</f>
        <v>1</v>
      </c>
      <c r="BW32" s="6" t="s">
        <v>611</v>
      </c>
      <c r="BX32" s="6">
        <v>4006.0</v>
      </c>
      <c r="BY32" s="6">
        <v>10.0</v>
      </c>
      <c r="CA32" s="6" t="s">
        <v>611</v>
      </c>
      <c r="CB32" s="6">
        <v>10000.0</v>
      </c>
      <c r="CC32" s="6">
        <v>10000.0</v>
      </c>
    </row>
    <row r="33">
      <c r="B33" s="40"/>
      <c r="C33" s="41" t="s">
        <v>104</v>
      </c>
      <c r="D33" s="38">
        <f>1000*I34</f>
        <v>220000</v>
      </c>
      <c r="E33" s="38" t="s">
        <v>118</v>
      </c>
      <c r="F33" s="42">
        <f>125*I34</f>
        <v>27500</v>
      </c>
      <c r="G33" s="43"/>
      <c r="H33" s="99" t="s">
        <v>584</v>
      </c>
      <c r="I33" s="45">
        <f t="array" ref="I33">match(TRUE,ISBLANK(F33:F45),0)-1</f>
        <v>6</v>
      </c>
      <c r="J33" s="100" t="s">
        <v>420</v>
      </c>
      <c r="K33" s="100" t="s">
        <v>585</v>
      </c>
      <c r="L33" s="38"/>
      <c r="M33" s="38"/>
      <c r="N33" s="38"/>
      <c r="O33" s="38"/>
      <c r="P33" s="38"/>
      <c r="Q33" s="38"/>
      <c r="R33" s="101"/>
      <c r="S33" s="101"/>
      <c r="T33" s="101"/>
      <c r="U33" s="45"/>
      <c r="V33" s="45"/>
      <c r="W33" s="45"/>
      <c r="X33" s="45"/>
      <c r="Y33" s="45"/>
      <c r="Z33" s="45"/>
      <c r="AA33" s="45"/>
      <c r="AB33" s="45"/>
      <c r="AC33" s="45"/>
      <c r="AD33" s="45"/>
      <c r="AE33" s="79"/>
      <c r="AF33" s="45"/>
      <c r="AG33" s="45"/>
      <c r="AH33" s="45"/>
      <c r="AI33" s="45"/>
      <c r="AJ33" s="45"/>
      <c r="AK33" s="45"/>
      <c r="AL33" s="45"/>
      <c r="AM33" s="45"/>
      <c r="AN33" s="45"/>
      <c r="AO33" s="45"/>
      <c r="AP33" s="45"/>
      <c r="AQ33" s="45"/>
      <c r="AR33" s="79"/>
      <c r="AS33" s="45"/>
      <c r="AT33" s="45"/>
      <c r="AU33" s="45"/>
      <c r="AV33" s="45"/>
      <c r="AW33" s="45"/>
      <c r="AX33" s="45"/>
      <c r="AY33" s="45"/>
      <c r="AZ33" s="45">
        <f>AZ32*AX32</f>
        <v>120</v>
      </c>
      <c r="BA33" s="45"/>
      <c r="BB33" s="45"/>
      <c r="BC33" s="45"/>
      <c r="BD33" s="45"/>
      <c r="BE33" s="45"/>
      <c r="BF33" s="45"/>
      <c r="BG33" s="46"/>
      <c r="BI33" s="28"/>
      <c r="BQ33" s="6" t="s">
        <v>147</v>
      </c>
      <c r="BR33" s="6">
        <v>19500.0</v>
      </c>
      <c r="BS33" s="6">
        <f>VLOOKUP(BQ33,'Item List'!$A$2:$D$300,2,FALSE)</f>
        <v>1</v>
      </c>
      <c r="BT33" s="6">
        <f>VLOOKUP(BQ33,'Item List'!$A$2:$D$300,3,FALSE)</f>
        <v>5</v>
      </c>
      <c r="BU33" s="6">
        <f>VLOOKUP(BQ33,'Item List'!$A$2:$D$300,4,FALSE)</f>
        <v>2</v>
      </c>
      <c r="BW33" s="6" t="s">
        <v>658</v>
      </c>
      <c r="BX33" s="6">
        <v>7.0</v>
      </c>
      <c r="BY33" s="6">
        <v>10.0</v>
      </c>
      <c r="CA33" s="6" t="s">
        <v>658</v>
      </c>
      <c r="CB33" s="6">
        <v>60001.0</v>
      </c>
      <c r="CC33" s="6">
        <v>100000.0</v>
      </c>
    </row>
    <row r="34">
      <c r="B34" s="40"/>
      <c r="C34" s="41"/>
      <c r="D34" s="38"/>
      <c r="E34" s="38" t="s">
        <v>61</v>
      </c>
      <c r="F34" s="42">
        <f>150*I34</f>
        <v>33000</v>
      </c>
      <c r="G34" s="43"/>
      <c r="H34" s="56" t="s">
        <v>502</v>
      </c>
      <c r="I34" s="57">
        <v>220.0</v>
      </c>
      <c r="J34" s="100" t="s">
        <v>424</v>
      </c>
      <c r="K34" s="100">
        <v>0.0</v>
      </c>
      <c r="L34" s="45"/>
      <c r="M34" s="45"/>
      <c r="N34" s="45"/>
      <c r="O34" s="45"/>
      <c r="P34" s="45"/>
      <c r="Q34" s="45"/>
      <c r="R34" s="45"/>
      <c r="S34" s="101"/>
      <c r="T34" s="101"/>
      <c r="U34" s="45"/>
      <c r="V34" s="45"/>
      <c r="W34" s="45"/>
      <c r="X34" s="45"/>
      <c r="Y34" s="45"/>
      <c r="Z34" s="45"/>
      <c r="AA34" s="45"/>
      <c r="AB34" s="45"/>
      <c r="AC34" s="45"/>
      <c r="AD34" s="45"/>
      <c r="AE34" s="79"/>
      <c r="AF34" s="45"/>
      <c r="AG34" s="45"/>
      <c r="AH34" s="45"/>
      <c r="AI34" s="45"/>
      <c r="AJ34" s="45"/>
      <c r="AK34" s="45"/>
      <c r="AL34" s="45"/>
      <c r="AM34" s="45"/>
      <c r="AN34" s="45"/>
      <c r="AO34" s="45"/>
      <c r="AP34" s="45"/>
      <c r="AQ34" s="45"/>
      <c r="AR34" s="79"/>
      <c r="AS34" s="45"/>
      <c r="AT34" s="45"/>
      <c r="AU34" s="45"/>
      <c r="AV34" s="45"/>
      <c r="AW34" s="45"/>
      <c r="AX34" s="45"/>
      <c r="AY34" s="45"/>
      <c r="AZ34" s="45"/>
      <c r="BA34" s="45"/>
      <c r="BB34" s="45"/>
      <c r="BC34" s="45"/>
      <c r="BD34" s="45"/>
      <c r="BE34" s="45"/>
      <c r="BF34" s="45"/>
      <c r="BG34" s="46"/>
      <c r="BI34" s="28"/>
      <c r="BQ34" s="6" t="s">
        <v>161</v>
      </c>
      <c r="BR34" s="6">
        <v>47300.0</v>
      </c>
      <c r="BS34" s="6">
        <f>VLOOKUP(BQ34,'Item List'!$A$2:$D$300,2,FALSE)</f>
        <v>1</v>
      </c>
      <c r="BT34" s="6">
        <f>VLOOKUP(BQ34,'Item List'!$A$2:$D$300,3,FALSE)</f>
        <v>3</v>
      </c>
      <c r="BU34" s="6">
        <f>VLOOKUP(BQ34,'Item List'!$A$2:$D$300,4,FALSE)</f>
        <v>2</v>
      </c>
      <c r="BW34" s="6" t="s">
        <v>659</v>
      </c>
      <c r="BX34" s="102">
        <v>22506.0</v>
      </c>
      <c r="BY34" s="6">
        <v>10.0</v>
      </c>
      <c r="CA34" s="6" t="s">
        <v>659</v>
      </c>
      <c r="CB34" s="102">
        <v>1050000.0</v>
      </c>
      <c r="CC34" s="6">
        <v>100000.0</v>
      </c>
    </row>
    <row r="35">
      <c r="B35" s="40"/>
      <c r="C35" s="41"/>
      <c r="D35" s="38"/>
      <c r="E35" s="38" t="s">
        <v>161</v>
      </c>
      <c r="F35" s="42">
        <f>200*I34</f>
        <v>44000</v>
      </c>
      <c r="G35" s="43"/>
      <c r="H35" s="123"/>
      <c r="I35" s="101"/>
      <c r="J35" s="101"/>
      <c r="K35" s="101"/>
      <c r="L35" s="101"/>
      <c r="M35" s="101"/>
      <c r="N35" s="101"/>
      <c r="O35" s="101"/>
      <c r="P35" s="101"/>
      <c r="Q35" s="101"/>
      <c r="R35" s="101"/>
      <c r="S35" s="101"/>
      <c r="T35" s="101"/>
      <c r="U35" s="101"/>
      <c r="V35" s="101"/>
      <c r="W35" s="101"/>
      <c r="X35" s="101"/>
      <c r="Y35" s="101"/>
      <c r="Z35" s="101"/>
      <c r="AA35" s="101"/>
      <c r="AB35" s="101"/>
      <c r="AC35" s="101"/>
      <c r="AD35" s="101"/>
      <c r="AE35" s="79"/>
      <c r="AF35" s="101"/>
      <c r="AG35" s="101"/>
      <c r="AH35" s="101"/>
      <c r="AI35" s="101"/>
      <c r="AJ35" s="101"/>
      <c r="AK35" s="101"/>
      <c r="AL35" s="101"/>
      <c r="AM35" s="101"/>
      <c r="AN35" s="101"/>
      <c r="AO35" s="101"/>
      <c r="AP35" s="101"/>
      <c r="AQ35" s="101"/>
      <c r="AR35" s="79"/>
      <c r="AS35" s="101"/>
      <c r="AT35" s="101"/>
      <c r="AU35" s="101"/>
      <c r="AV35" s="101"/>
      <c r="AW35" s="101"/>
      <c r="AX35" s="101"/>
      <c r="AY35" s="101"/>
      <c r="AZ35" s="101"/>
      <c r="BA35" s="101"/>
      <c r="BB35" s="101"/>
      <c r="BC35" s="101"/>
      <c r="BD35" s="101"/>
      <c r="BE35" s="101"/>
      <c r="BF35" s="101"/>
      <c r="BG35" s="124"/>
      <c r="BI35" s="28"/>
      <c r="BQ35" s="6" t="s">
        <v>179</v>
      </c>
      <c r="BR35" s="6">
        <v>0.0</v>
      </c>
      <c r="BS35" s="6">
        <f>VLOOKUP(BQ35,'Item List'!$A$2:$D$300,2,FALSE)</f>
        <v>3</v>
      </c>
      <c r="BT35" s="6">
        <f>VLOOKUP(BQ35,'Item List'!$A$2:$D$300,3,FALSE)</f>
        <v>3</v>
      </c>
      <c r="BU35" s="6">
        <f>VLOOKUP(BQ35,'Item List'!$A$2:$D$300,4,FALSE)</f>
        <v>2</v>
      </c>
      <c r="BW35" s="6" t="s">
        <v>691</v>
      </c>
      <c r="BX35" s="6">
        <v>7.0</v>
      </c>
      <c r="BY35" s="6">
        <v>10.0</v>
      </c>
      <c r="CA35" s="6" t="s">
        <v>691</v>
      </c>
      <c r="CB35" s="6">
        <v>6001.0</v>
      </c>
      <c r="CC35" s="6">
        <v>10000.0</v>
      </c>
    </row>
    <row r="36">
      <c r="B36" s="40"/>
      <c r="C36" s="41"/>
      <c r="D36" s="38"/>
      <c r="E36" s="38" t="s">
        <v>38</v>
      </c>
      <c r="F36" s="42">
        <f>150*I34</f>
        <v>33000</v>
      </c>
      <c r="G36" s="35"/>
      <c r="H36" s="131"/>
      <c r="I36" s="132"/>
      <c r="J36" s="132"/>
      <c r="K36" s="132"/>
      <c r="L36" s="132"/>
      <c r="M36" s="132"/>
      <c r="N36" s="132"/>
      <c r="O36" s="132"/>
      <c r="P36" s="132"/>
      <c r="Q36" s="132"/>
      <c r="R36" s="132"/>
      <c r="S36" s="101"/>
      <c r="T36" s="132"/>
      <c r="U36" s="132"/>
      <c r="V36" s="132"/>
      <c r="W36" s="132"/>
      <c r="X36" s="132"/>
      <c r="Y36" s="132"/>
      <c r="Z36" s="132"/>
      <c r="AA36" s="132"/>
      <c r="AB36" s="132"/>
      <c r="AC36" s="132"/>
      <c r="AD36" s="132"/>
      <c r="AE36" s="79"/>
      <c r="AF36" s="132"/>
      <c r="AG36" s="132"/>
      <c r="AH36" s="132"/>
      <c r="AI36" s="132"/>
      <c r="AJ36" s="132"/>
      <c r="AK36" s="132"/>
      <c r="AL36" s="132"/>
      <c r="AM36" s="132"/>
      <c r="AN36" s="132"/>
      <c r="AO36" s="132"/>
      <c r="AP36" s="132"/>
      <c r="AQ36" s="132"/>
      <c r="AR36" s="79"/>
      <c r="AS36" s="132"/>
      <c r="AT36" s="132"/>
      <c r="AU36" s="132"/>
      <c r="AV36" s="132"/>
      <c r="AW36" s="132"/>
      <c r="AX36" s="132"/>
      <c r="AY36" s="132"/>
      <c r="AZ36" s="132"/>
      <c r="BA36" s="132"/>
      <c r="BB36" s="132"/>
      <c r="BC36" s="132"/>
      <c r="BD36" s="101"/>
      <c r="BE36" s="101"/>
      <c r="BF36" s="101"/>
      <c r="BG36" s="124"/>
      <c r="BI36" s="28"/>
      <c r="BQ36" s="6" t="s">
        <v>183</v>
      </c>
      <c r="BR36" s="6">
        <v>300000.0</v>
      </c>
      <c r="BS36" s="6">
        <f>VLOOKUP(BQ36,'Item List'!$A$2:$D$300,2,FALSE)</f>
        <v>1</v>
      </c>
      <c r="BT36" s="6">
        <f>VLOOKUP(BQ36,'Item List'!$A$2:$D$300,3,FALSE)</f>
        <v>4</v>
      </c>
      <c r="BU36" s="6">
        <f>VLOOKUP(BQ36,'Item List'!$A$2:$D$300,4,FALSE)</f>
        <v>2</v>
      </c>
      <c r="BW36" s="6" t="s">
        <v>661</v>
      </c>
      <c r="BX36" s="6">
        <v>15506.0</v>
      </c>
      <c r="BY36" s="6">
        <v>10.0</v>
      </c>
      <c r="CA36" s="6" t="s">
        <v>661</v>
      </c>
      <c r="CB36" s="6">
        <v>21500.0</v>
      </c>
      <c r="CC36" s="6">
        <v>10000.0</v>
      </c>
    </row>
    <row r="37">
      <c r="B37" s="40"/>
      <c r="C37" s="41"/>
      <c r="D37" s="38"/>
      <c r="E37" s="38" t="s">
        <v>137</v>
      </c>
      <c r="F37" s="42">
        <f>100*I34</f>
        <v>22000</v>
      </c>
      <c r="G37" s="43"/>
      <c r="H37" s="131"/>
      <c r="I37" s="101"/>
      <c r="J37" s="132"/>
      <c r="K37" s="132"/>
      <c r="L37" s="132"/>
      <c r="M37" s="132"/>
      <c r="N37" s="132"/>
      <c r="O37" s="132"/>
      <c r="P37" s="132"/>
      <c r="Q37" s="132"/>
      <c r="R37" s="101"/>
      <c r="S37" s="101"/>
      <c r="T37" s="101"/>
      <c r="U37" s="101"/>
      <c r="V37" s="101"/>
      <c r="W37" s="101"/>
      <c r="X37" s="101"/>
      <c r="Y37" s="101"/>
      <c r="Z37" s="101"/>
      <c r="AA37" s="101"/>
      <c r="AB37" s="101"/>
      <c r="AC37" s="101"/>
      <c r="AD37" s="101"/>
      <c r="AE37" s="79"/>
      <c r="AF37" s="101"/>
      <c r="AG37" s="101"/>
      <c r="AH37" s="101"/>
      <c r="AI37" s="101"/>
      <c r="AJ37" s="101"/>
      <c r="AK37" s="101"/>
      <c r="AL37" s="101"/>
      <c r="AM37" s="101"/>
      <c r="AN37" s="101"/>
      <c r="AO37" s="101"/>
      <c r="AP37" s="101"/>
      <c r="AQ37" s="101"/>
      <c r="AR37" s="79"/>
      <c r="AS37" s="101"/>
      <c r="AT37" s="101"/>
      <c r="AU37" s="101"/>
      <c r="AV37" s="101"/>
      <c r="AW37" s="101"/>
      <c r="AX37" s="101"/>
      <c r="AY37" s="101"/>
      <c r="AZ37" s="101"/>
      <c r="BA37" s="101"/>
      <c r="BB37" s="101"/>
      <c r="BC37" s="101"/>
      <c r="BD37" s="101"/>
      <c r="BE37" s="101"/>
      <c r="BF37" s="101"/>
      <c r="BG37" s="124"/>
      <c r="BI37" s="28"/>
      <c r="BQ37" s="6" t="s">
        <v>228</v>
      </c>
      <c r="BR37" s="6">
        <v>400.0</v>
      </c>
      <c r="BS37" s="6">
        <f>VLOOKUP(BQ37,'Item List'!$A$2:$D$300,2,FALSE)</f>
        <v>1</v>
      </c>
      <c r="BT37" s="6">
        <f>VLOOKUP(BQ37,'Item List'!$A$2:$D$300,3,FALSE)</f>
        <v>4</v>
      </c>
      <c r="BU37" s="6">
        <f>VLOOKUP(BQ37,'Item List'!$A$2:$D$300,4,FALSE)</f>
        <v>2</v>
      </c>
      <c r="BW37" s="6" t="s">
        <v>662</v>
      </c>
      <c r="BX37" s="6">
        <v>12006.0</v>
      </c>
      <c r="BY37" s="6">
        <v>10.0</v>
      </c>
      <c r="CA37" s="6" t="s">
        <v>662</v>
      </c>
      <c r="CB37" s="6">
        <v>144000.0</v>
      </c>
      <c r="CC37" s="6">
        <v>10000.0</v>
      </c>
    </row>
    <row r="38">
      <c r="B38" s="40"/>
      <c r="C38" s="41"/>
      <c r="D38" s="38"/>
      <c r="E38" s="38" t="s">
        <v>124</v>
      </c>
      <c r="F38" s="42">
        <f>800*I34</f>
        <v>176000</v>
      </c>
      <c r="G38" s="43"/>
      <c r="H38" s="131"/>
      <c r="I38" s="132"/>
      <c r="J38" s="132"/>
      <c r="K38" s="132"/>
      <c r="L38" s="101"/>
      <c r="M38" s="101"/>
      <c r="N38" s="101"/>
      <c r="O38" s="101"/>
      <c r="P38" s="101"/>
      <c r="Q38" s="101"/>
      <c r="R38" s="101"/>
      <c r="S38" s="101"/>
      <c r="T38" s="101"/>
      <c r="U38" s="101"/>
      <c r="V38" s="101"/>
      <c r="W38" s="101"/>
      <c r="X38" s="101"/>
      <c r="Y38" s="101"/>
      <c r="Z38" s="101"/>
      <c r="AA38" s="101"/>
      <c r="AB38" s="101"/>
      <c r="AC38" s="101"/>
      <c r="AD38" s="101"/>
      <c r="AE38" s="79"/>
      <c r="AF38" s="101"/>
      <c r="AG38" s="101"/>
      <c r="AH38" s="101"/>
      <c r="AI38" s="101"/>
      <c r="AJ38" s="101"/>
      <c r="AK38" s="101"/>
      <c r="AL38" s="101"/>
      <c r="AM38" s="101"/>
      <c r="AN38" s="101"/>
      <c r="AO38" s="101"/>
      <c r="AP38" s="101"/>
      <c r="AQ38" s="101"/>
      <c r="AR38" s="79"/>
      <c r="AS38" s="101"/>
      <c r="AT38" s="101"/>
      <c r="AU38" s="101"/>
      <c r="AV38" s="101"/>
      <c r="AW38" s="101"/>
      <c r="AX38" s="101"/>
      <c r="AY38" s="101"/>
      <c r="AZ38" s="101"/>
      <c r="BA38" s="101"/>
      <c r="BB38" s="101"/>
      <c r="BC38" s="101"/>
      <c r="BD38" s="101"/>
      <c r="BE38" s="101"/>
      <c r="BF38" s="101"/>
      <c r="BG38" s="124"/>
      <c r="BI38" s="28"/>
      <c r="BQ38" s="6" t="s">
        <v>229</v>
      </c>
      <c r="BR38" s="6">
        <v>100.0</v>
      </c>
      <c r="BS38" s="6">
        <f>VLOOKUP(BQ38,'Item List'!$A$2:$D$300,2,FALSE)</f>
        <v>1</v>
      </c>
      <c r="BT38" s="6">
        <f>VLOOKUP(BQ38,'Item List'!$A$2:$D$300,3,FALSE)</f>
        <v>4</v>
      </c>
      <c r="BU38" s="6">
        <f>VLOOKUP(BQ38,'Item List'!$A$2:$D$300,4,FALSE)</f>
        <v>2</v>
      </c>
      <c r="BW38" s="6" t="s">
        <v>663</v>
      </c>
      <c r="BX38" s="6">
        <v>4006.0</v>
      </c>
      <c r="BY38" s="6">
        <v>10.0</v>
      </c>
      <c r="CA38" s="6" t="s">
        <v>663</v>
      </c>
      <c r="CB38" s="6">
        <v>10000.0</v>
      </c>
      <c r="CC38" s="6">
        <v>10000.0</v>
      </c>
    </row>
    <row r="39">
      <c r="B39" s="50"/>
      <c r="C39" s="51"/>
      <c r="D39" s="52"/>
      <c r="E39" s="52"/>
      <c r="F39" s="52"/>
      <c r="G39" s="112"/>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2"/>
      <c r="AF39" s="113"/>
      <c r="AG39" s="113"/>
      <c r="AH39" s="113"/>
      <c r="AI39" s="113"/>
      <c r="AJ39" s="113"/>
      <c r="AK39" s="113"/>
      <c r="AL39" s="113"/>
      <c r="AM39" s="113"/>
      <c r="AN39" s="113"/>
      <c r="AO39" s="113"/>
      <c r="AP39" s="113"/>
      <c r="AQ39" s="113"/>
      <c r="AR39" s="112"/>
      <c r="AS39" s="113"/>
      <c r="AT39" s="113"/>
      <c r="AU39" s="113"/>
      <c r="AV39" s="113"/>
      <c r="AW39" s="113"/>
      <c r="AX39" s="113"/>
      <c r="AY39" s="113"/>
      <c r="AZ39" s="113"/>
      <c r="BA39" s="113"/>
      <c r="BB39" s="113"/>
      <c r="BC39" s="113"/>
      <c r="BD39" s="113"/>
      <c r="BE39" s="113"/>
      <c r="BF39" s="113"/>
      <c r="BG39" s="114"/>
      <c r="BI39" s="28"/>
      <c r="BQ39" s="6" t="s">
        <v>230</v>
      </c>
      <c r="BR39" s="6">
        <v>3000.0</v>
      </c>
      <c r="BS39" s="6">
        <f>VLOOKUP(BQ39,'Item List'!$A$2:$D$300,2,FALSE)</f>
        <v>1</v>
      </c>
      <c r="BT39" s="6">
        <f>VLOOKUP(BQ39,'Item List'!$A$2:$D$300,3,FALSE)</f>
        <v>4</v>
      </c>
      <c r="BU39" s="6">
        <f>VLOOKUP(BQ39,'Item List'!$A$2:$D$300,4,FALSE)</f>
        <v>2</v>
      </c>
      <c r="BW39" s="6" t="s">
        <v>664</v>
      </c>
      <c r="BX39" s="6">
        <v>4006.0</v>
      </c>
      <c r="BY39" s="6">
        <v>10.0</v>
      </c>
      <c r="CA39" s="6" t="s">
        <v>664</v>
      </c>
      <c r="CB39" s="6">
        <v>10000.0</v>
      </c>
      <c r="CC39" s="6">
        <v>10000.0</v>
      </c>
    </row>
    <row r="40">
      <c r="B40" s="31" t="s">
        <v>691</v>
      </c>
      <c r="C40" s="54"/>
      <c r="D40" s="45"/>
      <c r="E40" s="45"/>
      <c r="F40" s="47"/>
      <c r="G40" s="112"/>
      <c r="H40" s="55" t="s">
        <v>357</v>
      </c>
      <c r="I40" s="38" t="str">
        <f>VLOOKUP(H40,'Machine List'!$A$1:$I$300,9,FALSE)</f>
        <v>13500 + 16C</v>
      </c>
      <c r="J40" s="38">
        <f>IF(VLOOKUP(H40,'Machine List'!$A$1:$I$300,5,FALSE)="Multi",IF(VLOOKUP(H40,'Machine List'!$A$1:$I$300,6,FALSE)="Yes",AG40*3*10^Z40,AG40*(2*3)*10^(Z40-1)),0)</f>
        <v>6</v>
      </c>
      <c r="K40" s="38">
        <f>J40+IF(ISNUMBER(I40),I40,
  SWITCH(
      I40,
      "1T",1*10^Z40,
      "2T",2*10^Z40,
      "3T",3*10^Z40,
      "4T",4*10^Z40,
      "4000+500(7O-5)",4000+500*(7*I41-5),
      1
  )
)</f>
        <v>7</v>
      </c>
      <c r="L40" s="38">
        <f>IF(VLOOKUP(H40,'Machine List'!$A$1:$I$300,5,FALSE)="Multi",IF(VLOOKUP(H40,'Machine List'!$A$1:$I$300,6,FALSE)="Yes",AU40*3*10^AT40,AU40*(2*3)*10^(AT40-1)),0)</f>
        <v>6000</v>
      </c>
      <c r="M40" s="38">
        <f>L40+IF(ISNUMBER(I40),I40,
  SWITCH(
      I40,
      "1T",1*10^AT40,
      "2T",2*10^AT40,
      "3T",3*10^AT40,
      "4T",4*10^AT40,
      "4000+500(7O-5)",4000+500*(7*I41-5),
      1
  )
)</f>
        <v>6001</v>
      </c>
      <c r="N40" s="38" t="str">
        <f>VLOOKUP(H40,'Machine List'!$A$1:$I$300,8,FALSE)</f>
        <v>Tier</v>
      </c>
      <c r="O40" s="38">
        <f>IF(ISNUMBER(N40),N40,10^Z40)</f>
        <v>10</v>
      </c>
      <c r="P40" s="38">
        <f>IF(ISNUMBER(N40),N40,10^AT40)</f>
        <v>10000</v>
      </c>
      <c r="Q40" s="38">
        <f>VLOOKUP(H40,'Machine List'!$A$1:$B$138,2,FALSE)</f>
        <v>1</v>
      </c>
      <c r="R40" s="38" t="s">
        <v>277</v>
      </c>
      <c r="S40" s="45">
        <f>IF(ISNUMBER(Q40),Q40,
  SWITCH(
      Q40,
      "1",1,
      "2T",Z40*2,
      "4T",Z40*4,
      "6T",Z40*6,
      "8T",Z40*8,
      "10T",Z40*10,
      "12T",Z40*12,
      "14T",Z40*14,
      "16T",Z40*16,
      "2(T+1)",2*(Z40+1),
      "1T*C",Z40*J42,
      1
  )
)</f>
        <v>1</v>
      </c>
      <c r="T40" s="38" t="s">
        <v>277</v>
      </c>
      <c r="U40" s="38">
        <f>IF(OR(T40="No",T40=""),S40,T40)</f>
        <v>1</v>
      </c>
      <c r="V40" s="38">
        <f>IF(ISNUMBER(Q40),Q40,
  SWITCH(
      Q40,
      "1",1,
      "2T",AT40*2,
      "4T",AT40*4,
      "6T",AT40*6,
      "8T",AT40*8,
      "10T",AT40*10,
      "12T",AT40*12,
      "14T",AT40*14,
      "16T",AT40*16,
      "2(T+1)",2*(AT40+1),
      "1T*C",AT40*J42,
      1
  )
)</f>
        <v>1</v>
      </c>
      <c r="W40" s="38" t="str">
        <f>T40</f>
        <v>No</v>
      </c>
      <c r="X40" s="38">
        <f>IF(OR(W40="No",W40=""),V40,W40)</f>
        <v>1</v>
      </c>
      <c r="Y40" s="38" t="s">
        <v>390</v>
      </c>
      <c r="Z40" s="38">
        <f>VLOOKUP(Y40,'Item Helper Sheet'!$A$2:$B$16,2,FALSE)</f>
        <v>1</v>
      </c>
      <c r="AA40" s="38">
        <v>240.0</v>
      </c>
      <c r="AB40" s="38">
        <f>1*20</f>
        <v>20</v>
      </c>
      <c r="AC40" s="38">
        <f>AB40*I42</f>
        <v>220</v>
      </c>
      <c r="AD40" s="38">
        <f>AA40*AC40</f>
        <v>52800</v>
      </c>
      <c r="AE40" s="75"/>
      <c r="AF40" s="38" t="str">
        <f>Y40</f>
        <v>01 - LV</v>
      </c>
      <c r="AG40" s="38">
        <v>1.0</v>
      </c>
      <c r="AH40" s="38">
        <v>1.0</v>
      </c>
      <c r="AI40" s="38">
        <f>AH40*8*4^Z40</f>
        <v>32</v>
      </c>
      <c r="AJ40" s="38">
        <f>MIN(ROUNDDOWN(AI40/AL40,0),U40)</f>
        <v>0</v>
      </c>
      <c r="AK40" s="38">
        <f>IF(OR(T40="No",T40=""),AG40*S40,AG40*T40)</f>
        <v>1</v>
      </c>
      <c r="AL40" s="38">
        <f>ROUNDUP(AA40*VLOOKUP(H40,'Machine List'!$A$2:$D$219,4,FALSE),0)</f>
        <v>240</v>
      </c>
      <c r="AM40" s="38">
        <f>AL40*AK40</f>
        <v>240</v>
      </c>
      <c r="AN40" s="38">
        <f>ROUNDUP(AB40*I42,0)</f>
        <v>220</v>
      </c>
      <c r="AO40" s="38">
        <f>ROUNDUP(AN40/VLOOKUP(H40,'Machine List'!$A$2:$D$219,3,FALSE),0)</f>
        <v>220</v>
      </c>
      <c r="AP40" s="38">
        <f>ROUNDUP(AO40/AK40,0)</f>
        <v>220</v>
      </c>
      <c r="AQ40" s="38">
        <f>AM40*AP40</f>
        <v>52800</v>
      </c>
      <c r="AR40" s="75"/>
      <c r="AS40" s="38" t="s">
        <v>401</v>
      </c>
      <c r="AT40" s="38">
        <f>VLOOKUP(AS40,'Item Helper Sheet'!$A$2:$B$16,2,FALSE)</f>
        <v>4</v>
      </c>
      <c r="AU40" s="38">
        <v>1.0</v>
      </c>
      <c r="AV40" s="38">
        <v>1.0</v>
      </c>
      <c r="AW40" s="38">
        <f>AV40*8*4^AT40</f>
        <v>2048</v>
      </c>
      <c r="AX40" s="38">
        <f>MIN(ROUNDDOWN(AW40/AL40,0),X40)</f>
        <v>1</v>
      </c>
      <c r="AY40" s="38">
        <f>AX40*AU40</f>
        <v>1</v>
      </c>
      <c r="AZ40" s="38">
        <f>AL40</f>
        <v>240</v>
      </c>
      <c r="BA40" s="38">
        <f>MIN(AT40-Z40,IF(AW40&gt;=AZ41*4,
IF(AW40&gt;=AZ41*4^2,
IF(AW40&gt;=AZ41*4^3,
IF(AW40&gt;=AZ41*4^4,
IF(AW40&gt;=AZ41*4^5,
IF(AW40&gt;=AZ41*4^6,
IF(AW40&gt;=AZ41*4^7,
IF(AW40&gt;=AZ41*4^8,
IF(AW40&gt;=AZ41*4^9,
IF(AW40&gt;=AZ41*4^10,
9),
8),
7),
6),
5),
4),
3),
2),
1),
0))</f>
        <v>1</v>
      </c>
      <c r="BB40" s="38">
        <f>AZ40*AX40*4^BA40</f>
        <v>960</v>
      </c>
      <c r="BC40" s="38">
        <f>BB40*AU40</f>
        <v>960</v>
      </c>
      <c r="BD40" s="45">
        <f>ROUNDUP(IF(R40="Yes",AN40/(2^((BA40)*2)),AN40/(2^(BA40))),0)</f>
        <v>110</v>
      </c>
      <c r="BE40" s="45">
        <f>ROUNDUP(BD40/VLOOKUP(H40,'Machine List'!$A$2:$D$219,3,FALSE),0)</f>
        <v>110</v>
      </c>
      <c r="BF40" s="45">
        <f>ROUNDUP(BE40/AY40,0)</f>
        <v>110</v>
      </c>
      <c r="BG40" s="46">
        <f>BF40*BC40</f>
        <v>105600</v>
      </c>
      <c r="BI40" s="28"/>
      <c r="BQ40" s="6" t="s">
        <v>231</v>
      </c>
      <c r="BR40" s="6">
        <v>-1200.0</v>
      </c>
      <c r="BS40" s="6">
        <f>VLOOKUP(BQ40,'Item List'!$A$2:$D$300,2,FALSE)</f>
        <v>1</v>
      </c>
      <c r="BT40" s="6">
        <f>VLOOKUP(BQ40,'Item List'!$A$2:$D$300,3,FALSE)</f>
        <v>4</v>
      </c>
      <c r="BU40" s="6">
        <f>VLOOKUP(BQ40,'Item List'!$A$2:$D$300,4,FALSE)</f>
        <v>2</v>
      </c>
      <c r="BW40" s="6" t="s">
        <v>665</v>
      </c>
      <c r="BX40" s="6">
        <v>12006.0</v>
      </c>
      <c r="BY40" s="6">
        <v>10.0</v>
      </c>
      <c r="CA40" s="6" t="s">
        <v>665</v>
      </c>
      <c r="CB40" s="6">
        <v>18000.0</v>
      </c>
      <c r="CC40" s="6">
        <v>10000.0</v>
      </c>
    </row>
    <row r="41">
      <c r="B41" s="40"/>
      <c r="C41" s="41" t="s">
        <v>124</v>
      </c>
      <c r="D41" s="38">
        <f>1000*I42</f>
        <v>11000</v>
      </c>
      <c r="E41" s="38" t="s">
        <v>105</v>
      </c>
      <c r="F41" s="42">
        <f>1000*I42</f>
        <v>11000</v>
      </c>
      <c r="G41" s="112"/>
      <c r="H41" s="99" t="s">
        <v>584</v>
      </c>
      <c r="I41" s="45">
        <f t="array" ref="I41">match(TRUE,ISBLANK(F41:F53),0)-1</f>
        <v>1</v>
      </c>
      <c r="J41" s="120" t="s">
        <v>420</v>
      </c>
      <c r="K41" s="120" t="s">
        <v>585</v>
      </c>
      <c r="L41" s="121"/>
      <c r="M41" s="121"/>
      <c r="N41" s="121"/>
      <c r="O41" s="121"/>
      <c r="P41" s="121"/>
      <c r="Q41" s="121"/>
      <c r="R41" s="121"/>
      <c r="S41" s="121"/>
      <c r="T41" s="121"/>
      <c r="U41" s="121"/>
      <c r="V41" s="121"/>
      <c r="W41" s="121"/>
      <c r="X41" s="121"/>
      <c r="Y41" s="121"/>
      <c r="Z41" s="121"/>
      <c r="AA41" s="121"/>
      <c r="AB41" s="121"/>
      <c r="AC41" s="121"/>
      <c r="AD41" s="121"/>
      <c r="AE41" s="118"/>
      <c r="AF41" s="121"/>
      <c r="AG41" s="121"/>
      <c r="AH41" s="121"/>
      <c r="AI41" s="121"/>
      <c r="AJ41" s="121"/>
      <c r="AK41" s="121"/>
      <c r="AL41" s="121"/>
      <c r="AM41" s="121"/>
      <c r="AN41" s="121"/>
      <c r="AO41" s="121"/>
      <c r="AP41" s="121"/>
      <c r="AQ41" s="121"/>
      <c r="AR41" s="118"/>
      <c r="AS41" s="121"/>
      <c r="AT41" s="121"/>
      <c r="AU41" s="121"/>
      <c r="AV41" s="121"/>
      <c r="AW41" s="121"/>
      <c r="AX41" s="121"/>
      <c r="AY41" s="121"/>
      <c r="AZ41" s="116">
        <f>AZ40*AX40</f>
        <v>240</v>
      </c>
      <c r="BA41" s="121"/>
      <c r="BB41" s="121"/>
      <c r="BC41" s="121"/>
      <c r="BD41" s="121"/>
      <c r="BE41" s="121"/>
      <c r="BF41" s="121"/>
      <c r="BG41" s="122"/>
      <c r="BI41" s="28"/>
      <c r="BQ41" s="6" t="s">
        <v>238</v>
      </c>
      <c r="BR41" s="6">
        <v>200.0</v>
      </c>
      <c r="BS41" s="6">
        <f>VLOOKUP(BQ41,'Item List'!$A$2:$D$300,2,FALSE)</f>
        <v>1</v>
      </c>
      <c r="BT41" s="6">
        <f>VLOOKUP(BQ41,'Item List'!$A$2:$D$300,3,FALSE)</f>
        <v>5</v>
      </c>
      <c r="BU41" s="6">
        <f>VLOOKUP(BQ41,'Item List'!$A$2:$D$300,4,FALSE)</f>
        <v>2</v>
      </c>
      <c r="BW41" s="6" t="s">
        <v>666</v>
      </c>
      <c r="BX41" s="6">
        <v>4006.0</v>
      </c>
      <c r="BY41" s="6">
        <v>10.0</v>
      </c>
      <c r="CA41" s="6" t="s">
        <v>666</v>
      </c>
      <c r="CB41" s="6">
        <v>10000.0</v>
      </c>
      <c r="CC41" s="6">
        <v>10000.0</v>
      </c>
    </row>
    <row r="42">
      <c r="B42" s="40"/>
      <c r="C42" s="41" t="s">
        <v>87</v>
      </c>
      <c r="D42" s="38">
        <f>1600*I42</f>
        <v>17600</v>
      </c>
      <c r="E42" s="38"/>
      <c r="F42" s="42"/>
      <c r="G42" s="112"/>
      <c r="H42" s="56" t="s">
        <v>502</v>
      </c>
      <c r="I42" s="57">
        <v>11.0</v>
      </c>
      <c r="J42" s="100" t="s">
        <v>427</v>
      </c>
      <c r="K42" s="120">
        <v>0.0</v>
      </c>
      <c r="L42" s="121"/>
      <c r="M42" s="121"/>
      <c r="N42" s="121"/>
      <c r="O42" s="121"/>
      <c r="P42" s="121"/>
      <c r="Q42" s="121"/>
      <c r="R42" s="121"/>
      <c r="S42" s="121"/>
      <c r="T42" s="121"/>
      <c r="U42" s="121"/>
      <c r="V42" s="121"/>
      <c r="W42" s="121"/>
      <c r="X42" s="121"/>
      <c r="Y42" s="121"/>
      <c r="Z42" s="121"/>
      <c r="AA42" s="121"/>
      <c r="AB42" s="121"/>
      <c r="AC42" s="121"/>
      <c r="AD42" s="121"/>
      <c r="AE42" s="118"/>
      <c r="AF42" s="121"/>
      <c r="AG42" s="121"/>
      <c r="AH42" s="121"/>
      <c r="AI42" s="121"/>
      <c r="AJ42" s="121"/>
      <c r="AK42" s="121"/>
      <c r="AL42" s="121"/>
      <c r="AM42" s="121"/>
      <c r="AN42" s="121"/>
      <c r="AO42" s="121"/>
      <c r="AP42" s="121"/>
      <c r="AQ42" s="121"/>
      <c r="AR42" s="118"/>
      <c r="AS42" s="121"/>
      <c r="AT42" s="121"/>
      <c r="AU42" s="121"/>
      <c r="AV42" s="121"/>
      <c r="AW42" s="121"/>
      <c r="AX42" s="121"/>
      <c r="AY42" s="121"/>
      <c r="AZ42" s="121"/>
      <c r="BA42" s="121"/>
      <c r="BB42" s="121"/>
      <c r="BC42" s="121"/>
      <c r="BD42" s="121"/>
      <c r="BE42" s="121"/>
      <c r="BF42" s="121"/>
      <c r="BG42" s="122"/>
      <c r="BI42" s="28"/>
      <c r="BQ42" s="6" t="s">
        <v>248</v>
      </c>
      <c r="BR42" s="6">
        <v>10000.0</v>
      </c>
      <c r="BS42" s="6">
        <f>VLOOKUP(BQ42,'Item List'!$A$2:$D$300,2,FALSE)</f>
        <v>0</v>
      </c>
      <c r="BT42" s="6">
        <f>VLOOKUP(BQ42,'Item List'!$A$2:$D$300,3,FALSE)</f>
        <v>5</v>
      </c>
      <c r="BU42" s="6">
        <f>VLOOKUP(BQ42,'Item List'!$A$2:$D$300,4,FALSE)</f>
        <v>0</v>
      </c>
      <c r="BW42" s="6" t="s">
        <v>667</v>
      </c>
      <c r="BX42" s="6">
        <v>4006.0</v>
      </c>
      <c r="BY42" s="6">
        <v>10.0</v>
      </c>
      <c r="CA42" s="6" t="s">
        <v>667</v>
      </c>
      <c r="CB42" s="6">
        <v>10000.0</v>
      </c>
      <c r="CC42" s="6">
        <v>10000.0</v>
      </c>
    </row>
    <row r="43">
      <c r="B43" s="50"/>
      <c r="C43" s="51"/>
      <c r="D43" s="52"/>
      <c r="E43" s="52"/>
      <c r="F43" s="52"/>
      <c r="G43" s="112"/>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2"/>
      <c r="AF43" s="113"/>
      <c r="AG43" s="113"/>
      <c r="AH43" s="113"/>
      <c r="AI43" s="113"/>
      <c r="AJ43" s="113"/>
      <c r="AK43" s="113"/>
      <c r="AL43" s="113"/>
      <c r="AM43" s="113"/>
      <c r="AN43" s="113"/>
      <c r="AO43" s="113"/>
      <c r="AP43" s="113"/>
      <c r="AQ43" s="113"/>
      <c r="AR43" s="112"/>
      <c r="AS43" s="113"/>
      <c r="AT43" s="113"/>
      <c r="AU43" s="113"/>
      <c r="AV43" s="113"/>
      <c r="AW43" s="113"/>
      <c r="AX43" s="113"/>
      <c r="AY43" s="113"/>
      <c r="AZ43" s="113"/>
      <c r="BA43" s="113"/>
      <c r="BB43" s="113"/>
      <c r="BC43" s="113"/>
      <c r="BD43" s="113"/>
      <c r="BE43" s="113"/>
      <c r="BF43" s="113"/>
      <c r="BG43" s="114"/>
      <c r="BI43" s="28"/>
      <c r="BW43" s="6" t="s">
        <v>668</v>
      </c>
      <c r="BX43" s="6">
        <v>4006.0</v>
      </c>
      <c r="BY43" s="6">
        <v>10.0</v>
      </c>
      <c r="CA43" s="6" t="s">
        <v>668</v>
      </c>
      <c r="CB43" s="6">
        <v>10000.0</v>
      </c>
      <c r="CC43" s="6">
        <v>10000.0</v>
      </c>
    </row>
    <row r="44">
      <c r="B44" s="31" t="s">
        <v>661</v>
      </c>
      <c r="C44" s="54"/>
      <c r="D44" s="45"/>
      <c r="E44" s="45"/>
      <c r="F44" s="47"/>
      <c r="G44" s="112"/>
      <c r="H44" s="55" t="s">
        <v>298</v>
      </c>
      <c r="I44" s="38" t="str">
        <f>VLOOKUP(H44,'Machine List'!$A$1:$I$300,9,FALSE)</f>
        <v>4000+500(7O-5)</v>
      </c>
      <c r="J44" s="38">
        <f>IF(VLOOKUP(H44,'Machine List'!$A$1:$I$300,5,FALSE)="Multi",IF(VLOOKUP(H44,'Machine List'!$A$1:$I$300,6,FALSE)="Yes",AG44*3*10^Z44,AG44*(2*3)*10^(Z44-1)),0)</f>
        <v>6</v>
      </c>
      <c r="K44" s="38">
        <f>J44+IF(ISNUMBER(I44),I44,
  SWITCH(
      I44,
      "1T",1*10^Z44,
      "2T",2*10^Z44,
      "3T",3*10^Z44,
      "4T",4*10^Z44,
      "4000+500(7O-5)",4000+500*(7*I45-5),
      1
  )
)</f>
        <v>15506</v>
      </c>
      <c r="L44" s="38">
        <f>IF(VLOOKUP(H44,'Machine List'!$A$1:$I$300,5,FALSE)="Multi",IF(VLOOKUP(H44,'Machine List'!$A$1:$I$300,6,FALSE)="Yes",AU44*3*10^AT44,AU44*(2*3)*10^(AT44-1)),0)</f>
        <v>6000</v>
      </c>
      <c r="M44" s="38">
        <f>L44+IF(ISNUMBER(I44),I44,
  SWITCH(
      I44,
      "1T",1*10^AT44,
      "2T",2*10^AT44,
      "3T",3*10^AT44,
      "4T",4*10^AT44,
      "4000+500(7O-5)",4000+500*(7*I45-5),
      1
  )
)</f>
        <v>21500</v>
      </c>
      <c r="N44" s="38" t="str">
        <f>VLOOKUP(H44,'Machine List'!$A$1:$I$300,8,FALSE)</f>
        <v>Tier</v>
      </c>
      <c r="O44" s="38">
        <f>IF(ISNUMBER(N44),N44,10^Z44)</f>
        <v>10</v>
      </c>
      <c r="P44" s="38">
        <f>IF(ISNUMBER(N44),N44,10^AT44)</f>
        <v>10000</v>
      </c>
      <c r="Q44" s="38">
        <f>VLOOKUP(H44,'Machine List'!$A$1:$B$138,2,FALSE)</f>
        <v>1</v>
      </c>
      <c r="R44" s="38" t="s">
        <v>277</v>
      </c>
      <c r="S44" s="45">
        <f>IF(ISNUMBER(Q44),Q44,
  SWITCH(
      Q44,
      "1",1,
      "2T",Z44*2,
      "4T",Z44*4,
      "6T",Z44*6,
      "8T",Z44*8,
      "10T",Z44*10,
      "12T",Z44*12,
      "14T",Z44*14,
      "16T",Z44*16,
      "2(T+1)",2*(Z44+1),
      "1T*C",Z44*J46,
      1
  )
)</f>
        <v>1</v>
      </c>
      <c r="T44" s="38" t="s">
        <v>277</v>
      </c>
      <c r="U44" s="38">
        <f>IF(OR(T44="No",T44=""),S44,T44)</f>
        <v>1</v>
      </c>
      <c r="V44" s="38">
        <f>IF(ISNUMBER(Q44),Q44,
  SWITCH(
      Q44,
      "1",1,
      "2T",AT44*2,
      "4T",AT44*4,
      "6T",AT44*6,
      "8T",AT44*8,
      "10T",AT44*10,
      "12T",AT44*12,
      "14T",AT44*14,
      "16T",AT44*16,
      "2(T+1)",2*(AT44+1),
      "1T*C",AT44*J46,
      1
  )
)</f>
        <v>1</v>
      </c>
      <c r="W44" s="38" t="str">
        <f>T44</f>
        <v>No</v>
      </c>
      <c r="X44" s="38">
        <f>IF(OR(W44="No",W44=""),V44,W44)</f>
        <v>1</v>
      </c>
      <c r="Y44" s="38" t="s">
        <v>390</v>
      </c>
      <c r="Z44" s="38">
        <f>VLOOKUP(Y44,'Item Helper Sheet'!$A$2:$B$16,2,FALSE)</f>
        <v>1</v>
      </c>
      <c r="AA44" s="38">
        <v>120.0</v>
      </c>
      <c r="AB44" s="38">
        <f>6*20</f>
        <v>120</v>
      </c>
      <c r="AC44" s="38">
        <f>AB44*I46</f>
        <v>1320</v>
      </c>
      <c r="AD44" s="38">
        <f>AA44*AC44</f>
        <v>158400</v>
      </c>
      <c r="AE44" s="75"/>
      <c r="AF44" s="38" t="str">
        <f>Y44</f>
        <v>01 - LV</v>
      </c>
      <c r="AG44" s="38">
        <v>1.0</v>
      </c>
      <c r="AH44" s="38">
        <v>1.0</v>
      </c>
      <c r="AI44" s="38">
        <f>AH44*8*4^Z44</f>
        <v>32</v>
      </c>
      <c r="AJ44" s="38">
        <f>MIN(ROUNDDOWN(AI44/AL44,0),U44)</f>
        <v>0</v>
      </c>
      <c r="AK44" s="38">
        <f>IF(OR(T44="No",T44=""),AG44*S44,AG44*T44)</f>
        <v>1</v>
      </c>
      <c r="AL44" s="38">
        <f>ROUNDUP(AA44*VLOOKUP(H44,'Machine List'!$A$2:$D$219,4,FALSE),0)</f>
        <v>120</v>
      </c>
      <c r="AM44" s="38">
        <f>AL44*AK44</f>
        <v>120</v>
      </c>
      <c r="AN44" s="38">
        <f>ROUNDUP(AB44*I46,0)</f>
        <v>1320</v>
      </c>
      <c r="AO44" s="38">
        <f>ROUNDUP(AN44/VLOOKUP(H44,'Machine List'!$A$2:$D$219,3,FALSE),0)</f>
        <v>1320</v>
      </c>
      <c r="AP44" s="38">
        <f>ROUNDUP(AO44/AK44,0)</f>
        <v>1320</v>
      </c>
      <c r="AQ44" s="38">
        <f>AM44*AP44</f>
        <v>158400</v>
      </c>
      <c r="AR44" s="75"/>
      <c r="AS44" s="38" t="s">
        <v>401</v>
      </c>
      <c r="AT44" s="38">
        <f>VLOOKUP(AS44,'Item Helper Sheet'!$A$2:$B$16,2,FALSE)</f>
        <v>4</v>
      </c>
      <c r="AU44" s="38">
        <v>1.0</v>
      </c>
      <c r="AV44" s="38">
        <v>1.0</v>
      </c>
      <c r="AW44" s="38">
        <f>AV44*8*4^AT44</f>
        <v>2048</v>
      </c>
      <c r="AX44" s="38">
        <f>MIN(ROUNDDOWN(AW44/AL44,0),X44)</f>
        <v>1</v>
      </c>
      <c r="AY44" s="38">
        <f>AX44*AU44</f>
        <v>1</v>
      </c>
      <c r="AZ44" s="38">
        <f>AL44</f>
        <v>120</v>
      </c>
      <c r="BA44" s="38">
        <f>MIN(AT44-Z44,IF(AW44&gt;=AZ45*4,
IF(AW44&gt;=AZ45*4^2,
IF(AW44&gt;=AZ45*4^3,
IF(AW44&gt;=AZ45*4^4,
IF(AW44&gt;=AZ45*4^5,
IF(AW44&gt;=AZ45*4^6,
IF(AW44&gt;=AZ45*4^7,
IF(AW44&gt;=AZ45*4^8,
IF(AW44&gt;=AZ45*4^9,
IF(AW44&gt;=AZ45*4^10,
9),
8),
7),
6),
5),
4),
3),
2),
1),
0))</f>
        <v>2</v>
      </c>
      <c r="BB44" s="38">
        <f>AZ44*AX44*4^BA44</f>
        <v>1920</v>
      </c>
      <c r="BC44" s="38">
        <f>BB44*AU44</f>
        <v>1920</v>
      </c>
      <c r="BD44" s="45">
        <f>ROUNDUP(IF(R44="Yes",AN44/(2^((BA44)*2)),AN44/(2^(BA44))),0)</f>
        <v>330</v>
      </c>
      <c r="BE44" s="45">
        <f>ROUNDUP(BD44/VLOOKUP(H44,'Machine List'!$A$2:$D$219,3,FALSE),0)</f>
        <v>330</v>
      </c>
      <c r="BF44" s="45">
        <f>ROUNDUP(BE44/AY44,0)</f>
        <v>330</v>
      </c>
      <c r="BG44" s="46">
        <f>BF44*BC44</f>
        <v>633600</v>
      </c>
      <c r="BI44" s="28"/>
      <c r="BW44" s="6" t="s">
        <v>669</v>
      </c>
      <c r="BX44" s="6">
        <v>4006.0</v>
      </c>
      <c r="BY44" s="6">
        <v>10.0</v>
      </c>
      <c r="CA44" s="6" t="s">
        <v>669</v>
      </c>
      <c r="CB44" s="6">
        <v>10000.0</v>
      </c>
      <c r="CC44" s="6">
        <v>10000.0</v>
      </c>
    </row>
    <row r="45">
      <c r="B45" s="40"/>
      <c r="C45" s="41" t="s">
        <v>105</v>
      </c>
      <c r="D45" s="38">
        <f>1000*I46</f>
        <v>11000</v>
      </c>
      <c r="E45" s="38" t="s">
        <v>161</v>
      </c>
      <c r="F45" s="42">
        <f>300*I46</f>
        <v>3300</v>
      </c>
      <c r="G45" s="112"/>
      <c r="H45" s="99" t="s">
        <v>584</v>
      </c>
      <c r="I45" s="45">
        <f t="array" ref="I45">match(TRUE,ISBLANK(F45:F57),0)-1</f>
        <v>4</v>
      </c>
      <c r="J45" s="120" t="s">
        <v>420</v>
      </c>
      <c r="K45" s="120" t="s">
        <v>585</v>
      </c>
      <c r="L45" s="121"/>
      <c r="M45" s="121"/>
      <c r="N45" s="121"/>
      <c r="O45" s="121"/>
      <c r="P45" s="121"/>
      <c r="Q45" s="121"/>
      <c r="R45" s="121"/>
      <c r="S45" s="121"/>
      <c r="T45" s="121"/>
      <c r="U45" s="121"/>
      <c r="V45" s="121"/>
      <c r="W45" s="121"/>
      <c r="X45" s="121"/>
      <c r="Y45" s="121"/>
      <c r="Z45" s="121"/>
      <c r="AA45" s="121"/>
      <c r="AB45" s="121"/>
      <c r="AC45" s="121"/>
      <c r="AD45" s="121"/>
      <c r="AE45" s="118"/>
      <c r="AF45" s="121"/>
      <c r="AG45" s="121"/>
      <c r="AH45" s="121"/>
      <c r="AI45" s="121"/>
      <c r="AJ45" s="121"/>
      <c r="AK45" s="121"/>
      <c r="AL45" s="121"/>
      <c r="AM45" s="121"/>
      <c r="AN45" s="121"/>
      <c r="AO45" s="121"/>
      <c r="AP45" s="121"/>
      <c r="AQ45" s="121"/>
      <c r="AR45" s="118"/>
      <c r="AS45" s="121"/>
      <c r="AT45" s="121"/>
      <c r="AU45" s="121"/>
      <c r="AV45" s="121"/>
      <c r="AW45" s="121"/>
      <c r="AX45" s="121"/>
      <c r="AY45" s="121"/>
      <c r="AZ45" s="116">
        <f>AZ44*AX44</f>
        <v>120</v>
      </c>
      <c r="BA45" s="121"/>
      <c r="BB45" s="121"/>
      <c r="BC45" s="121"/>
      <c r="BD45" s="121"/>
      <c r="BE45" s="121"/>
      <c r="BF45" s="121"/>
      <c r="BG45" s="122"/>
      <c r="BI45" s="28"/>
      <c r="BW45" s="6" t="s">
        <v>670</v>
      </c>
      <c r="BX45" s="6">
        <v>4006.0</v>
      </c>
      <c r="BY45" s="6">
        <v>10.0</v>
      </c>
      <c r="CA45" s="6" t="s">
        <v>670</v>
      </c>
      <c r="CB45" s="6">
        <v>10000.0</v>
      </c>
      <c r="CC45" s="6">
        <v>10000.0</v>
      </c>
    </row>
    <row r="46">
      <c r="B46" s="40"/>
      <c r="C46" s="41"/>
      <c r="D46" s="38"/>
      <c r="E46" s="38" t="s">
        <v>61</v>
      </c>
      <c r="F46" s="42">
        <f>250*I46</f>
        <v>2750</v>
      </c>
      <c r="G46" s="112"/>
      <c r="H46" s="48" t="s">
        <v>502</v>
      </c>
      <c r="I46" s="49">
        <v>11.0</v>
      </c>
      <c r="J46" s="100" t="s">
        <v>424</v>
      </c>
      <c r="K46" s="120">
        <v>0.0</v>
      </c>
      <c r="L46" s="121"/>
      <c r="M46" s="121"/>
      <c r="N46" s="121"/>
      <c r="O46" s="121"/>
      <c r="P46" s="121"/>
      <c r="Q46" s="121"/>
      <c r="R46" s="121"/>
      <c r="S46" s="121"/>
      <c r="T46" s="121"/>
      <c r="U46" s="121"/>
      <c r="V46" s="121"/>
      <c r="W46" s="121"/>
      <c r="X46" s="121"/>
      <c r="Y46" s="121"/>
      <c r="Z46" s="121"/>
      <c r="AA46" s="121"/>
      <c r="AB46" s="121"/>
      <c r="AC46" s="121"/>
      <c r="AD46" s="121"/>
      <c r="AE46" s="118"/>
      <c r="AF46" s="121"/>
      <c r="AG46" s="121"/>
      <c r="AH46" s="121"/>
      <c r="AI46" s="121"/>
      <c r="AJ46" s="121"/>
      <c r="AK46" s="121"/>
      <c r="AL46" s="121"/>
      <c r="AM46" s="121"/>
      <c r="AN46" s="121"/>
      <c r="AO46" s="121"/>
      <c r="AP46" s="121"/>
      <c r="AQ46" s="121"/>
      <c r="AR46" s="118"/>
      <c r="AS46" s="121"/>
      <c r="AT46" s="121"/>
      <c r="AU46" s="121"/>
      <c r="AV46" s="121"/>
      <c r="AW46" s="121"/>
      <c r="AX46" s="121"/>
      <c r="AY46" s="121"/>
      <c r="AZ46" s="121"/>
      <c r="BA46" s="121"/>
      <c r="BB46" s="121"/>
      <c r="BC46" s="121"/>
      <c r="BD46" s="121"/>
      <c r="BE46" s="121"/>
      <c r="BF46" s="121"/>
      <c r="BG46" s="122"/>
      <c r="BI46" s="28"/>
      <c r="BW46" s="6" t="s">
        <v>671</v>
      </c>
      <c r="BX46" s="6">
        <v>4006.0</v>
      </c>
      <c r="BY46" s="6">
        <v>10.0</v>
      </c>
      <c r="CA46" s="6" t="s">
        <v>671</v>
      </c>
      <c r="CB46" s="6">
        <v>10000.0</v>
      </c>
      <c r="CC46" s="6">
        <v>10000.0</v>
      </c>
    </row>
    <row r="47">
      <c r="B47" s="40"/>
      <c r="C47" s="41"/>
      <c r="D47" s="38"/>
      <c r="E47" s="38" t="s">
        <v>118</v>
      </c>
      <c r="F47" s="42">
        <f>250*I46</f>
        <v>2750</v>
      </c>
      <c r="G47" s="112"/>
      <c r="H47" s="123"/>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8"/>
      <c r="AF47" s="101"/>
      <c r="AG47" s="101"/>
      <c r="AH47" s="101"/>
      <c r="AI47" s="101"/>
      <c r="AJ47" s="101"/>
      <c r="AK47" s="101"/>
      <c r="AL47" s="101"/>
      <c r="AM47" s="101"/>
      <c r="AN47" s="101"/>
      <c r="AO47" s="101"/>
      <c r="AP47" s="101"/>
      <c r="AQ47" s="101"/>
      <c r="AR47" s="118"/>
      <c r="AS47" s="101"/>
      <c r="AT47" s="101"/>
      <c r="AU47" s="101"/>
      <c r="AV47" s="101"/>
      <c r="AW47" s="101"/>
      <c r="AX47" s="101"/>
      <c r="AY47" s="101"/>
      <c r="AZ47" s="101"/>
      <c r="BA47" s="101"/>
      <c r="BB47" s="101"/>
      <c r="BC47" s="101"/>
      <c r="BD47" s="101"/>
      <c r="BE47" s="101"/>
      <c r="BF47" s="101"/>
      <c r="BG47" s="124"/>
      <c r="BI47" s="28"/>
    </row>
    <row r="48">
      <c r="B48" s="40"/>
      <c r="C48" s="41"/>
      <c r="D48" s="38"/>
      <c r="E48" s="38" t="s">
        <v>38</v>
      </c>
      <c r="F48" s="42">
        <f>800*I46</f>
        <v>8800</v>
      </c>
      <c r="G48" s="112"/>
      <c r="H48" s="123"/>
      <c r="I48" s="101"/>
      <c r="J48" s="101"/>
      <c r="K48" s="132"/>
      <c r="L48" s="132"/>
      <c r="M48" s="132"/>
      <c r="N48" s="101"/>
      <c r="O48" s="101"/>
      <c r="P48" s="101"/>
      <c r="Q48" s="101"/>
      <c r="R48" s="101"/>
      <c r="S48" s="101"/>
      <c r="T48" s="101"/>
      <c r="U48" s="101"/>
      <c r="V48" s="101"/>
      <c r="W48" s="101"/>
      <c r="X48" s="101"/>
      <c r="Y48" s="132"/>
      <c r="Z48" s="101"/>
      <c r="AA48" s="132"/>
      <c r="AB48" s="101"/>
      <c r="AC48" s="101"/>
      <c r="AD48" s="101"/>
      <c r="AE48" s="118"/>
      <c r="AF48" s="101"/>
      <c r="AG48" s="101"/>
      <c r="AH48" s="101"/>
      <c r="AI48" s="101"/>
      <c r="AJ48" s="101"/>
      <c r="AK48" s="101"/>
      <c r="AL48" s="101"/>
      <c r="AM48" s="101"/>
      <c r="AN48" s="101"/>
      <c r="AO48" s="101"/>
      <c r="AP48" s="101"/>
      <c r="AQ48" s="101"/>
      <c r="AR48" s="118"/>
      <c r="AS48" s="101"/>
      <c r="AT48" s="101"/>
      <c r="AU48" s="101"/>
      <c r="AV48" s="101"/>
      <c r="AW48" s="101"/>
      <c r="AX48" s="101"/>
      <c r="AY48" s="101"/>
      <c r="AZ48" s="101"/>
      <c r="BA48" s="101"/>
      <c r="BB48" s="101"/>
      <c r="BC48" s="101"/>
      <c r="BD48" s="101"/>
      <c r="BE48" s="101"/>
      <c r="BF48" s="101"/>
      <c r="BG48" s="124"/>
      <c r="BI48" s="28"/>
    </row>
    <row r="49">
      <c r="B49" s="40"/>
      <c r="C49" s="41"/>
      <c r="D49" s="38"/>
      <c r="E49" s="38"/>
      <c r="F49" s="42"/>
      <c r="G49" s="112"/>
      <c r="H49" s="13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8"/>
      <c r="AF49" s="101"/>
      <c r="AG49" s="101"/>
      <c r="AH49" s="101"/>
      <c r="AI49" s="101"/>
      <c r="AJ49" s="101"/>
      <c r="AK49" s="101"/>
      <c r="AL49" s="101"/>
      <c r="AM49" s="101"/>
      <c r="AN49" s="101"/>
      <c r="AO49" s="101"/>
      <c r="AP49" s="101"/>
      <c r="AQ49" s="101"/>
      <c r="AR49" s="118"/>
      <c r="AS49" s="101"/>
      <c r="AT49" s="101"/>
      <c r="AU49" s="101"/>
      <c r="AV49" s="101"/>
      <c r="AW49" s="101"/>
      <c r="AX49" s="101"/>
      <c r="AY49" s="101"/>
      <c r="AZ49" s="101"/>
      <c r="BA49" s="101"/>
      <c r="BB49" s="101"/>
      <c r="BC49" s="101"/>
      <c r="BD49" s="101"/>
      <c r="BE49" s="101"/>
      <c r="BF49" s="101"/>
      <c r="BG49" s="124"/>
      <c r="BI49" s="28"/>
    </row>
    <row r="50">
      <c r="B50" s="40"/>
      <c r="C50" s="41"/>
      <c r="D50" s="38"/>
      <c r="E50" s="38"/>
      <c r="F50" s="42"/>
      <c r="G50" s="112"/>
      <c r="H50" s="123"/>
      <c r="I50" s="132"/>
      <c r="J50" s="132"/>
      <c r="K50" s="101"/>
      <c r="L50" s="101"/>
      <c r="M50" s="101"/>
      <c r="N50" s="101"/>
      <c r="O50" s="101"/>
      <c r="P50" s="101"/>
      <c r="Q50" s="101"/>
      <c r="R50" s="101"/>
      <c r="S50" s="101"/>
      <c r="T50" s="101"/>
      <c r="U50" s="101"/>
      <c r="V50" s="101"/>
      <c r="W50" s="101"/>
      <c r="X50" s="101"/>
      <c r="Y50" s="101"/>
      <c r="Z50" s="101"/>
      <c r="AA50" s="101"/>
      <c r="AB50" s="101"/>
      <c r="AC50" s="101"/>
      <c r="AD50" s="101"/>
      <c r="AE50" s="118"/>
      <c r="AF50" s="101"/>
      <c r="AG50" s="101"/>
      <c r="AH50" s="101"/>
      <c r="AI50" s="101"/>
      <c r="AJ50" s="101"/>
      <c r="AK50" s="101"/>
      <c r="AL50" s="101"/>
      <c r="AM50" s="101"/>
      <c r="AN50" s="101"/>
      <c r="AO50" s="101"/>
      <c r="AP50" s="101"/>
      <c r="AQ50" s="101"/>
      <c r="AR50" s="118"/>
      <c r="AS50" s="101"/>
      <c r="AT50" s="101"/>
      <c r="AU50" s="101"/>
      <c r="AV50" s="101"/>
      <c r="AW50" s="101"/>
      <c r="AX50" s="101"/>
      <c r="AY50" s="101"/>
      <c r="AZ50" s="101"/>
      <c r="BA50" s="101"/>
      <c r="BB50" s="101"/>
      <c r="BC50" s="101"/>
      <c r="BD50" s="101"/>
      <c r="BE50" s="101"/>
      <c r="BF50" s="101"/>
      <c r="BG50" s="124"/>
      <c r="BI50" s="28"/>
      <c r="BK50" s="6" t="s">
        <v>457</v>
      </c>
      <c r="BL50" s="6" t="s">
        <v>467</v>
      </c>
      <c r="BM50" s="6" t="s">
        <v>471</v>
      </c>
      <c r="BN50" s="6" t="s">
        <v>457</v>
      </c>
      <c r="BO50" s="6" t="s">
        <v>466</v>
      </c>
      <c r="BP50" s="6" t="s">
        <v>470</v>
      </c>
      <c r="BQ50" s="6" t="s">
        <v>457</v>
      </c>
      <c r="BR50" s="6" t="s">
        <v>484</v>
      </c>
      <c r="BS50" s="6" t="s">
        <v>605</v>
      </c>
      <c r="BT50" s="6" t="s">
        <v>606</v>
      </c>
    </row>
    <row r="51">
      <c r="B51" s="40"/>
      <c r="C51" s="41"/>
      <c r="D51" s="38"/>
      <c r="E51" s="38"/>
      <c r="F51" s="42"/>
      <c r="G51" s="112"/>
      <c r="H51" s="123"/>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8"/>
      <c r="AF51" s="101"/>
      <c r="AG51" s="101"/>
      <c r="AH51" s="101"/>
      <c r="AI51" s="101"/>
      <c r="AJ51" s="101"/>
      <c r="AK51" s="101"/>
      <c r="AL51" s="101"/>
      <c r="AM51" s="101"/>
      <c r="AN51" s="101"/>
      <c r="AO51" s="101"/>
      <c r="AP51" s="101"/>
      <c r="AQ51" s="101"/>
      <c r="AR51" s="118"/>
      <c r="AS51" s="101"/>
      <c r="AT51" s="101"/>
      <c r="AU51" s="101"/>
      <c r="AV51" s="101"/>
      <c r="AW51" s="101"/>
      <c r="AX51" s="101"/>
      <c r="AY51" s="101"/>
      <c r="AZ51" s="101"/>
      <c r="BA51" s="101"/>
      <c r="BB51" s="101"/>
      <c r="BC51" s="101"/>
      <c r="BD51" s="101"/>
      <c r="BE51" s="101"/>
      <c r="BF51" s="101"/>
      <c r="BG51" s="124"/>
      <c r="BI51" s="28"/>
      <c r="BK51" s="6" t="s">
        <v>579</v>
      </c>
      <c r="BL51" s="6">
        <v>4101120.0</v>
      </c>
      <c r="BM51" s="6">
        <v>8202240.0</v>
      </c>
      <c r="BN51" s="6" t="s">
        <v>579</v>
      </c>
      <c r="BO51" s="6">
        <v>8544.0</v>
      </c>
      <c r="BP51" s="6">
        <v>1068.0</v>
      </c>
      <c r="BQ51" s="6" t="s">
        <v>579</v>
      </c>
      <c r="BR51" s="6">
        <v>3.0</v>
      </c>
      <c r="BS51" s="6">
        <v>4.0</v>
      </c>
      <c r="BT51" s="6">
        <v>1.0</v>
      </c>
    </row>
    <row r="52">
      <c r="B52" s="40"/>
      <c r="C52" s="41"/>
      <c r="D52" s="38"/>
      <c r="E52" s="38"/>
      <c r="F52" s="42"/>
      <c r="G52" s="112"/>
      <c r="H52" s="123"/>
      <c r="I52" s="101"/>
      <c r="J52" s="101"/>
      <c r="K52" s="132"/>
      <c r="L52" s="132"/>
      <c r="M52" s="132"/>
      <c r="N52" s="101"/>
      <c r="O52" s="101"/>
      <c r="P52" s="101"/>
      <c r="Q52" s="101"/>
      <c r="R52" s="101"/>
      <c r="S52" s="101"/>
      <c r="T52" s="101"/>
      <c r="U52" s="101"/>
      <c r="V52" s="101"/>
      <c r="W52" s="101"/>
      <c r="X52" s="101"/>
      <c r="Y52" s="132"/>
      <c r="Z52" s="101"/>
      <c r="AA52" s="132"/>
      <c r="AB52" s="101"/>
      <c r="AC52" s="101"/>
      <c r="AD52" s="101"/>
      <c r="AE52" s="118"/>
      <c r="AF52" s="101"/>
      <c r="AG52" s="101"/>
      <c r="AH52" s="101"/>
      <c r="AI52" s="101"/>
      <c r="AJ52" s="101"/>
      <c r="AK52" s="101"/>
      <c r="AL52" s="101"/>
      <c r="AM52" s="101"/>
      <c r="AN52" s="101"/>
      <c r="AO52" s="101"/>
      <c r="AP52" s="101"/>
      <c r="AQ52" s="101"/>
      <c r="AR52" s="118"/>
      <c r="AS52" s="101"/>
      <c r="AT52" s="101"/>
      <c r="AU52" s="101"/>
      <c r="AV52" s="101"/>
      <c r="AW52" s="101"/>
      <c r="AX52" s="101"/>
      <c r="AY52" s="101"/>
      <c r="AZ52" s="101"/>
      <c r="BA52" s="101"/>
      <c r="BB52" s="101"/>
      <c r="BC52" s="101"/>
      <c r="BD52" s="101"/>
      <c r="BE52" s="101"/>
      <c r="BF52" s="101"/>
      <c r="BG52" s="124"/>
      <c r="BI52" s="28"/>
      <c r="BK52" s="6" t="s">
        <v>593</v>
      </c>
      <c r="BL52" s="6">
        <v>96000.0</v>
      </c>
      <c r="BM52" s="6">
        <v>96000.0</v>
      </c>
      <c r="BN52" s="6" t="s">
        <v>593</v>
      </c>
      <c r="BO52" s="6">
        <v>3200.0</v>
      </c>
      <c r="BP52" s="6">
        <v>50.0</v>
      </c>
      <c r="BQ52" s="6" t="s">
        <v>593</v>
      </c>
      <c r="BR52" s="6">
        <v>1.0</v>
      </c>
      <c r="BS52" s="6">
        <v>4.0</v>
      </c>
      <c r="BT52" s="6">
        <v>3.0</v>
      </c>
    </row>
    <row r="53">
      <c r="B53" s="40"/>
      <c r="C53" s="41"/>
      <c r="D53" s="38"/>
      <c r="E53" s="38"/>
      <c r="F53" s="42"/>
      <c r="G53" s="112"/>
      <c r="H53" s="13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8"/>
      <c r="AF53" s="101"/>
      <c r="AG53" s="101"/>
      <c r="AH53" s="101"/>
      <c r="AI53" s="101"/>
      <c r="AJ53" s="101"/>
      <c r="AK53" s="101"/>
      <c r="AL53" s="101"/>
      <c r="AM53" s="101"/>
      <c r="AN53" s="101"/>
      <c r="AO53" s="101"/>
      <c r="AP53" s="101"/>
      <c r="AQ53" s="101"/>
      <c r="AR53" s="118"/>
      <c r="AS53" s="101"/>
      <c r="AT53" s="101"/>
      <c r="AU53" s="101"/>
      <c r="AV53" s="101"/>
      <c r="AW53" s="101"/>
      <c r="AX53" s="101"/>
      <c r="AY53" s="101"/>
      <c r="AZ53" s="101"/>
      <c r="BA53" s="101"/>
      <c r="BB53" s="101"/>
      <c r="BC53" s="101"/>
      <c r="BD53" s="101"/>
      <c r="BE53" s="101"/>
      <c r="BF53" s="101"/>
      <c r="BG53" s="124"/>
      <c r="BI53" s="28"/>
      <c r="BK53" s="6" t="s">
        <v>599</v>
      </c>
      <c r="BL53" s="6">
        <v>43200.0</v>
      </c>
      <c r="BM53" s="6">
        <v>44160.0</v>
      </c>
      <c r="BN53" s="6" t="s">
        <v>599</v>
      </c>
      <c r="BO53" s="6">
        <v>1440.0</v>
      </c>
      <c r="BP53" s="6">
        <v>23.0</v>
      </c>
      <c r="BQ53" s="6" t="s">
        <v>599</v>
      </c>
      <c r="BR53" s="6">
        <v>1.0</v>
      </c>
      <c r="BS53" s="6">
        <v>4.0</v>
      </c>
      <c r="BT53" s="6">
        <v>3.0</v>
      </c>
    </row>
    <row r="54">
      <c r="B54" s="40"/>
      <c r="C54" s="41"/>
      <c r="D54" s="38"/>
      <c r="E54" s="38"/>
      <c r="F54" s="42"/>
      <c r="G54" s="112"/>
      <c r="H54" s="123"/>
      <c r="I54" s="132"/>
      <c r="J54" s="132"/>
      <c r="K54" s="101"/>
      <c r="L54" s="101"/>
      <c r="M54" s="101"/>
      <c r="N54" s="101"/>
      <c r="O54" s="101"/>
      <c r="P54" s="101"/>
      <c r="Q54" s="101"/>
      <c r="R54" s="101"/>
      <c r="S54" s="101"/>
      <c r="T54" s="101"/>
      <c r="U54" s="101"/>
      <c r="V54" s="101"/>
      <c r="W54" s="101"/>
      <c r="X54" s="101"/>
      <c r="Y54" s="101"/>
      <c r="Z54" s="101"/>
      <c r="AA54" s="101"/>
      <c r="AB54" s="101"/>
      <c r="AC54" s="101"/>
      <c r="AD54" s="101"/>
      <c r="AE54" s="118"/>
      <c r="AF54" s="101"/>
      <c r="AG54" s="101"/>
      <c r="AH54" s="101"/>
      <c r="AI54" s="101"/>
      <c r="AJ54" s="101"/>
      <c r="AK54" s="101"/>
      <c r="AL54" s="101"/>
      <c r="AM54" s="101"/>
      <c r="AN54" s="101"/>
      <c r="AO54" s="101"/>
      <c r="AP54" s="101"/>
      <c r="AQ54" s="101"/>
      <c r="AR54" s="118"/>
      <c r="AS54" s="101"/>
      <c r="AT54" s="101"/>
      <c r="AU54" s="101"/>
      <c r="AV54" s="101"/>
      <c r="AW54" s="101"/>
      <c r="AX54" s="101"/>
      <c r="AY54" s="101"/>
      <c r="AZ54" s="101"/>
      <c r="BA54" s="101"/>
      <c r="BB54" s="101"/>
      <c r="BC54" s="101"/>
      <c r="BD54" s="101"/>
      <c r="BE54" s="101"/>
      <c r="BF54" s="101"/>
      <c r="BG54" s="124"/>
      <c r="BI54" s="28"/>
      <c r="BK54" s="6" t="s">
        <v>601</v>
      </c>
      <c r="BL54" s="6">
        <v>105600.0</v>
      </c>
      <c r="BM54" s="6">
        <v>105600.0</v>
      </c>
      <c r="BN54" s="6" t="s">
        <v>601</v>
      </c>
      <c r="BO54" s="6">
        <v>3520.0</v>
      </c>
      <c r="BP54" s="6">
        <v>55.0</v>
      </c>
      <c r="BQ54" s="6" t="s">
        <v>601</v>
      </c>
      <c r="BR54" s="6">
        <v>1.0</v>
      </c>
      <c r="BS54" s="6">
        <v>4.0</v>
      </c>
      <c r="BT54" s="6">
        <v>3.0</v>
      </c>
    </row>
    <row r="55">
      <c r="B55" s="40"/>
      <c r="C55" s="41"/>
      <c r="D55" s="38"/>
      <c r="E55" s="38"/>
      <c r="F55" s="42"/>
      <c r="G55" s="112"/>
      <c r="H55" s="123"/>
      <c r="I55" s="101"/>
      <c r="J55" s="101"/>
      <c r="K55" s="101"/>
      <c r="L55" s="101"/>
      <c r="M55" s="101"/>
      <c r="N55" s="101"/>
      <c r="O55" s="101"/>
      <c r="P55" s="101"/>
      <c r="Q55" s="101"/>
      <c r="R55" s="101"/>
      <c r="S55" s="101"/>
      <c r="T55" s="101"/>
      <c r="U55" s="101"/>
      <c r="V55" s="101"/>
      <c r="W55" s="101"/>
      <c r="X55" s="101"/>
      <c r="Y55" s="101"/>
      <c r="Z55" s="101"/>
      <c r="AA55" s="101"/>
      <c r="AB55" s="101"/>
      <c r="AC55" s="101"/>
      <c r="AD55" s="101"/>
      <c r="AE55" s="118"/>
      <c r="AF55" s="101"/>
      <c r="AG55" s="101"/>
      <c r="AH55" s="101"/>
      <c r="AI55" s="101"/>
      <c r="AJ55" s="101"/>
      <c r="AK55" s="101"/>
      <c r="AL55" s="101"/>
      <c r="AM55" s="101"/>
      <c r="AN55" s="101"/>
      <c r="AO55" s="101"/>
      <c r="AP55" s="101"/>
      <c r="AQ55" s="101"/>
      <c r="AR55" s="118"/>
      <c r="AS55" s="101"/>
      <c r="AT55" s="101"/>
      <c r="AU55" s="101"/>
      <c r="AV55" s="101"/>
      <c r="AW55" s="101"/>
      <c r="AX55" s="101"/>
      <c r="AY55" s="101"/>
      <c r="AZ55" s="101"/>
      <c r="BA55" s="101"/>
      <c r="BB55" s="101"/>
      <c r="BC55" s="101"/>
      <c r="BD55" s="101"/>
      <c r="BE55" s="101"/>
      <c r="BF55" s="101"/>
      <c r="BG55" s="124"/>
      <c r="BI55" s="28"/>
      <c r="BK55" s="6" t="s">
        <v>611</v>
      </c>
      <c r="BL55" s="6">
        <v>48000.0</v>
      </c>
      <c r="BM55" s="6">
        <v>48000.0</v>
      </c>
      <c r="BN55" s="6" t="s">
        <v>611</v>
      </c>
      <c r="BO55" s="6">
        <v>1600.0</v>
      </c>
      <c r="BP55" s="6">
        <v>25.0</v>
      </c>
      <c r="BQ55" s="6" t="s">
        <v>611</v>
      </c>
      <c r="BR55" s="6">
        <v>1.0</v>
      </c>
      <c r="BS55" s="6">
        <v>4.0</v>
      </c>
      <c r="BT55" s="6">
        <v>3.0</v>
      </c>
    </row>
    <row r="56">
      <c r="B56" s="40"/>
      <c r="C56" s="41"/>
      <c r="D56" s="38"/>
      <c r="E56" s="38"/>
      <c r="F56" s="42"/>
      <c r="G56" s="112"/>
      <c r="H56" s="123"/>
      <c r="I56" s="101"/>
      <c r="J56" s="101"/>
      <c r="K56" s="101"/>
      <c r="L56" s="101"/>
      <c r="M56" s="101"/>
      <c r="N56" s="101"/>
      <c r="O56" s="101"/>
      <c r="P56" s="101"/>
      <c r="Q56" s="101"/>
      <c r="R56" s="101"/>
      <c r="S56" s="101"/>
      <c r="T56" s="101"/>
      <c r="U56" s="101"/>
      <c r="V56" s="101"/>
      <c r="W56" s="101"/>
      <c r="X56" s="101"/>
      <c r="Y56" s="101"/>
      <c r="Z56" s="101"/>
      <c r="AA56" s="101"/>
      <c r="AB56" s="101"/>
      <c r="AC56" s="101"/>
      <c r="AD56" s="101"/>
      <c r="AE56" s="118"/>
      <c r="AF56" s="101"/>
      <c r="AG56" s="101"/>
      <c r="AH56" s="101"/>
      <c r="AI56" s="101"/>
      <c r="AJ56" s="101"/>
      <c r="AK56" s="101"/>
      <c r="AL56" s="101"/>
      <c r="AM56" s="101"/>
      <c r="AN56" s="101"/>
      <c r="AO56" s="101"/>
      <c r="AP56" s="101"/>
      <c r="AQ56" s="101"/>
      <c r="AR56" s="118"/>
      <c r="AS56" s="101"/>
      <c r="AT56" s="101"/>
      <c r="AU56" s="101"/>
      <c r="AV56" s="101"/>
      <c r="AW56" s="101"/>
      <c r="AX56" s="101"/>
      <c r="AY56" s="101"/>
      <c r="AZ56" s="101"/>
      <c r="BA56" s="101"/>
      <c r="BB56" s="101"/>
      <c r="BC56" s="101"/>
      <c r="BD56" s="101"/>
      <c r="BE56" s="101"/>
      <c r="BF56" s="101"/>
      <c r="BG56" s="124"/>
      <c r="BI56" s="28"/>
      <c r="BK56" s="6" t="s">
        <v>658</v>
      </c>
      <c r="BL56" s="6">
        <v>1056000.0</v>
      </c>
      <c r="BM56" s="6">
        <v>4224000.0</v>
      </c>
      <c r="BN56" s="6" t="s">
        <v>658</v>
      </c>
      <c r="BO56" s="6">
        <v>4400.0</v>
      </c>
      <c r="BP56" s="6">
        <v>1100.0</v>
      </c>
      <c r="BQ56" s="6" t="s">
        <v>658</v>
      </c>
      <c r="BR56" s="6">
        <v>1.0</v>
      </c>
      <c r="BS56" s="6">
        <v>5.0</v>
      </c>
      <c r="BT56" s="6">
        <v>2.0</v>
      </c>
    </row>
    <row r="57">
      <c r="B57" s="50"/>
      <c r="C57" s="51"/>
      <c r="D57" s="52"/>
      <c r="E57" s="52"/>
      <c r="F57" s="52"/>
      <c r="G57" s="112"/>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2"/>
      <c r="AF57" s="113"/>
      <c r="AG57" s="113"/>
      <c r="AH57" s="113"/>
      <c r="AI57" s="113"/>
      <c r="AJ57" s="113"/>
      <c r="AK57" s="113"/>
      <c r="AL57" s="113"/>
      <c r="AM57" s="113"/>
      <c r="AN57" s="113"/>
      <c r="AO57" s="113"/>
      <c r="AP57" s="113"/>
      <c r="AQ57" s="113"/>
      <c r="AR57" s="112"/>
      <c r="AS57" s="113"/>
      <c r="AT57" s="113"/>
      <c r="AU57" s="113"/>
      <c r="AV57" s="113"/>
      <c r="AW57" s="113"/>
      <c r="AX57" s="113"/>
      <c r="AY57" s="113"/>
      <c r="AZ57" s="113"/>
      <c r="BA57" s="113"/>
      <c r="BB57" s="113"/>
      <c r="BC57" s="113"/>
      <c r="BD57" s="113"/>
      <c r="BE57" s="113"/>
      <c r="BF57" s="113"/>
      <c r="BG57" s="114"/>
      <c r="BI57" s="28"/>
      <c r="BK57" s="6" t="s">
        <v>659</v>
      </c>
      <c r="BL57" s="6">
        <v>3168000.0</v>
      </c>
      <c r="BM57" s="6">
        <v>2.5344E7</v>
      </c>
      <c r="BN57" s="6" t="s">
        <v>659</v>
      </c>
      <c r="BO57" s="6">
        <v>26400.0</v>
      </c>
      <c r="BP57" s="6">
        <v>825.0</v>
      </c>
      <c r="BQ57" s="6" t="s">
        <v>659</v>
      </c>
      <c r="BR57" s="6">
        <v>1.0</v>
      </c>
      <c r="BS57" s="6">
        <v>5.0</v>
      </c>
      <c r="BT57" s="6">
        <v>3.0</v>
      </c>
    </row>
    <row r="58">
      <c r="B58" s="31" t="s">
        <v>662</v>
      </c>
      <c r="C58" s="54"/>
      <c r="D58" s="45"/>
      <c r="E58" s="45"/>
      <c r="F58" s="47"/>
      <c r="G58" s="112"/>
      <c r="H58" s="55" t="s">
        <v>298</v>
      </c>
      <c r="I58" s="38" t="str">
        <f>VLOOKUP(H58,'Machine List'!$A$1:$I$300,9,FALSE)</f>
        <v>4000+500(7O-5)</v>
      </c>
      <c r="J58" s="38">
        <f>IF(VLOOKUP(H58,'Machine List'!$A$1:$I$300,5,FALSE)="Multi",IF(VLOOKUP(H58,'Machine List'!$A$1:$I$300,6,FALSE)="Yes",AG58*3*10^Z58,AG58*(2*3)*10^(Z58-1)),0)</f>
        <v>6</v>
      </c>
      <c r="K58" s="38">
        <f>J58+IF(ISNUMBER(I58),I58,
  SWITCH(
      I58,
      "1T",1*10^Z58,
      "2T",2*10^Z58,
      "3T",3*10^Z58,
      "4T",4*10^Z58,
      "4000+500(7O-5)",4000+500*(7*I59-5),
      1
  )
)</f>
        <v>12006</v>
      </c>
      <c r="L58" s="38">
        <f>IF(VLOOKUP(H58,'Machine List'!$A$1:$I$300,5,FALSE)="Multi",IF(VLOOKUP(H58,'Machine List'!$A$1:$I$300,6,FALSE)="Yes",AU58*3*10^AT58,AU58*(2*3)*10^(AT58-1)),0)</f>
        <v>24000</v>
      </c>
      <c r="M58" s="38">
        <f>L58+IF(ISNUMBER(I58),I58,
  SWITCH(
      I58,
      "1T",1*10^AT58,
      "2T",2*10^AT58,
      "3T",3*10^AT58,
      "4T",4*10^AT58,
      "4000+500(7O-5)",4000+500*(7*I59-5),
      1
  )
)</f>
        <v>36000</v>
      </c>
      <c r="N58" s="38" t="str">
        <f>VLOOKUP(H58,'Machine List'!$A$1:$I$300,8,FALSE)</f>
        <v>Tier</v>
      </c>
      <c r="O58" s="38">
        <f>IF(ISNUMBER(N58),N58,10^Z58)</f>
        <v>10</v>
      </c>
      <c r="P58" s="38">
        <f>IF(ISNUMBER(N58),N58,10^AT58)</f>
        <v>10000</v>
      </c>
      <c r="Q58" s="38">
        <f>VLOOKUP(H58,'Machine List'!$A$1:$B$138,2,FALSE)</f>
        <v>1</v>
      </c>
      <c r="R58" s="38" t="s">
        <v>277</v>
      </c>
      <c r="S58" s="45">
        <f>IF(ISNUMBER(Q58),Q58,
  SWITCH(
      Q58,
      "1",1,
      "2T",Z58*2,
      "4T",Z58*4,
      "6T",Z58*6,
      "8T",Z58*8,
      "10T",Z58*10,
      "12T",Z58*12,
      "14T",Z58*14,
      "16T",Z58*16,
      "2(T+1)",2*(Z58+1),
      "1T*C",Z58*J60,
      1
  )
)</f>
        <v>1</v>
      </c>
      <c r="T58" s="38" t="s">
        <v>277</v>
      </c>
      <c r="U58" s="38">
        <f>IF(OR(T58="No",T58=""),S58,T58)</f>
        <v>1</v>
      </c>
      <c r="V58" s="38">
        <f>IF(ISNUMBER(Q58),Q58,
  SWITCH(
      Q58,
      "1",1,
      "2T",AT58*2,
      "4T",AT58*4,
      "6T",AT58*6,
      "8T",AT58*8,
      "10T",AT58*10,
      "12T",AT58*12,
      "14T",AT58*14,
      "16T",AT58*16,
      "2(T+1)",2*(AT58+1),
      "1T*C",AT58*J60,
      1
  )
)</f>
        <v>1</v>
      </c>
      <c r="W58" s="38" t="str">
        <f>T58</f>
        <v>No</v>
      </c>
      <c r="X58" s="38">
        <f>IF(OR(W58="No",W58=""),V58,W58)</f>
        <v>1</v>
      </c>
      <c r="Y58" s="38" t="s">
        <v>390</v>
      </c>
      <c r="Z58" s="38">
        <f>VLOOKUP(Y58,'Item Helper Sheet'!$A$2:$B$16,2,FALSE)</f>
        <v>1</v>
      </c>
      <c r="AA58" s="38">
        <v>480.0</v>
      </c>
      <c r="AB58" s="38">
        <f>6*20</f>
        <v>120</v>
      </c>
      <c r="AC58" s="38">
        <f>AB58*I60</f>
        <v>9360</v>
      </c>
      <c r="AD58" s="38">
        <f>AA58*AC58</f>
        <v>4492800</v>
      </c>
      <c r="AE58" s="75"/>
      <c r="AF58" s="38" t="str">
        <f>Y58</f>
        <v>01 - LV</v>
      </c>
      <c r="AG58" s="38">
        <v>1.0</v>
      </c>
      <c r="AH58" s="38">
        <v>1.0</v>
      </c>
      <c r="AI58" s="38">
        <f>AH58*8*4^Z58</f>
        <v>32</v>
      </c>
      <c r="AJ58" s="38">
        <f>MIN(ROUNDDOWN(AI58/AL58,0),U58)</f>
        <v>0</v>
      </c>
      <c r="AK58" s="38">
        <f>IF(OR(T58="No",T58=""),AG58*S58,AG58*T58)</f>
        <v>1</v>
      </c>
      <c r="AL58" s="38">
        <f>ROUNDUP(AA58*VLOOKUP(H58,'Machine List'!$A$2:$D$219,4,FALSE),0)</f>
        <v>480</v>
      </c>
      <c r="AM58" s="38">
        <f>AL58*AK58</f>
        <v>480</v>
      </c>
      <c r="AN58" s="38">
        <f>ROUNDUP(AB58*I60,0)</f>
        <v>9360</v>
      </c>
      <c r="AO58" s="38">
        <f>ROUNDUP(AN58/VLOOKUP(H58,'Machine List'!$A$2:$D$219,3,FALSE),0)</f>
        <v>9360</v>
      </c>
      <c r="AP58" s="38">
        <f>ROUNDUP(AO58/AK58,0)</f>
        <v>9360</v>
      </c>
      <c r="AQ58" s="38">
        <f>AM58*AP58</f>
        <v>4492800</v>
      </c>
      <c r="AR58" s="75"/>
      <c r="AS58" s="38" t="s">
        <v>401</v>
      </c>
      <c r="AT58" s="38">
        <f>VLOOKUP(AS58,'Item Helper Sheet'!$A$2:$B$16,2,FALSE)</f>
        <v>4</v>
      </c>
      <c r="AU58" s="38">
        <v>4.0</v>
      </c>
      <c r="AV58" s="38">
        <v>1.0</v>
      </c>
      <c r="AW58" s="38">
        <f>AV58*8*4^AT58</f>
        <v>2048</v>
      </c>
      <c r="AX58" s="38">
        <f>MIN(ROUNDDOWN(AW58/AL58,0),X58)</f>
        <v>1</v>
      </c>
      <c r="AY58" s="38">
        <f>AX58*AU58</f>
        <v>4</v>
      </c>
      <c r="AZ58" s="38">
        <f>AL58</f>
        <v>480</v>
      </c>
      <c r="BA58" s="38">
        <f>MIN(AT58-Z58,IF(AW58&gt;=AZ59*4,
IF(AW58&gt;=AZ59*4^2,
IF(AW58&gt;=AZ59*4^3,
IF(AW58&gt;=AZ59*4^4,
IF(AW58&gt;=AZ59*4^5,
IF(AW58&gt;=AZ59*4^6,
IF(AW58&gt;=AZ59*4^7,
IF(AW58&gt;=AZ59*4^8,
IF(AW58&gt;=AZ59*4^9,
IF(AW58&gt;=AZ59*4^10,
9),
8),
7),
6),
5),
4),
3),
2),
1),
0))</f>
        <v>1</v>
      </c>
      <c r="BB58" s="38">
        <f>AZ58*AX58*4^BA58</f>
        <v>1920</v>
      </c>
      <c r="BC58" s="38">
        <f>BB58*AU58</f>
        <v>7680</v>
      </c>
      <c r="BD58" s="45">
        <f>ROUNDUP(IF(R58="Yes",AN58/(2^((BA58)*2)),AN58/(2^(BA58))),0)</f>
        <v>4680</v>
      </c>
      <c r="BE58" s="45">
        <f>ROUNDUP(BD58/VLOOKUP(H58,'Machine List'!$A$2:$D$219,3,FALSE),0)</f>
        <v>4680</v>
      </c>
      <c r="BF58" s="45">
        <f>ROUNDUP(BE58/AY58,0)</f>
        <v>1170</v>
      </c>
      <c r="BG58" s="46">
        <f>BF58*BC58</f>
        <v>8985600</v>
      </c>
      <c r="BI58" s="28"/>
      <c r="BK58" s="6" t="s">
        <v>691</v>
      </c>
      <c r="BL58" s="6">
        <v>52800.0</v>
      </c>
      <c r="BM58" s="6">
        <v>105600.0</v>
      </c>
      <c r="BN58" s="6" t="s">
        <v>691</v>
      </c>
      <c r="BO58" s="6">
        <v>220.0</v>
      </c>
      <c r="BP58" s="6">
        <v>110.0</v>
      </c>
      <c r="BQ58" s="6" t="s">
        <v>691</v>
      </c>
      <c r="BR58" s="6">
        <v>1.0</v>
      </c>
      <c r="BS58" s="6">
        <v>4.0</v>
      </c>
      <c r="BT58" s="6">
        <v>1.0</v>
      </c>
    </row>
    <row r="59">
      <c r="B59" s="40"/>
      <c r="C59" s="41" t="s">
        <v>81</v>
      </c>
      <c r="D59" s="38">
        <f>1000*I60</f>
        <v>78000</v>
      </c>
      <c r="E59" s="38" t="s">
        <v>147</v>
      </c>
      <c r="F59" s="42">
        <f>250*I60</f>
        <v>19500</v>
      </c>
      <c r="G59" s="112"/>
      <c r="H59" s="99" t="s">
        <v>584</v>
      </c>
      <c r="I59" s="45">
        <f t="array" ref="I59">match(TRUE,ISBLANK(F59:F71),0)-1</f>
        <v>3</v>
      </c>
      <c r="J59" s="120" t="s">
        <v>420</v>
      </c>
      <c r="K59" s="120" t="s">
        <v>585</v>
      </c>
      <c r="L59" s="121"/>
      <c r="M59" s="121"/>
      <c r="N59" s="121"/>
      <c r="O59" s="121"/>
      <c r="P59" s="121"/>
      <c r="Q59" s="121"/>
      <c r="R59" s="121"/>
      <c r="S59" s="121"/>
      <c r="T59" s="121"/>
      <c r="U59" s="121"/>
      <c r="V59" s="121"/>
      <c r="W59" s="121"/>
      <c r="X59" s="121"/>
      <c r="Y59" s="121"/>
      <c r="Z59" s="121"/>
      <c r="AA59" s="121"/>
      <c r="AB59" s="121"/>
      <c r="AC59" s="121"/>
      <c r="AD59" s="121"/>
      <c r="AE59" s="118"/>
      <c r="AF59" s="121"/>
      <c r="AG59" s="121"/>
      <c r="AH59" s="121"/>
      <c r="AI59" s="121"/>
      <c r="AJ59" s="121"/>
      <c r="AK59" s="121"/>
      <c r="AL59" s="121"/>
      <c r="AM59" s="121"/>
      <c r="AN59" s="121"/>
      <c r="AO59" s="121"/>
      <c r="AP59" s="121"/>
      <c r="AQ59" s="121"/>
      <c r="AR59" s="118"/>
      <c r="AS59" s="121"/>
      <c r="AT59" s="121"/>
      <c r="AU59" s="121"/>
      <c r="AV59" s="121"/>
      <c r="AW59" s="121"/>
      <c r="AX59" s="121"/>
      <c r="AY59" s="121"/>
      <c r="AZ59" s="116">
        <f>AZ58*AX58</f>
        <v>480</v>
      </c>
      <c r="BA59" s="121"/>
      <c r="BB59" s="121"/>
      <c r="BC59" s="121"/>
      <c r="BD59" s="121"/>
      <c r="BE59" s="121"/>
      <c r="BF59" s="121"/>
      <c r="BG59" s="122"/>
      <c r="BI59" s="28"/>
      <c r="BK59" s="6" t="s">
        <v>661</v>
      </c>
      <c r="BL59" s="6">
        <v>158400.0</v>
      </c>
      <c r="BM59" s="6">
        <v>633600.0</v>
      </c>
      <c r="BN59" s="6" t="s">
        <v>661</v>
      </c>
      <c r="BO59" s="6">
        <v>1320.0</v>
      </c>
      <c r="BP59" s="6">
        <v>330.0</v>
      </c>
      <c r="BQ59" s="6" t="s">
        <v>661</v>
      </c>
      <c r="BR59" s="6">
        <v>1.0</v>
      </c>
      <c r="BS59" s="6">
        <v>4.0</v>
      </c>
      <c r="BT59" s="6">
        <v>2.0</v>
      </c>
    </row>
    <row r="60">
      <c r="B60" s="40"/>
      <c r="C60" s="41"/>
      <c r="D60" s="38"/>
      <c r="E60" s="38" t="s">
        <v>30</v>
      </c>
      <c r="F60" s="42">
        <f>400*I60</f>
        <v>31200</v>
      </c>
      <c r="G60" s="112"/>
      <c r="H60" s="48" t="s">
        <v>502</v>
      </c>
      <c r="I60" s="49">
        <v>78.0</v>
      </c>
      <c r="J60" s="100" t="s">
        <v>424</v>
      </c>
      <c r="K60" s="120">
        <v>0.0</v>
      </c>
      <c r="L60" s="121"/>
      <c r="M60" s="121"/>
      <c r="N60" s="121"/>
      <c r="O60" s="121"/>
      <c r="P60" s="121"/>
      <c r="Q60" s="121"/>
      <c r="R60" s="121"/>
      <c r="S60" s="121"/>
      <c r="T60" s="121"/>
      <c r="U60" s="121"/>
      <c r="V60" s="121"/>
      <c r="W60" s="121"/>
      <c r="X60" s="121"/>
      <c r="Y60" s="121"/>
      <c r="Z60" s="121"/>
      <c r="AA60" s="121"/>
      <c r="AB60" s="121"/>
      <c r="AC60" s="121"/>
      <c r="AD60" s="121"/>
      <c r="AE60" s="118"/>
      <c r="AF60" s="121"/>
      <c r="AG60" s="121"/>
      <c r="AH60" s="121"/>
      <c r="AI60" s="121"/>
      <c r="AJ60" s="121"/>
      <c r="AK60" s="121"/>
      <c r="AL60" s="121"/>
      <c r="AM60" s="121"/>
      <c r="AN60" s="121"/>
      <c r="AO60" s="121"/>
      <c r="AP60" s="121"/>
      <c r="AQ60" s="121"/>
      <c r="AR60" s="118"/>
      <c r="AS60" s="121"/>
      <c r="AT60" s="121"/>
      <c r="AU60" s="121"/>
      <c r="AV60" s="121"/>
      <c r="AW60" s="121"/>
      <c r="AX60" s="121"/>
      <c r="AY60" s="121"/>
      <c r="AZ60" s="121"/>
      <c r="BA60" s="121"/>
      <c r="BB60" s="121"/>
      <c r="BC60" s="121"/>
      <c r="BD60" s="121"/>
      <c r="BE60" s="121"/>
      <c r="BF60" s="121"/>
      <c r="BG60" s="122"/>
      <c r="BI60" s="28"/>
      <c r="BK60" s="6" t="s">
        <v>662</v>
      </c>
      <c r="BL60" s="6">
        <v>4492800.0</v>
      </c>
      <c r="BM60" s="6">
        <v>8985600.0</v>
      </c>
      <c r="BN60" s="6" t="s">
        <v>662</v>
      </c>
      <c r="BO60" s="6">
        <v>9360.0</v>
      </c>
      <c r="BP60" s="6">
        <v>1170.0</v>
      </c>
      <c r="BQ60" s="6" t="s">
        <v>662</v>
      </c>
      <c r="BR60" s="6">
        <v>1.0</v>
      </c>
      <c r="BS60" s="6">
        <v>4.0</v>
      </c>
      <c r="BT60" s="6">
        <v>1.0</v>
      </c>
    </row>
    <row r="61">
      <c r="B61" s="40"/>
      <c r="C61" s="41"/>
      <c r="D61" s="38"/>
      <c r="E61" s="38" t="s">
        <v>238</v>
      </c>
      <c r="F61" s="42">
        <f>400*I60</f>
        <v>31200</v>
      </c>
      <c r="G61" s="112"/>
      <c r="H61" s="44"/>
      <c r="I61" s="45"/>
      <c r="J61" s="45"/>
      <c r="K61" s="45"/>
      <c r="L61" s="45"/>
      <c r="M61" s="45"/>
      <c r="N61" s="45"/>
      <c r="O61" s="45"/>
      <c r="P61" s="45"/>
      <c r="Q61" s="45"/>
      <c r="R61" s="45"/>
      <c r="S61" s="101"/>
      <c r="T61" s="101"/>
      <c r="U61" s="45"/>
      <c r="V61" s="45"/>
      <c r="W61" s="45"/>
      <c r="X61" s="45"/>
      <c r="Y61" s="45"/>
      <c r="Z61" s="45"/>
      <c r="AA61" s="45"/>
      <c r="AB61" s="45"/>
      <c r="AC61" s="45"/>
      <c r="AD61" s="45"/>
      <c r="AE61" s="79"/>
      <c r="AF61" s="45"/>
      <c r="AG61" s="45"/>
      <c r="AH61" s="45"/>
      <c r="AI61" s="45"/>
      <c r="AJ61" s="45"/>
      <c r="AK61" s="45"/>
      <c r="AL61" s="45"/>
      <c r="AM61" s="45"/>
      <c r="AN61" s="45"/>
      <c r="AO61" s="45"/>
      <c r="AP61" s="45"/>
      <c r="AQ61" s="45"/>
      <c r="AR61" s="79"/>
      <c r="AS61" s="45"/>
      <c r="AT61" s="45"/>
      <c r="AU61" s="45"/>
      <c r="AV61" s="45"/>
      <c r="AW61" s="45"/>
      <c r="AX61" s="45"/>
      <c r="AY61" s="45"/>
      <c r="AZ61" s="45"/>
      <c r="BA61" s="45"/>
      <c r="BB61" s="45"/>
      <c r="BC61" s="45"/>
      <c r="BD61" s="45"/>
      <c r="BE61" s="45"/>
      <c r="BF61" s="45"/>
      <c r="BG61" s="46"/>
      <c r="BI61" s="28"/>
      <c r="BK61" s="6" t="s">
        <v>663</v>
      </c>
      <c r="BL61" s="6">
        <v>622080.0</v>
      </c>
      <c r="BM61" s="6">
        <v>622080.0</v>
      </c>
      <c r="BN61" s="6" t="s">
        <v>663</v>
      </c>
      <c r="BO61" s="6">
        <v>6480.0</v>
      </c>
      <c r="BP61" s="6">
        <v>405.0</v>
      </c>
      <c r="BQ61" s="6" t="s">
        <v>663</v>
      </c>
      <c r="BR61" s="6">
        <v>1.0</v>
      </c>
      <c r="BS61" s="6">
        <v>4.0</v>
      </c>
      <c r="BT61" s="6">
        <v>2.0</v>
      </c>
    </row>
    <row r="62">
      <c r="B62" s="50"/>
      <c r="C62" s="51"/>
      <c r="D62" s="52"/>
      <c r="E62" s="52"/>
      <c r="F62" s="52"/>
      <c r="G62" s="112"/>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2"/>
      <c r="AF62" s="113"/>
      <c r="AG62" s="113"/>
      <c r="AH62" s="113"/>
      <c r="AI62" s="113"/>
      <c r="AJ62" s="113"/>
      <c r="AK62" s="113"/>
      <c r="AL62" s="113"/>
      <c r="AM62" s="113"/>
      <c r="AN62" s="113"/>
      <c r="AO62" s="113"/>
      <c r="AP62" s="113"/>
      <c r="AQ62" s="113"/>
      <c r="AR62" s="112"/>
      <c r="AS62" s="113"/>
      <c r="AT62" s="113"/>
      <c r="AU62" s="113"/>
      <c r="AV62" s="113"/>
      <c r="AW62" s="113"/>
      <c r="AX62" s="113"/>
      <c r="AY62" s="113"/>
      <c r="AZ62" s="113"/>
      <c r="BA62" s="113"/>
      <c r="BB62" s="113"/>
      <c r="BC62" s="113"/>
      <c r="BD62" s="113"/>
      <c r="BE62" s="113"/>
      <c r="BF62" s="113"/>
      <c r="BG62" s="114"/>
      <c r="BI62" s="28"/>
      <c r="BK62" s="6" t="s">
        <v>664</v>
      </c>
      <c r="BL62" s="6">
        <v>864000.0</v>
      </c>
      <c r="BM62" s="6">
        <v>864768.0</v>
      </c>
      <c r="BN62" s="6" t="s">
        <v>664</v>
      </c>
      <c r="BO62" s="6">
        <v>9000.0</v>
      </c>
      <c r="BP62" s="6">
        <v>563.0</v>
      </c>
      <c r="BQ62" s="6" t="s">
        <v>664</v>
      </c>
      <c r="BR62" s="6">
        <v>1.0</v>
      </c>
      <c r="BS62" s="6">
        <v>4.0</v>
      </c>
      <c r="BT62" s="6">
        <v>2.0</v>
      </c>
    </row>
    <row r="63">
      <c r="B63" s="31" t="s">
        <v>663</v>
      </c>
      <c r="C63" s="54"/>
      <c r="D63" s="45"/>
      <c r="E63" s="45"/>
      <c r="F63" s="47"/>
      <c r="G63" s="112"/>
      <c r="H63" s="55" t="s">
        <v>349</v>
      </c>
      <c r="I63" s="38">
        <f>VLOOKUP(H63,'Machine List'!$A$1:$I$300,9,FALSE)</f>
        <v>4000</v>
      </c>
      <c r="J63" s="38">
        <f>IF(VLOOKUP(H63,'Machine List'!$A$1:$I$300,5,FALSE)="Multi",IF(VLOOKUP(H63,'Machine List'!$A$1:$I$300,6,FALSE)="Yes",AG63*3*10^Z63,AG63*(2*3)*10^(Z63-1)),0)</f>
        <v>6</v>
      </c>
      <c r="K63" s="38">
        <f>J63+IF(ISNUMBER(I63),I63,
  SWITCH(
      I63,
      "1T",1*10^Z63,
      "2T",2*10^Z63,
      "3T",3*10^Z63,
      "4T",4*10^Z63,
      "4000+500(7O-5)",4000+500*(7*I64-5),
      1
  )
)</f>
        <v>4006</v>
      </c>
      <c r="L63" s="38">
        <f>IF(VLOOKUP(H63,'Machine List'!$A$1:$I$300,5,FALSE)="Multi",IF(VLOOKUP(H63,'Machine List'!$A$1:$I$300,6,FALSE)="Yes",AU63*3*10^AT63,AU63*(2*3)*10^(AT63-1)),0)</f>
        <v>6000</v>
      </c>
      <c r="M63" s="38">
        <f>L63+IF(ISNUMBER(I63),I63,
  SWITCH(
      I63,
      "1T",1*10^AT63,
      "2T",2*10^AT63,
      "3T",3*10^AT63,
      "4T",4*10^AT63,
      "4000+500(7O-5)",4000+500*(7*I64-5),
      1
  )
)</f>
        <v>10000</v>
      </c>
      <c r="N63" s="38" t="str">
        <f>VLOOKUP(H63,'Machine List'!$A$1:$I$300,8,FALSE)</f>
        <v>Tier</v>
      </c>
      <c r="O63" s="38">
        <f>IF(ISNUMBER(N63),N63,10^Z63)</f>
        <v>10</v>
      </c>
      <c r="P63" s="38">
        <f>IF(ISNUMBER(N63),N63,10^AT63)</f>
        <v>10000</v>
      </c>
      <c r="Q63" s="38">
        <f>VLOOKUP(H63,'Machine List'!$A$1:$B$138,2,FALSE)</f>
        <v>1</v>
      </c>
      <c r="R63" s="38" t="s">
        <v>594</v>
      </c>
      <c r="S63" s="45">
        <f>IF(ISNUMBER(Q63),Q63,
  SWITCH(
      Q63,
      "1",1,
      "2T",Z63*2,
      "4T",Z63*4,
      "6T",Z63*6,
      "8T",Z63*8,
      "10T",Z63*10,
      "12T",Z63*12,
      "14T",Z63*14,
      "16T",Z63*16,
      "2(T+1)",2*(Z63+1),
      "1T*C",Z63*J65,
      1
  )
)</f>
        <v>1</v>
      </c>
      <c r="T63" s="38" t="s">
        <v>277</v>
      </c>
      <c r="U63" s="38">
        <f>IF(OR(T63="No",T63=""),S63,T63)</f>
        <v>1</v>
      </c>
      <c r="V63" s="38">
        <f>IF(ISNUMBER(Q63),Q63,
  SWITCH(
      Q63,
      "1",1,
      "2T",AT63*2,
      "4T",AT63*4,
      "6T",AT63*6,
      "8T",AT63*8,
      "10T",AT63*10,
      "12T",AT63*12,
      "14T",AT63*14,
      "16T",AT63*16,
      "2(T+1)",2*(AT63+1),
      "1T*C",AT63*J65,
      1
  )
)</f>
        <v>1</v>
      </c>
      <c r="W63" s="38" t="str">
        <f>T63</f>
        <v>No</v>
      </c>
      <c r="X63" s="38">
        <f>IF(OR(W63="No",W63=""),V63,W63)</f>
        <v>1</v>
      </c>
      <c r="Y63" s="38" t="s">
        <v>390</v>
      </c>
      <c r="Z63" s="38">
        <f>VLOOKUP(Y63,'Item Helper Sheet'!$A$2:$B$16,2,FALSE)</f>
        <v>1</v>
      </c>
      <c r="AA63" s="38">
        <v>96.0</v>
      </c>
      <c r="AB63" s="38">
        <f>6*20</f>
        <v>120</v>
      </c>
      <c r="AC63" s="38">
        <f>AB63*I65</f>
        <v>6480</v>
      </c>
      <c r="AD63" s="38">
        <f>AA63*AC63</f>
        <v>622080</v>
      </c>
      <c r="AE63" s="75"/>
      <c r="AF63" s="38" t="str">
        <f>Y63</f>
        <v>01 - LV</v>
      </c>
      <c r="AG63" s="38">
        <v>1.0</v>
      </c>
      <c r="AH63" s="38">
        <v>1.0</v>
      </c>
      <c r="AI63" s="38">
        <f>AH63*8*4^Z63</f>
        <v>32</v>
      </c>
      <c r="AJ63" s="38">
        <f>MIN(ROUNDDOWN(AI63/AL63,0),U63)</f>
        <v>0</v>
      </c>
      <c r="AK63" s="38">
        <f>IF(OR(T63="No",T63=""),AG63*S63,AG63*T63)</f>
        <v>1</v>
      </c>
      <c r="AL63" s="38">
        <f>ROUNDUP(AA63*VLOOKUP(H63,'Machine List'!$A$2:$D$219,4,FALSE),0)</f>
        <v>96</v>
      </c>
      <c r="AM63" s="38">
        <f>AL63*AK63</f>
        <v>96</v>
      </c>
      <c r="AN63" s="38">
        <f>ROUNDUP(AB63*I65,0)</f>
        <v>6480</v>
      </c>
      <c r="AO63" s="38">
        <f>ROUNDUP(AN63/VLOOKUP(H63,'Machine List'!$A$2:$D$219,3,FALSE),0)</f>
        <v>6480</v>
      </c>
      <c r="AP63" s="38">
        <f>ROUNDUP(AO63/AK63,0)</f>
        <v>6480</v>
      </c>
      <c r="AQ63" s="38">
        <f>AM63*AP63</f>
        <v>622080</v>
      </c>
      <c r="AR63" s="75"/>
      <c r="AS63" s="38" t="s">
        <v>401</v>
      </c>
      <c r="AT63" s="38">
        <f>VLOOKUP(AS63,'Item Helper Sheet'!$A$2:$B$16,2,FALSE)</f>
        <v>4</v>
      </c>
      <c r="AU63" s="38">
        <f>AG63</f>
        <v>1</v>
      </c>
      <c r="AV63" s="38">
        <v>1.0</v>
      </c>
      <c r="AW63" s="38">
        <f>AV63*8*4^AT63</f>
        <v>2048</v>
      </c>
      <c r="AX63" s="38">
        <f>MIN(ROUNDDOWN(AW63/AL63,0),X63)</f>
        <v>1</v>
      </c>
      <c r="AY63" s="38">
        <f>AX63*AU63</f>
        <v>1</v>
      </c>
      <c r="AZ63" s="38">
        <f>AL63</f>
        <v>96</v>
      </c>
      <c r="BA63" s="38">
        <f>MIN(AT63-Z63,IF(AW63&gt;=AZ64*4,
IF(AW63&gt;=AZ64*4^2,
IF(AW63&gt;=AZ64*4^3,
IF(AW63&gt;=AZ64*4^4,
IF(AW63&gt;=AZ64*4^5,
IF(AW63&gt;=AZ64*4^6,
IF(AW63&gt;=AZ64*4^7,
IF(AW63&gt;=AZ64*4^8,
IF(AW63&gt;=AZ64*4^9,
IF(AW63&gt;=AZ64*4^10,
9),
8),
7),
6),
5),
4),
3),
2),
1),
0))</f>
        <v>2</v>
      </c>
      <c r="BB63" s="38">
        <f>AZ63*AX63*4^BA63</f>
        <v>1536</v>
      </c>
      <c r="BC63" s="38">
        <f>BB63*AU63</f>
        <v>1536</v>
      </c>
      <c r="BD63" s="45">
        <f>ROUNDUP(IF(R63="Yes",AN63/(2^((BA63)*2)),AN63/(2^(BA63))),0)</f>
        <v>405</v>
      </c>
      <c r="BE63" s="45">
        <f>ROUNDUP(BD63/VLOOKUP(H63,'Machine List'!$A$2:$D$219,3,FALSE),0)</f>
        <v>405</v>
      </c>
      <c r="BF63" s="45">
        <f>ROUNDUP(BE63/AY63,0)</f>
        <v>405</v>
      </c>
      <c r="BG63" s="46">
        <f>BF63*BC63</f>
        <v>622080</v>
      </c>
      <c r="BI63" s="28"/>
      <c r="BK63" s="6" t="s">
        <v>665</v>
      </c>
      <c r="BL63" s="6">
        <v>398400.0</v>
      </c>
      <c r="BM63" s="6">
        <v>1593600.0</v>
      </c>
      <c r="BN63" s="6" t="s">
        <v>665</v>
      </c>
      <c r="BO63" s="6">
        <v>3320.0</v>
      </c>
      <c r="BP63" s="6">
        <v>830.0</v>
      </c>
      <c r="BQ63" s="6" t="s">
        <v>665</v>
      </c>
      <c r="BR63" s="6">
        <v>1.0</v>
      </c>
      <c r="BS63" s="6">
        <v>4.0</v>
      </c>
      <c r="BT63" s="6">
        <v>2.0</v>
      </c>
    </row>
    <row r="64">
      <c r="B64" s="40"/>
      <c r="C64" s="41" t="s">
        <v>87</v>
      </c>
      <c r="D64" s="38">
        <f>4000*I65</f>
        <v>216000</v>
      </c>
      <c r="E64" s="38" t="s">
        <v>119</v>
      </c>
      <c r="F64" s="42">
        <f>1000*I65</f>
        <v>54000</v>
      </c>
      <c r="G64" s="112"/>
      <c r="H64" s="99" t="s">
        <v>584</v>
      </c>
      <c r="I64" s="45">
        <f t="array" ref="I64">match(TRUE,ISBLANK(F64:F76),0)-1</f>
        <v>1</v>
      </c>
      <c r="J64" s="120" t="s">
        <v>420</v>
      </c>
      <c r="K64" s="120" t="s">
        <v>585</v>
      </c>
      <c r="L64" s="121"/>
      <c r="M64" s="121"/>
      <c r="N64" s="121"/>
      <c r="O64" s="121"/>
      <c r="P64" s="121"/>
      <c r="Q64" s="121"/>
      <c r="R64" s="121"/>
      <c r="S64" s="121"/>
      <c r="T64" s="121"/>
      <c r="U64" s="121"/>
      <c r="V64" s="121"/>
      <c r="W64" s="121"/>
      <c r="X64" s="121"/>
      <c r="Y64" s="121"/>
      <c r="Z64" s="121"/>
      <c r="AA64" s="121"/>
      <c r="AB64" s="121"/>
      <c r="AC64" s="121"/>
      <c r="AD64" s="121"/>
      <c r="AE64" s="118"/>
      <c r="AF64" s="121"/>
      <c r="AG64" s="121"/>
      <c r="AH64" s="121"/>
      <c r="AI64" s="121"/>
      <c r="AJ64" s="121"/>
      <c r="AK64" s="121"/>
      <c r="AL64" s="121"/>
      <c r="AM64" s="121"/>
      <c r="AN64" s="121"/>
      <c r="AO64" s="121"/>
      <c r="AP64" s="121"/>
      <c r="AQ64" s="121"/>
      <c r="AR64" s="118"/>
      <c r="AS64" s="121"/>
      <c r="AT64" s="121"/>
      <c r="AU64" s="121"/>
      <c r="AV64" s="121"/>
      <c r="AW64" s="121"/>
      <c r="AX64" s="121"/>
      <c r="AY64" s="121"/>
      <c r="AZ64" s="116">
        <f>AZ63*AX63</f>
        <v>96</v>
      </c>
      <c r="BA64" s="121"/>
      <c r="BB64" s="121"/>
      <c r="BC64" s="121"/>
      <c r="BD64" s="121"/>
      <c r="BE64" s="121"/>
      <c r="BF64" s="121"/>
      <c r="BG64" s="122"/>
      <c r="BI64" s="28"/>
      <c r="BK64" s="6" t="s">
        <v>666</v>
      </c>
      <c r="BL64" s="6">
        <v>168000.0</v>
      </c>
      <c r="BM64" s="6">
        <v>168960.0</v>
      </c>
      <c r="BN64" s="6" t="s">
        <v>666</v>
      </c>
      <c r="BO64" s="6">
        <v>350.0</v>
      </c>
      <c r="BP64" s="6">
        <v>88.0</v>
      </c>
      <c r="BQ64" s="6" t="s">
        <v>666</v>
      </c>
      <c r="BR64" s="6">
        <v>1.0</v>
      </c>
      <c r="BS64" s="6">
        <v>4.0</v>
      </c>
      <c r="BT64" s="6">
        <v>1.0</v>
      </c>
    </row>
    <row r="65">
      <c r="B65" s="40"/>
      <c r="C65" s="41" t="s">
        <v>45</v>
      </c>
      <c r="D65" s="38">
        <f>1000*I65</f>
        <v>54000</v>
      </c>
      <c r="E65" s="38"/>
      <c r="F65" s="42"/>
      <c r="G65" s="112"/>
      <c r="H65" s="48" t="s">
        <v>502</v>
      </c>
      <c r="I65" s="49">
        <v>54.0</v>
      </c>
      <c r="J65" s="100" t="s">
        <v>424</v>
      </c>
      <c r="K65" s="120">
        <v>0.0</v>
      </c>
      <c r="L65" s="121"/>
      <c r="M65" s="121"/>
      <c r="N65" s="121"/>
      <c r="O65" s="121"/>
      <c r="P65" s="121"/>
      <c r="Q65" s="121"/>
      <c r="R65" s="121"/>
      <c r="S65" s="121"/>
      <c r="T65" s="121"/>
      <c r="U65" s="121"/>
      <c r="V65" s="121"/>
      <c r="W65" s="121"/>
      <c r="X65" s="121"/>
      <c r="Y65" s="121"/>
      <c r="Z65" s="121"/>
      <c r="AA65" s="121"/>
      <c r="AB65" s="121"/>
      <c r="AC65" s="121"/>
      <c r="AD65" s="121"/>
      <c r="AE65" s="118"/>
      <c r="AF65" s="121"/>
      <c r="AG65" s="121"/>
      <c r="AH65" s="121"/>
      <c r="AI65" s="121"/>
      <c r="AJ65" s="121"/>
      <c r="AK65" s="121"/>
      <c r="AL65" s="121"/>
      <c r="AM65" s="121"/>
      <c r="AN65" s="121"/>
      <c r="AO65" s="121"/>
      <c r="AP65" s="121"/>
      <c r="AQ65" s="121"/>
      <c r="AR65" s="118"/>
      <c r="AS65" s="121"/>
      <c r="AT65" s="121"/>
      <c r="AU65" s="121"/>
      <c r="AV65" s="121"/>
      <c r="AW65" s="121"/>
      <c r="AX65" s="121"/>
      <c r="AY65" s="121"/>
      <c r="AZ65" s="121"/>
      <c r="BA65" s="121"/>
      <c r="BB65" s="121"/>
      <c r="BC65" s="121"/>
      <c r="BD65" s="121"/>
      <c r="BE65" s="121"/>
      <c r="BF65" s="121"/>
      <c r="BG65" s="122"/>
      <c r="BI65" s="28"/>
      <c r="BK65" s="6" t="s">
        <v>667</v>
      </c>
      <c r="BL65" s="6">
        <v>60000.0</v>
      </c>
      <c r="BM65" s="6">
        <v>61440.0</v>
      </c>
      <c r="BN65" s="6" t="s">
        <v>667</v>
      </c>
      <c r="BO65" s="6">
        <v>2000.0</v>
      </c>
      <c r="BP65" s="6">
        <v>32.0</v>
      </c>
      <c r="BQ65" s="6" t="s">
        <v>667</v>
      </c>
      <c r="BR65" s="6">
        <v>1.0</v>
      </c>
      <c r="BS65" s="6">
        <v>4.0</v>
      </c>
      <c r="BT65" s="6">
        <v>3.0</v>
      </c>
    </row>
    <row r="66">
      <c r="B66" s="50"/>
      <c r="C66" s="51"/>
      <c r="D66" s="52"/>
      <c r="E66" s="52"/>
      <c r="F66" s="52"/>
      <c r="G66" s="112"/>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2"/>
      <c r="AF66" s="113"/>
      <c r="AG66" s="113"/>
      <c r="AH66" s="113"/>
      <c r="AI66" s="113"/>
      <c r="AJ66" s="113"/>
      <c r="AK66" s="113"/>
      <c r="AL66" s="113"/>
      <c r="AM66" s="113"/>
      <c r="AN66" s="113"/>
      <c r="AO66" s="113"/>
      <c r="AP66" s="113"/>
      <c r="AQ66" s="113"/>
      <c r="AR66" s="112"/>
      <c r="AS66" s="113"/>
      <c r="AT66" s="113"/>
      <c r="AU66" s="113"/>
      <c r="AV66" s="113"/>
      <c r="AW66" s="113"/>
      <c r="AX66" s="113"/>
      <c r="AY66" s="113"/>
      <c r="AZ66" s="113"/>
      <c r="BA66" s="113"/>
      <c r="BB66" s="113"/>
      <c r="BC66" s="113"/>
      <c r="BD66" s="113"/>
      <c r="BE66" s="113"/>
      <c r="BF66" s="113"/>
      <c r="BG66" s="114"/>
      <c r="BI66" s="28"/>
      <c r="BK66" s="6" t="s">
        <v>668</v>
      </c>
      <c r="BL66" s="6">
        <v>1920000.0</v>
      </c>
      <c r="BM66" s="6">
        <v>1920000.0</v>
      </c>
      <c r="BN66" s="6" t="s">
        <v>668</v>
      </c>
      <c r="BO66" s="6">
        <v>4000.0</v>
      </c>
      <c r="BP66" s="6">
        <v>1000.0</v>
      </c>
      <c r="BQ66" s="6" t="s">
        <v>668</v>
      </c>
      <c r="BR66" s="6">
        <v>1.0</v>
      </c>
      <c r="BS66" s="6">
        <v>4.0</v>
      </c>
      <c r="BT66" s="6">
        <v>1.0</v>
      </c>
    </row>
    <row r="67">
      <c r="B67" s="31" t="s">
        <v>664</v>
      </c>
      <c r="C67" s="54"/>
      <c r="D67" s="45"/>
      <c r="E67" s="45"/>
      <c r="F67" s="47"/>
      <c r="G67" s="112"/>
      <c r="H67" s="55" t="s">
        <v>349</v>
      </c>
      <c r="I67" s="38">
        <f>VLOOKUP(H67,'Machine List'!$A$1:$I$300,9,FALSE)</f>
        <v>4000</v>
      </c>
      <c r="J67" s="38">
        <f>IF(VLOOKUP(H67,'Machine List'!$A$1:$I$300,5,FALSE)="Multi",IF(VLOOKUP(H67,'Machine List'!$A$1:$I$300,6,FALSE)="Yes",AG67*3*10^Z67,AG67*(2*3)*10^(Z67-1)),0)</f>
        <v>6</v>
      </c>
      <c r="K67" s="38">
        <f>J67+IF(ISNUMBER(I67),I67,
  SWITCH(
      I67,
      "1T",1*10^Z67,
      "2T",2*10^Z67,
      "3T",3*10^Z67,
      "4T",4*10^Z67,
      "4000+500(7O-5)",4000+500*(7*I68-5),
      1
  )
)</f>
        <v>4006</v>
      </c>
      <c r="L67" s="38">
        <f>IF(VLOOKUP(H67,'Machine List'!$A$1:$I$300,5,FALSE)="Multi",IF(VLOOKUP(H67,'Machine List'!$A$1:$I$300,6,FALSE)="Yes",AU67*3*10^AT67,AU67*(2*3)*10^(AT67-1)),0)</f>
        <v>6000</v>
      </c>
      <c r="M67" s="38">
        <f>L67+IF(ISNUMBER(I67),I67,
  SWITCH(
      I67,
      "1T",1*10^AT67,
      "2T",2*10^AT67,
      "3T",3*10^AT67,
      "4T",4*10^AT67,
      "4000+500(7O-5)",4000+500*(7*I68-5),
      1
  )
)</f>
        <v>10000</v>
      </c>
      <c r="N67" s="38" t="str">
        <f>VLOOKUP(H67,'Machine List'!$A$1:$I$300,8,FALSE)</f>
        <v>Tier</v>
      </c>
      <c r="O67" s="38">
        <f>IF(ISNUMBER(N67),N67,10^Z67)</f>
        <v>10</v>
      </c>
      <c r="P67" s="38">
        <f>IF(ISNUMBER(N67),N67,10^AT67)</f>
        <v>10000</v>
      </c>
      <c r="Q67" s="38">
        <f>VLOOKUP(H67,'Machine List'!$A$1:$B$138,2,FALSE)</f>
        <v>1</v>
      </c>
      <c r="R67" s="38" t="s">
        <v>594</v>
      </c>
      <c r="S67" s="45">
        <f>IF(ISNUMBER(Q67),Q67,
  SWITCH(
      Q67,
      "1",1,
      "2T",Z67*2,
      "4T",Z67*4,
      "6T",Z67*6,
      "8T",Z67*8,
      "10T",Z67*10,
      "12T",Z67*12,
      "14T",Z67*14,
      "16T",Z67*16,
      "2(T+1)",2*(Z67+1),
      "1T*C",Z67*J69,
      1
  )
)</f>
        <v>1</v>
      </c>
      <c r="T67" s="38" t="s">
        <v>277</v>
      </c>
      <c r="U67" s="38">
        <f>IF(OR(T67="No",T67=""),S67,T67)</f>
        <v>1</v>
      </c>
      <c r="V67" s="38">
        <f>IF(ISNUMBER(Q67),Q67,
  SWITCH(
      Q67,
      "1",1,
      "2T",AT67*2,
      "4T",AT67*4,
      "6T",AT67*6,
      "8T",AT67*8,
      "10T",AT67*10,
      "12T",AT67*12,
      "14T",AT67*14,
      "16T",AT67*16,
      "2(T+1)",2*(AT67+1),
      "1T*C",AT67*J69,
      1
  )
)</f>
        <v>1</v>
      </c>
      <c r="W67" s="38" t="str">
        <f>T67</f>
        <v>No</v>
      </c>
      <c r="X67" s="38">
        <f>IF(OR(W67="No",W67=""),V67,W67)</f>
        <v>1</v>
      </c>
      <c r="Y67" s="38" t="s">
        <v>390</v>
      </c>
      <c r="Z67" s="38">
        <f>VLOOKUP(Y67,'Item Helper Sheet'!$A$2:$B$16,2,FALSE)</f>
        <v>1</v>
      </c>
      <c r="AA67" s="38">
        <v>96.0</v>
      </c>
      <c r="AB67" s="38">
        <f>6*20</f>
        <v>120</v>
      </c>
      <c r="AC67" s="38">
        <f>AB67*I69</f>
        <v>9000</v>
      </c>
      <c r="AD67" s="38">
        <f>AA67*AC67</f>
        <v>864000</v>
      </c>
      <c r="AE67" s="75"/>
      <c r="AF67" s="38" t="str">
        <f>Y67</f>
        <v>01 - LV</v>
      </c>
      <c r="AG67" s="38">
        <v>1.0</v>
      </c>
      <c r="AH67" s="38">
        <v>1.0</v>
      </c>
      <c r="AI67" s="38">
        <f>AH67*8*4^Z67</f>
        <v>32</v>
      </c>
      <c r="AJ67" s="38">
        <f>MIN(ROUNDDOWN(AI67/AL67,0),U67)</f>
        <v>0</v>
      </c>
      <c r="AK67" s="38">
        <f>IF(OR(T67="No",T67=""),AG67*S67,AG67*T67)</f>
        <v>1</v>
      </c>
      <c r="AL67" s="38">
        <f>ROUNDUP(AA67*VLOOKUP(H67,'Machine List'!$A$2:$D$219,4,FALSE),0)</f>
        <v>96</v>
      </c>
      <c r="AM67" s="38">
        <f>AL67*AK67</f>
        <v>96</v>
      </c>
      <c r="AN67" s="38">
        <f>ROUNDUP(AB67*I69,0)</f>
        <v>9000</v>
      </c>
      <c r="AO67" s="38">
        <f>ROUNDUP(AN67/VLOOKUP(H67,'Machine List'!$A$2:$D$219,3,FALSE),0)</f>
        <v>9000</v>
      </c>
      <c r="AP67" s="38">
        <f>ROUNDUP(AO67/AK67,0)</f>
        <v>9000</v>
      </c>
      <c r="AQ67" s="38">
        <f>AM67*AP67</f>
        <v>864000</v>
      </c>
      <c r="AR67" s="75"/>
      <c r="AS67" s="38" t="s">
        <v>401</v>
      </c>
      <c r="AT67" s="38">
        <f>VLOOKUP(AS67,'Item Helper Sheet'!$A$2:$B$16,2,FALSE)</f>
        <v>4</v>
      </c>
      <c r="AU67" s="38">
        <f>AG67</f>
        <v>1</v>
      </c>
      <c r="AV67" s="38">
        <v>1.0</v>
      </c>
      <c r="AW67" s="38">
        <f>AV67*8*4^AT67</f>
        <v>2048</v>
      </c>
      <c r="AX67" s="38">
        <f>MIN(ROUNDDOWN(AW67/AL67,0),X67)</f>
        <v>1</v>
      </c>
      <c r="AY67" s="38">
        <f>AX67*AU67</f>
        <v>1</v>
      </c>
      <c r="AZ67" s="38">
        <f>AL67</f>
        <v>96</v>
      </c>
      <c r="BA67" s="38">
        <f>MIN(AT67-Z67,IF(AW67&gt;=AZ68*4,
IF(AW67&gt;=AZ68*4^2,
IF(AW67&gt;=AZ68*4^3,
IF(AW67&gt;=AZ68*4^4,
IF(AW67&gt;=AZ68*4^5,
IF(AW67&gt;=AZ68*4^6,
IF(AW67&gt;=AZ68*4^7,
IF(AW67&gt;=AZ68*4^8,
IF(AW67&gt;=AZ68*4^9,
IF(AW67&gt;=AZ68*4^10,
9),
8),
7),
6),
5),
4),
3),
2),
1),
0))</f>
        <v>2</v>
      </c>
      <c r="BB67" s="38">
        <f>AZ67*AX67*4^BA67</f>
        <v>1536</v>
      </c>
      <c r="BC67" s="38">
        <f>BB67*AU67</f>
        <v>1536</v>
      </c>
      <c r="BD67" s="45">
        <f>ROUNDUP(IF(R67="Yes",AN67/(2^((BA67)*2)),AN67/(2^(BA67))),0)</f>
        <v>563</v>
      </c>
      <c r="BE67" s="45">
        <f>ROUNDUP(BD67/VLOOKUP(H67,'Machine List'!$A$2:$D$219,3,FALSE),0)</f>
        <v>563</v>
      </c>
      <c r="BF67" s="45">
        <f>ROUNDUP(BE67/AY67,0)</f>
        <v>563</v>
      </c>
      <c r="BG67" s="46">
        <f>BF67*BC67</f>
        <v>864768</v>
      </c>
      <c r="BI67" s="28"/>
      <c r="BK67" s="6" t="s">
        <v>669</v>
      </c>
      <c r="BL67" s="6">
        <v>480000.0</v>
      </c>
      <c r="BM67" s="6">
        <v>480000.0</v>
      </c>
      <c r="BN67" s="6" t="s">
        <v>669</v>
      </c>
      <c r="BO67" s="6">
        <v>1000.0</v>
      </c>
      <c r="BP67" s="6">
        <v>250.0</v>
      </c>
      <c r="BQ67" s="6" t="s">
        <v>669</v>
      </c>
      <c r="BR67" s="6">
        <v>1.0</v>
      </c>
      <c r="BS67" s="6">
        <v>4.0</v>
      </c>
      <c r="BT67" s="6">
        <v>1.0</v>
      </c>
    </row>
    <row r="68">
      <c r="B68" s="40"/>
      <c r="C68" s="41" t="s">
        <v>119</v>
      </c>
      <c r="D68" s="38">
        <f>1000*I69</f>
        <v>75000</v>
      </c>
      <c r="E68" s="38" t="s">
        <v>121</v>
      </c>
      <c r="F68" s="42">
        <f>1000*I69</f>
        <v>75000</v>
      </c>
      <c r="G68" s="112"/>
      <c r="H68" s="99" t="s">
        <v>584</v>
      </c>
      <c r="I68" s="45">
        <f t="array" ref="I68">match(TRUE,ISBLANK(F68:F80),0)-1</f>
        <v>1</v>
      </c>
      <c r="J68" s="120" t="s">
        <v>420</v>
      </c>
      <c r="K68" s="120" t="s">
        <v>585</v>
      </c>
      <c r="L68" s="121"/>
      <c r="M68" s="121"/>
      <c r="N68" s="121"/>
      <c r="O68" s="121"/>
      <c r="P68" s="121"/>
      <c r="Q68" s="121"/>
      <c r="R68" s="121"/>
      <c r="S68" s="121"/>
      <c r="T68" s="121"/>
      <c r="U68" s="121"/>
      <c r="V68" s="121"/>
      <c r="W68" s="121"/>
      <c r="X68" s="121"/>
      <c r="Y68" s="121"/>
      <c r="Z68" s="121"/>
      <c r="AA68" s="121"/>
      <c r="AB68" s="121"/>
      <c r="AC68" s="121"/>
      <c r="AD68" s="121"/>
      <c r="AE68" s="118"/>
      <c r="AF68" s="121"/>
      <c r="AG68" s="121"/>
      <c r="AH68" s="121"/>
      <c r="AI68" s="121"/>
      <c r="AJ68" s="121"/>
      <c r="AK68" s="121"/>
      <c r="AL68" s="121"/>
      <c r="AM68" s="121"/>
      <c r="AN68" s="121"/>
      <c r="AO68" s="121"/>
      <c r="AP68" s="121"/>
      <c r="AQ68" s="121"/>
      <c r="AR68" s="118"/>
      <c r="AS68" s="121"/>
      <c r="AT68" s="121"/>
      <c r="AU68" s="121"/>
      <c r="AV68" s="121"/>
      <c r="AW68" s="121"/>
      <c r="AX68" s="121"/>
      <c r="AY68" s="121"/>
      <c r="AZ68" s="116">
        <f>AZ67*AX67</f>
        <v>96</v>
      </c>
      <c r="BA68" s="121"/>
      <c r="BB68" s="121"/>
      <c r="BC68" s="121"/>
      <c r="BD68" s="121"/>
      <c r="BE68" s="121"/>
      <c r="BF68" s="121"/>
      <c r="BG68" s="122"/>
      <c r="BI68" s="28"/>
      <c r="BK68" s="6" t="s">
        <v>670</v>
      </c>
      <c r="BL68" s="6">
        <v>96000.0</v>
      </c>
      <c r="BM68" s="6">
        <v>96000.0</v>
      </c>
      <c r="BN68" s="6" t="s">
        <v>670</v>
      </c>
      <c r="BO68" s="6">
        <v>200.0</v>
      </c>
      <c r="BP68" s="6">
        <v>50.0</v>
      </c>
      <c r="BQ68" s="6" t="s">
        <v>670</v>
      </c>
      <c r="BR68" s="6">
        <v>1.0</v>
      </c>
      <c r="BS68" s="6">
        <v>4.0</v>
      </c>
      <c r="BT68" s="6">
        <v>1.0</v>
      </c>
    </row>
    <row r="69">
      <c r="B69" s="40"/>
      <c r="C69" s="41" t="s">
        <v>38</v>
      </c>
      <c r="D69" s="38">
        <f>1000*I69</f>
        <v>75000</v>
      </c>
      <c r="E69" s="38"/>
      <c r="F69" s="42"/>
      <c r="G69" s="112"/>
      <c r="H69" s="48" t="s">
        <v>502</v>
      </c>
      <c r="I69" s="49">
        <v>75.0</v>
      </c>
      <c r="J69" s="100" t="s">
        <v>424</v>
      </c>
      <c r="K69" s="120">
        <v>0.0</v>
      </c>
      <c r="L69" s="121"/>
      <c r="M69" s="121"/>
      <c r="N69" s="121"/>
      <c r="O69" s="121"/>
      <c r="P69" s="121"/>
      <c r="Q69" s="121"/>
      <c r="R69" s="121"/>
      <c r="S69" s="121"/>
      <c r="T69" s="121"/>
      <c r="U69" s="121"/>
      <c r="V69" s="121"/>
      <c r="W69" s="121"/>
      <c r="X69" s="121"/>
      <c r="Y69" s="121"/>
      <c r="Z69" s="121"/>
      <c r="AA69" s="121"/>
      <c r="AB69" s="121"/>
      <c r="AC69" s="121"/>
      <c r="AD69" s="121"/>
      <c r="AE69" s="118"/>
      <c r="AF69" s="121"/>
      <c r="AG69" s="121"/>
      <c r="AH69" s="121"/>
      <c r="AI69" s="121"/>
      <c r="AJ69" s="121"/>
      <c r="AK69" s="121"/>
      <c r="AL69" s="121"/>
      <c r="AM69" s="121"/>
      <c r="AN69" s="121"/>
      <c r="AO69" s="121"/>
      <c r="AP69" s="121"/>
      <c r="AQ69" s="121"/>
      <c r="AR69" s="118"/>
      <c r="AS69" s="121"/>
      <c r="AT69" s="121"/>
      <c r="AU69" s="121"/>
      <c r="AV69" s="121"/>
      <c r="AW69" s="121"/>
      <c r="AX69" s="121"/>
      <c r="AY69" s="121"/>
      <c r="AZ69" s="121"/>
      <c r="BA69" s="121"/>
      <c r="BB69" s="121"/>
      <c r="BC69" s="121"/>
      <c r="BD69" s="121"/>
      <c r="BE69" s="121"/>
      <c r="BF69" s="121"/>
      <c r="BG69" s="122"/>
      <c r="BI69" s="28"/>
      <c r="BK69" s="6" t="s">
        <v>671</v>
      </c>
      <c r="BL69" s="6">
        <v>1056000.0</v>
      </c>
      <c r="BM69" s="6">
        <v>1056000.0</v>
      </c>
      <c r="BN69" s="6" t="s">
        <v>671</v>
      </c>
      <c r="BO69" s="6">
        <v>550.0</v>
      </c>
      <c r="BP69" s="6">
        <v>550.0</v>
      </c>
      <c r="BQ69" s="6" t="s">
        <v>671</v>
      </c>
      <c r="BR69" s="6">
        <v>1.0</v>
      </c>
      <c r="BS69" s="6">
        <v>4.0</v>
      </c>
      <c r="BT69" s="6">
        <v>0.0</v>
      </c>
    </row>
    <row r="70">
      <c r="B70" s="50"/>
      <c r="C70" s="51"/>
      <c r="D70" s="52"/>
      <c r="E70" s="52"/>
      <c r="F70" s="52"/>
      <c r="G70" s="112"/>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2"/>
      <c r="AF70" s="113"/>
      <c r="AG70" s="113"/>
      <c r="AH70" s="113"/>
      <c r="AI70" s="113"/>
      <c r="AJ70" s="113"/>
      <c r="AK70" s="113"/>
      <c r="AL70" s="113"/>
      <c r="AM70" s="113"/>
      <c r="AN70" s="113"/>
      <c r="AO70" s="113"/>
      <c r="AP70" s="113"/>
      <c r="AQ70" s="113"/>
      <c r="AR70" s="112"/>
      <c r="AS70" s="113"/>
      <c r="AT70" s="113"/>
      <c r="AU70" s="113"/>
      <c r="AV70" s="113"/>
      <c r="AW70" s="113"/>
      <c r="AX70" s="113"/>
      <c r="AY70" s="113"/>
      <c r="AZ70" s="113"/>
      <c r="BA70" s="113"/>
      <c r="BB70" s="113"/>
      <c r="BC70" s="113"/>
      <c r="BD70" s="113"/>
      <c r="BE70" s="113"/>
      <c r="BF70" s="113"/>
      <c r="BG70" s="114"/>
      <c r="BI70" s="28"/>
      <c r="BK70" s="6" t="s">
        <v>487</v>
      </c>
      <c r="BL70" s="6">
        <v>1.89864E7</v>
      </c>
      <c r="BM70" s="6">
        <v>5.4651648E7</v>
      </c>
    </row>
    <row r="71">
      <c r="B71" s="31" t="s">
        <v>665</v>
      </c>
      <c r="C71" s="54"/>
      <c r="D71" s="45"/>
      <c r="E71" s="45"/>
      <c r="F71" s="47"/>
      <c r="G71" s="112"/>
      <c r="H71" s="55" t="s">
        <v>298</v>
      </c>
      <c r="I71" s="38" t="str">
        <f>VLOOKUP(H71,'Machine List'!$A$1:$I$300,9,FALSE)</f>
        <v>4000+500(7O-5)</v>
      </c>
      <c r="J71" s="38">
        <f>IF(VLOOKUP(H71,'Machine List'!$A$1:$I$300,5,FALSE)="Multi",IF(VLOOKUP(H71,'Machine List'!$A$1:$I$300,6,FALSE)="Yes",AG71*3*10^Z71,AG71*(2*3)*10^(Z71-1)),0)</f>
        <v>6</v>
      </c>
      <c r="K71" s="38">
        <f>J71+IF(ISNUMBER(I71),I71,
  SWITCH(
      I71,
      "1T",1*10^Z71,
      "2T",2*10^Z71,
      "3T",3*10^Z71,
      "4T",4*10^Z71,
      "4000+500(7O-5)",4000+500*(7*I72-5),
      1
  )
)</f>
        <v>12006</v>
      </c>
      <c r="L71" s="38">
        <f>IF(VLOOKUP(H71,'Machine List'!$A$1:$I$300,5,FALSE)="Multi",IF(VLOOKUP(H71,'Machine List'!$A$1:$I$300,6,FALSE)="Yes",AU71*3*10^AT71,AU71*(2*3)*10^(AT71-1)),0)</f>
        <v>6000</v>
      </c>
      <c r="M71" s="38">
        <f>L71+IF(ISNUMBER(I71),I71,
  SWITCH(
      I71,
      "1T",1*10^AT71,
      "2T",2*10^AT71,
      "3T",3*10^AT71,
      "4T",4*10^AT71,
      "4000+500(7O-5)",4000+500*(7*I72-5),
      1
  )
)</f>
        <v>18000</v>
      </c>
      <c r="N71" s="38" t="str">
        <f>VLOOKUP(H71,'Machine List'!$A$1:$I$300,8,FALSE)</f>
        <v>Tier</v>
      </c>
      <c r="O71" s="38">
        <f>IF(ISNUMBER(N71),N71,10^Z71)</f>
        <v>10</v>
      </c>
      <c r="P71" s="38">
        <f>IF(ISNUMBER(N71),N71,10^AT71)</f>
        <v>10000</v>
      </c>
      <c r="Q71" s="38">
        <f>VLOOKUP(H71,'Machine List'!$A$1:$B$138,2,FALSE)</f>
        <v>1</v>
      </c>
      <c r="R71" s="38" t="s">
        <v>277</v>
      </c>
      <c r="S71" s="45">
        <f>IF(ISNUMBER(Q71),Q71,
  SWITCH(
      Q71,
      "1",1,
      "2T",Z71*2,
      "4T",Z71*4,
      "6T",Z71*6,
      "8T",Z71*8,
      "10T",Z71*10,
      "12T",Z71*12,
      "14T",Z71*14,
      "16T",Z71*16,
      "2(T+1)",2*(Z71+1),
      "1T*C",Z71*J73,
      1
  )
)</f>
        <v>1</v>
      </c>
      <c r="T71" s="38" t="s">
        <v>277</v>
      </c>
      <c r="U71" s="38">
        <f>IF(OR(T71="No",T71=""),S71,T71)</f>
        <v>1</v>
      </c>
      <c r="V71" s="38">
        <f>IF(ISNUMBER(Q71),Q71,
  SWITCH(
      Q71,
      "1",1,
      "2T",AT71*2,
      "4T",AT71*4,
      "6T",AT71*6,
      "8T",AT71*8,
      "10T",AT71*10,
      "12T",AT71*12,
      "14T",AT71*14,
      "16T",AT71*16,
      "2(T+1)",2*(AT71+1),
      "1T*C",AT71*J73,
      1
  )
)</f>
        <v>1</v>
      </c>
      <c r="W71" s="38" t="str">
        <f>T71</f>
        <v>No</v>
      </c>
      <c r="X71" s="38">
        <f>IF(OR(W71="No",W71=""),V71,W71)</f>
        <v>1</v>
      </c>
      <c r="Y71" s="38" t="s">
        <v>390</v>
      </c>
      <c r="Z71" s="38">
        <f>VLOOKUP(Y71,'Item Helper Sheet'!$A$2:$B$16,2,FALSE)</f>
        <v>1</v>
      </c>
      <c r="AA71" s="38">
        <v>120.0</v>
      </c>
      <c r="AB71" s="38">
        <f>2*20</f>
        <v>40</v>
      </c>
      <c r="AC71" s="38">
        <f>AB71*I73</f>
        <v>3320</v>
      </c>
      <c r="AD71" s="38">
        <f>AA71*AC71</f>
        <v>398400</v>
      </c>
      <c r="AE71" s="75"/>
      <c r="AF71" s="38" t="str">
        <f>Y71</f>
        <v>01 - LV</v>
      </c>
      <c r="AG71" s="38">
        <v>1.0</v>
      </c>
      <c r="AH71" s="38">
        <v>1.0</v>
      </c>
      <c r="AI71" s="38">
        <f>AH71*8*4^Z71</f>
        <v>32</v>
      </c>
      <c r="AJ71" s="38">
        <f>MIN(ROUNDDOWN(AI71/AL71,0),U71)</f>
        <v>0</v>
      </c>
      <c r="AK71" s="38">
        <f>IF(OR(T71="No",T71=""),AG71*S71,AG71*T71)</f>
        <v>1</v>
      </c>
      <c r="AL71" s="38">
        <f>ROUNDUP(AA71*VLOOKUP(H71,'Machine List'!$A$2:$D$219,4,FALSE),0)</f>
        <v>120</v>
      </c>
      <c r="AM71" s="38">
        <f>AL71*AK71</f>
        <v>120</v>
      </c>
      <c r="AN71" s="38">
        <f>ROUNDUP(AB71*I73,0)</f>
        <v>3320</v>
      </c>
      <c r="AO71" s="38">
        <f>ROUNDUP(AN71/VLOOKUP(H71,'Machine List'!$A$2:$D$219,3,FALSE),0)</f>
        <v>3320</v>
      </c>
      <c r="AP71" s="38">
        <f>ROUNDUP(AO71/AK71,0)</f>
        <v>3320</v>
      </c>
      <c r="AQ71" s="38">
        <f>AM71*AP71</f>
        <v>398400</v>
      </c>
      <c r="AR71" s="75"/>
      <c r="AS71" s="38" t="s">
        <v>401</v>
      </c>
      <c r="AT71" s="38">
        <f>VLOOKUP(AS71,'Item Helper Sheet'!$A$2:$B$16,2,FALSE)</f>
        <v>4</v>
      </c>
      <c r="AU71" s="38">
        <f>AG71</f>
        <v>1</v>
      </c>
      <c r="AV71" s="38">
        <v>1.0</v>
      </c>
      <c r="AW71" s="38">
        <f>AV71*8*4^AT71</f>
        <v>2048</v>
      </c>
      <c r="AX71" s="38">
        <f>MIN(ROUNDDOWN(AW71/AL71,0),X71)</f>
        <v>1</v>
      </c>
      <c r="AY71" s="38">
        <f>AX71*AU71</f>
        <v>1</v>
      </c>
      <c r="AZ71" s="38">
        <f>AL71</f>
        <v>120</v>
      </c>
      <c r="BA71" s="38">
        <f>MIN(AT71-Z71,IF(AW71&gt;=AZ72*4,
IF(AW71&gt;=AZ72*4^2,
IF(AW71&gt;=AZ72*4^3,
IF(AW71&gt;=AZ72*4^4,
IF(AW71&gt;=AZ72*4^5,
IF(AW71&gt;=AZ72*4^6,
IF(AW71&gt;=AZ72*4^7,
IF(AW71&gt;=AZ72*4^8,
IF(AW71&gt;=AZ72*4^9,
IF(AW71&gt;=AZ72*4^10,
9),
8),
7),
6),
5),
4),
3),
2),
1),
0))</f>
        <v>2</v>
      </c>
      <c r="BB71" s="38">
        <f>AZ71*AX71*4^BA71</f>
        <v>1920</v>
      </c>
      <c r="BC71" s="38">
        <f>BB71*AU71</f>
        <v>1920</v>
      </c>
      <c r="BD71" s="45">
        <f>ROUNDUP(IF(R71="Yes",AN71/(2^((BA71)*2)),AN71/(2^(BA71))),0)</f>
        <v>830</v>
      </c>
      <c r="BE71" s="45">
        <f>ROUNDUP(BD71/VLOOKUP(H71,'Machine List'!$A$2:$D$219,3,FALSE),0)</f>
        <v>830</v>
      </c>
      <c r="BF71" s="45">
        <f>ROUNDUP(BE71/AY71,0)</f>
        <v>830</v>
      </c>
      <c r="BG71" s="46">
        <f>BF71*BC71</f>
        <v>1593600</v>
      </c>
      <c r="BI71" s="28"/>
    </row>
    <row r="72">
      <c r="B72" s="40"/>
      <c r="C72" s="41" t="s">
        <v>121</v>
      </c>
      <c r="D72" s="38">
        <f>900*I73</f>
        <v>74700</v>
      </c>
      <c r="E72" s="38" t="s">
        <v>38</v>
      </c>
      <c r="F72" s="42">
        <f>400*I73</f>
        <v>33200</v>
      </c>
      <c r="G72" s="112"/>
      <c r="H72" s="99" t="s">
        <v>584</v>
      </c>
      <c r="I72" s="45">
        <f t="array" ref="I72">match(TRUE,ISBLANK(F72:F84),0)-1</f>
        <v>3</v>
      </c>
      <c r="J72" s="120" t="s">
        <v>420</v>
      </c>
      <c r="K72" s="120" t="s">
        <v>585</v>
      </c>
      <c r="L72" s="121"/>
      <c r="M72" s="121"/>
      <c r="N72" s="121"/>
      <c r="O72" s="121"/>
      <c r="P72" s="121"/>
      <c r="Q72" s="121"/>
      <c r="R72" s="121"/>
      <c r="S72" s="121"/>
      <c r="T72" s="121"/>
      <c r="U72" s="121"/>
      <c r="V72" s="121"/>
      <c r="W72" s="121"/>
      <c r="X72" s="121"/>
      <c r="Y72" s="121"/>
      <c r="Z72" s="121"/>
      <c r="AA72" s="121"/>
      <c r="AB72" s="121"/>
      <c r="AC72" s="121"/>
      <c r="AD72" s="121"/>
      <c r="AE72" s="118"/>
      <c r="AF72" s="121"/>
      <c r="AG72" s="121"/>
      <c r="AH72" s="121"/>
      <c r="AI72" s="121"/>
      <c r="AJ72" s="121"/>
      <c r="AK72" s="121"/>
      <c r="AL72" s="121"/>
      <c r="AM72" s="121"/>
      <c r="AN72" s="121"/>
      <c r="AO72" s="121"/>
      <c r="AP72" s="121"/>
      <c r="AQ72" s="121"/>
      <c r="AR72" s="118"/>
      <c r="AS72" s="121"/>
      <c r="AT72" s="121"/>
      <c r="AU72" s="121"/>
      <c r="AV72" s="121"/>
      <c r="AW72" s="121"/>
      <c r="AX72" s="121"/>
      <c r="AY72" s="121"/>
      <c r="AZ72" s="116">
        <f>AZ71*AX71</f>
        <v>120</v>
      </c>
      <c r="BA72" s="121"/>
      <c r="BB72" s="121"/>
      <c r="BC72" s="121"/>
      <c r="BD72" s="121"/>
      <c r="BE72" s="121"/>
      <c r="BF72" s="121"/>
      <c r="BG72" s="122"/>
      <c r="BI72" s="28"/>
    </row>
    <row r="73">
      <c r="B73" s="40"/>
      <c r="C73" s="41"/>
      <c r="D73" s="38"/>
      <c r="E73" s="38" t="s">
        <v>119</v>
      </c>
      <c r="F73" s="42">
        <f>500*I73</f>
        <v>41500</v>
      </c>
      <c r="G73" s="112"/>
      <c r="H73" s="48" t="s">
        <v>502</v>
      </c>
      <c r="I73" s="49">
        <v>83.0</v>
      </c>
      <c r="J73" s="100" t="s">
        <v>424</v>
      </c>
      <c r="K73" s="120">
        <v>0.0</v>
      </c>
      <c r="L73" s="121"/>
      <c r="M73" s="121"/>
      <c r="N73" s="121"/>
      <c r="O73" s="121"/>
      <c r="P73" s="121"/>
      <c r="Q73" s="121"/>
      <c r="R73" s="121"/>
      <c r="S73" s="121"/>
      <c r="T73" s="121"/>
      <c r="U73" s="121"/>
      <c r="V73" s="121"/>
      <c r="W73" s="121"/>
      <c r="X73" s="121"/>
      <c r="Y73" s="121"/>
      <c r="Z73" s="121"/>
      <c r="AA73" s="121"/>
      <c r="AB73" s="121"/>
      <c r="AC73" s="121"/>
      <c r="AD73" s="121"/>
      <c r="AE73" s="118"/>
      <c r="AF73" s="121"/>
      <c r="AG73" s="121"/>
      <c r="AH73" s="121"/>
      <c r="AI73" s="121"/>
      <c r="AJ73" s="121"/>
      <c r="AK73" s="121"/>
      <c r="AL73" s="121"/>
      <c r="AM73" s="121"/>
      <c r="AN73" s="121"/>
      <c r="AO73" s="121"/>
      <c r="AP73" s="121"/>
      <c r="AQ73" s="121"/>
      <c r="AR73" s="118"/>
      <c r="AS73" s="121"/>
      <c r="AT73" s="121"/>
      <c r="AU73" s="121"/>
      <c r="AV73" s="121"/>
      <c r="AW73" s="121"/>
      <c r="AX73" s="121"/>
      <c r="AY73" s="121"/>
      <c r="AZ73" s="121"/>
      <c r="BA73" s="121"/>
      <c r="BB73" s="121"/>
      <c r="BC73" s="121"/>
      <c r="BD73" s="121"/>
      <c r="BE73" s="121"/>
      <c r="BF73" s="121"/>
      <c r="BG73" s="122"/>
      <c r="BI73" s="28"/>
      <c r="BK73" s="6" t="s">
        <v>618</v>
      </c>
      <c r="BL73" s="6" t="s">
        <v>462</v>
      </c>
      <c r="BM73" s="6"/>
      <c r="BN73" s="6"/>
      <c r="BO73" s="6"/>
      <c r="BQ73" s="6" t="s">
        <v>619</v>
      </c>
      <c r="BR73" s="6" t="s">
        <v>495</v>
      </c>
      <c r="BS73" s="6"/>
      <c r="BT73" s="6"/>
      <c r="BV73" s="6" t="s">
        <v>560</v>
      </c>
      <c r="BW73" s="6" t="s">
        <v>495</v>
      </c>
      <c r="BX73" s="6"/>
      <c r="BY73" s="6"/>
    </row>
    <row r="74">
      <c r="B74" s="40"/>
      <c r="C74" s="41"/>
      <c r="D74" s="38"/>
      <c r="E74" s="38" t="s">
        <v>26</v>
      </c>
      <c r="F74" s="42">
        <f>400*I73</f>
        <v>33200</v>
      </c>
      <c r="G74" s="112"/>
      <c r="H74" s="44"/>
      <c r="I74" s="45"/>
      <c r="J74" s="45"/>
      <c r="K74" s="45"/>
      <c r="L74" s="45"/>
      <c r="M74" s="45"/>
      <c r="N74" s="45"/>
      <c r="O74" s="45"/>
      <c r="P74" s="45"/>
      <c r="Q74" s="45"/>
      <c r="R74" s="45"/>
      <c r="S74" s="101"/>
      <c r="T74" s="101"/>
      <c r="U74" s="45"/>
      <c r="V74" s="45"/>
      <c r="W74" s="45"/>
      <c r="X74" s="45"/>
      <c r="Y74" s="45"/>
      <c r="Z74" s="45"/>
      <c r="AA74" s="45"/>
      <c r="AB74" s="45"/>
      <c r="AC74" s="45"/>
      <c r="AD74" s="45"/>
      <c r="AE74" s="79"/>
      <c r="AF74" s="45"/>
      <c r="AG74" s="45"/>
      <c r="AH74" s="45"/>
      <c r="AI74" s="45"/>
      <c r="AJ74" s="45"/>
      <c r="AK74" s="45"/>
      <c r="AL74" s="45"/>
      <c r="AM74" s="45"/>
      <c r="AN74" s="45"/>
      <c r="AO74" s="45"/>
      <c r="AP74" s="45"/>
      <c r="AQ74" s="45"/>
      <c r="AR74" s="79"/>
      <c r="AS74" s="45"/>
      <c r="AT74" s="45"/>
      <c r="AU74" s="45"/>
      <c r="AV74" s="45"/>
      <c r="AW74" s="45"/>
      <c r="AX74" s="45"/>
      <c r="AY74" s="45"/>
      <c r="AZ74" s="45"/>
      <c r="BA74" s="45"/>
      <c r="BB74" s="45"/>
      <c r="BC74" s="45"/>
      <c r="BD74" s="45"/>
      <c r="BE74" s="45"/>
      <c r="BF74" s="45"/>
      <c r="BG74" s="46"/>
      <c r="BI74" s="28"/>
      <c r="BK74" s="6" t="s">
        <v>457</v>
      </c>
      <c r="BL74" s="6" t="s">
        <v>298</v>
      </c>
      <c r="BM74" s="6" t="s">
        <v>349</v>
      </c>
      <c r="BN74" s="6" t="s">
        <v>357</v>
      </c>
      <c r="BO74" s="6" t="s">
        <v>487</v>
      </c>
      <c r="BQ74" s="6" t="s">
        <v>462</v>
      </c>
      <c r="BR74" s="6" t="s">
        <v>390</v>
      </c>
      <c r="BS74" s="6" t="s">
        <v>397</v>
      </c>
      <c r="BT74" s="6" t="s">
        <v>487</v>
      </c>
      <c r="BV74" s="6" t="s">
        <v>462</v>
      </c>
      <c r="BW74" s="6" t="s">
        <v>390</v>
      </c>
      <c r="BX74" s="6" t="s">
        <v>397</v>
      </c>
      <c r="BY74" s="6" t="s">
        <v>487</v>
      </c>
    </row>
    <row r="75">
      <c r="B75" s="50"/>
      <c r="C75" s="51"/>
      <c r="D75" s="52"/>
      <c r="E75" s="52"/>
      <c r="F75" s="52"/>
      <c r="G75" s="112"/>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2"/>
      <c r="AF75" s="113"/>
      <c r="AG75" s="113"/>
      <c r="AH75" s="113"/>
      <c r="AI75" s="113"/>
      <c r="AJ75" s="113"/>
      <c r="AK75" s="113"/>
      <c r="AL75" s="113"/>
      <c r="AM75" s="113"/>
      <c r="AN75" s="113"/>
      <c r="AO75" s="113"/>
      <c r="AP75" s="113"/>
      <c r="AQ75" s="113"/>
      <c r="AR75" s="112"/>
      <c r="AS75" s="113"/>
      <c r="AT75" s="113"/>
      <c r="AU75" s="113"/>
      <c r="AV75" s="113"/>
      <c r="AW75" s="113"/>
      <c r="AX75" s="113"/>
      <c r="AY75" s="113"/>
      <c r="AZ75" s="113"/>
      <c r="BA75" s="113"/>
      <c r="BB75" s="113"/>
      <c r="BC75" s="113"/>
      <c r="BD75" s="113"/>
      <c r="BE75" s="113"/>
      <c r="BF75" s="113"/>
      <c r="BG75" s="114"/>
      <c r="BI75" s="28"/>
      <c r="BK75" s="6" t="s">
        <v>579</v>
      </c>
      <c r="BL75" s="6">
        <v>1.0</v>
      </c>
      <c r="BM75" s="6"/>
      <c r="BN75" s="6"/>
      <c r="BO75" s="6">
        <v>1.0</v>
      </c>
      <c r="BQ75" s="6" t="s">
        <v>298</v>
      </c>
      <c r="BR75" s="6">
        <v>4.0</v>
      </c>
      <c r="BS75" s="6">
        <v>1.0</v>
      </c>
      <c r="BT75" s="6">
        <v>5.0</v>
      </c>
      <c r="BV75" s="6" t="s">
        <v>298</v>
      </c>
      <c r="BW75" s="6">
        <v>4.0</v>
      </c>
      <c r="BX75" s="6">
        <v>1.0</v>
      </c>
      <c r="BY75" s="6">
        <v>5.0</v>
      </c>
    </row>
    <row r="76">
      <c r="B76" s="31" t="s">
        <v>666</v>
      </c>
      <c r="C76" s="54"/>
      <c r="D76" s="45"/>
      <c r="E76" s="45"/>
      <c r="F76" s="47"/>
      <c r="G76" s="112"/>
      <c r="H76" s="55" t="s">
        <v>349</v>
      </c>
      <c r="I76" s="38">
        <f>VLOOKUP(H76,'Machine List'!$A$1:$I$300,9,FALSE)</f>
        <v>4000</v>
      </c>
      <c r="J76" s="38">
        <f>IF(VLOOKUP(H76,'Machine List'!$A$1:$I$300,5,FALSE)="Multi",IF(VLOOKUP(H76,'Machine List'!$A$1:$I$300,6,FALSE)="Yes",AG76*3*10^Z76,AG76*(2*3)*10^(Z76-1)),0)</f>
        <v>6</v>
      </c>
      <c r="K76" s="38">
        <f>J76+IF(ISNUMBER(I76),I76,
  SWITCH(
      I76,
      "1T",1*10^Z76,
      "2T",2*10^Z76,
      "3T",3*10^Z76,
      "4T",4*10^Z76,
      "4000+500(7O-5)",4000+500*(7*I77-5),
      1
  )
)</f>
        <v>4006</v>
      </c>
      <c r="L76" s="38">
        <f>IF(VLOOKUP(H76,'Machine List'!$A$1:$I$300,5,FALSE)="Multi",IF(VLOOKUP(H76,'Machine List'!$A$1:$I$300,6,FALSE)="Yes",AU76*3*10^AT76,AU76*(2*3)*10^(AT76-1)),0)</f>
        <v>6000</v>
      </c>
      <c r="M76" s="38">
        <f>L76+IF(ISNUMBER(I76),I76,
  SWITCH(
      I76,
      "1T",1*10^AT76,
      "2T",2*10^AT76,
      "3T",3*10^AT76,
      "4T",4*10^AT76,
      "4000+500(7O-5)",4000+500*(7*I77-5),
      1
  )
)</f>
        <v>10000</v>
      </c>
      <c r="N76" s="38" t="str">
        <f>VLOOKUP(H76,'Machine List'!$A$1:$I$300,8,FALSE)</f>
        <v>Tier</v>
      </c>
      <c r="O76" s="38">
        <f>IF(ISNUMBER(N76),N76,10^Z76)</f>
        <v>10</v>
      </c>
      <c r="P76" s="38">
        <f>IF(ISNUMBER(N76),N76,10^AT76)</f>
        <v>10000</v>
      </c>
      <c r="Q76" s="38">
        <f>VLOOKUP(H76,'Machine List'!$A$1:$B$138,2,FALSE)</f>
        <v>1</v>
      </c>
      <c r="R76" s="38" t="s">
        <v>594</v>
      </c>
      <c r="S76" s="45">
        <f>IF(ISNUMBER(Q76),Q76,
  SWITCH(
      Q76,
      "1",1,
      "2T",Z76*2,
      "4T",Z76*4,
      "6T",Z76*6,
      "8T",Z76*8,
      "10T",Z76*10,
      "12T",Z76*12,
      "14T",Z76*14,
      "16T",Z76*16,
      "2(T+1)",2*(Z76+1),
      "1T*C",Z76*J78,
      1
  )
)</f>
        <v>1</v>
      </c>
      <c r="T76" s="38" t="s">
        <v>277</v>
      </c>
      <c r="U76" s="38">
        <f>IF(OR(T76="No",T76=""),S76,T76)</f>
        <v>1</v>
      </c>
      <c r="V76" s="38">
        <f>IF(ISNUMBER(Q76),Q76,
  SWITCH(
      Q76,
      "1",1,
      "2T",AT76*2,
      "4T",AT76*4,
      "6T",AT76*6,
      "8T",AT76*8,
      "10T",AT76*10,
      "12T",AT76*12,
      "14T",AT76*14,
      "16T",AT76*16,
      "2(T+1)",2*(AT76+1),
      "1T*C",AT76*J78,
      1
  )
)</f>
        <v>1</v>
      </c>
      <c r="W76" s="38" t="str">
        <f>T76</f>
        <v>No</v>
      </c>
      <c r="X76" s="38">
        <f>IF(OR(W76="No",W76=""),V76,W76)</f>
        <v>1</v>
      </c>
      <c r="Y76" s="38" t="s">
        <v>390</v>
      </c>
      <c r="Z76" s="38">
        <f>VLOOKUP(Y76,'Item Helper Sheet'!$A$2:$B$16,2,FALSE)</f>
        <v>1</v>
      </c>
      <c r="AA76" s="38">
        <v>480.0</v>
      </c>
      <c r="AB76" s="38">
        <f>2.5*20</f>
        <v>50</v>
      </c>
      <c r="AC76" s="38">
        <f>AB76*I78</f>
        <v>350</v>
      </c>
      <c r="AD76" s="38">
        <f>AA76*AC76</f>
        <v>168000</v>
      </c>
      <c r="AE76" s="75"/>
      <c r="AF76" s="38" t="str">
        <f>Y76</f>
        <v>01 - LV</v>
      </c>
      <c r="AG76" s="38">
        <v>1.0</v>
      </c>
      <c r="AH76" s="38">
        <v>1.0</v>
      </c>
      <c r="AI76" s="38">
        <f>AH76*8*4^Z76</f>
        <v>32</v>
      </c>
      <c r="AJ76" s="38">
        <f>MIN(ROUNDDOWN(AI76/AL76,0),U76)</f>
        <v>0</v>
      </c>
      <c r="AK76" s="38">
        <f>IF(OR(T76="No",T76=""),AG76*S76,AG76*T76)</f>
        <v>1</v>
      </c>
      <c r="AL76" s="38">
        <f>ROUNDUP(AA76*VLOOKUP(H76,'Machine List'!$A$2:$D$219,4,FALSE),0)</f>
        <v>480</v>
      </c>
      <c r="AM76" s="38">
        <f>AL76*AK76</f>
        <v>480</v>
      </c>
      <c r="AN76" s="38">
        <f>ROUNDUP(AB76*I78,0)</f>
        <v>350</v>
      </c>
      <c r="AO76" s="38">
        <f>ROUNDUP(AN76/VLOOKUP(H76,'Machine List'!$A$2:$D$219,3,FALSE),0)</f>
        <v>350</v>
      </c>
      <c r="AP76" s="38">
        <f>ROUNDUP(AO76/AK76,0)</f>
        <v>350</v>
      </c>
      <c r="AQ76" s="38">
        <f>AM76*AP76</f>
        <v>168000</v>
      </c>
      <c r="AR76" s="75"/>
      <c r="AS76" s="38" t="s">
        <v>401</v>
      </c>
      <c r="AT76" s="38">
        <f>VLOOKUP(AS76,'Item Helper Sheet'!$A$2:$B$16,2,FALSE)</f>
        <v>4</v>
      </c>
      <c r="AU76" s="38">
        <f>AG76</f>
        <v>1</v>
      </c>
      <c r="AV76" s="38">
        <v>1.0</v>
      </c>
      <c r="AW76" s="38">
        <f>AV76*8*4^AT76</f>
        <v>2048</v>
      </c>
      <c r="AX76" s="38">
        <f>MIN(ROUNDDOWN(AW76/AL76,0),X76)</f>
        <v>1</v>
      </c>
      <c r="AY76" s="38">
        <f>AX76*AU76</f>
        <v>1</v>
      </c>
      <c r="AZ76" s="38">
        <f>AL76</f>
        <v>480</v>
      </c>
      <c r="BA76" s="38">
        <f>MIN(AT76-Z76,IF(AW76&gt;=AZ77*4,
IF(AW76&gt;=AZ77*4^2,
IF(AW76&gt;=AZ77*4^3,
IF(AW76&gt;=AZ77*4^4,
IF(AW76&gt;=AZ77*4^5,
IF(AW76&gt;=AZ77*4^6,
IF(AW76&gt;=AZ77*4^7,
IF(AW76&gt;=AZ77*4^8,
IF(AW76&gt;=AZ77*4^9,
IF(AW76&gt;=AZ77*4^10,
9),
8),
7),
6),
5),
4),
3),
2),
1),
0))</f>
        <v>1</v>
      </c>
      <c r="BB76" s="38">
        <f>AZ76*AX76*4^BA76</f>
        <v>1920</v>
      </c>
      <c r="BC76" s="38">
        <f>BB76*AU76</f>
        <v>1920</v>
      </c>
      <c r="BD76" s="45">
        <f>ROUNDUP(IF(R76="Yes",AN76/(2^((BA76)*2)),AN76/(2^(BA76))),0)</f>
        <v>88</v>
      </c>
      <c r="BE76" s="45">
        <f>ROUNDUP(BD76/VLOOKUP(H76,'Machine List'!$A$2:$D$219,3,FALSE),0)</f>
        <v>88</v>
      </c>
      <c r="BF76" s="45">
        <f>ROUNDUP(BE76/AY76,0)</f>
        <v>88</v>
      </c>
      <c r="BG76" s="46">
        <f>BF76*BC76</f>
        <v>168960</v>
      </c>
      <c r="BI76" s="28"/>
      <c r="BK76" s="6" t="s">
        <v>593</v>
      </c>
      <c r="BL76" s="6"/>
      <c r="BM76" s="6">
        <v>1.0</v>
      </c>
      <c r="BN76" s="6"/>
      <c r="BO76" s="6">
        <v>1.0</v>
      </c>
      <c r="BQ76" s="6" t="s">
        <v>349</v>
      </c>
      <c r="BR76" s="6">
        <v>12.0</v>
      </c>
      <c r="BS76" s="6"/>
      <c r="BT76" s="6">
        <v>12.0</v>
      </c>
      <c r="BV76" s="6" t="s">
        <v>349</v>
      </c>
      <c r="BW76" s="6">
        <v>12.0</v>
      </c>
      <c r="BX76" s="6"/>
      <c r="BY76" s="6">
        <v>12.0</v>
      </c>
    </row>
    <row r="77">
      <c r="B77" s="40"/>
      <c r="C77" s="41" t="s">
        <v>87</v>
      </c>
      <c r="D77" s="38">
        <f>20000*I78</f>
        <v>140000</v>
      </c>
      <c r="E77" s="38" t="s">
        <v>134</v>
      </c>
      <c r="F77" s="42">
        <f>10000*I78</f>
        <v>70000</v>
      </c>
      <c r="G77" s="112"/>
      <c r="H77" s="99" t="s">
        <v>584</v>
      </c>
      <c r="I77" s="45">
        <f t="array" ref="I77">match(TRUE,ISBLANK(F77:F89),0)-1</f>
        <v>1</v>
      </c>
      <c r="J77" s="120" t="s">
        <v>420</v>
      </c>
      <c r="K77" s="120" t="s">
        <v>585</v>
      </c>
      <c r="L77" s="121"/>
      <c r="M77" s="121"/>
      <c r="N77" s="121"/>
      <c r="O77" s="121"/>
      <c r="P77" s="121"/>
      <c r="Q77" s="121"/>
      <c r="R77" s="121"/>
      <c r="S77" s="121"/>
      <c r="T77" s="121"/>
      <c r="U77" s="121"/>
      <c r="V77" s="121"/>
      <c r="W77" s="121"/>
      <c r="X77" s="121"/>
      <c r="Y77" s="121"/>
      <c r="Z77" s="121"/>
      <c r="AA77" s="121"/>
      <c r="AB77" s="121"/>
      <c r="AC77" s="121"/>
      <c r="AD77" s="121"/>
      <c r="AE77" s="118"/>
      <c r="AF77" s="121"/>
      <c r="AG77" s="121"/>
      <c r="AH77" s="121"/>
      <c r="AI77" s="121"/>
      <c r="AJ77" s="121"/>
      <c r="AK77" s="121"/>
      <c r="AL77" s="121"/>
      <c r="AM77" s="121"/>
      <c r="AN77" s="121"/>
      <c r="AO77" s="121"/>
      <c r="AP77" s="121"/>
      <c r="AQ77" s="121"/>
      <c r="AR77" s="118"/>
      <c r="AS77" s="121"/>
      <c r="AT77" s="121"/>
      <c r="AU77" s="121"/>
      <c r="AV77" s="121"/>
      <c r="AW77" s="121"/>
      <c r="AX77" s="121"/>
      <c r="AY77" s="121"/>
      <c r="AZ77" s="116">
        <f>AZ76*AX76</f>
        <v>480</v>
      </c>
      <c r="BA77" s="121"/>
      <c r="BB77" s="121"/>
      <c r="BC77" s="121"/>
      <c r="BD77" s="121"/>
      <c r="BE77" s="121"/>
      <c r="BF77" s="121"/>
      <c r="BG77" s="122"/>
      <c r="BI77" s="28"/>
      <c r="BK77" s="6" t="s">
        <v>599</v>
      </c>
      <c r="BL77" s="6"/>
      <c r="BM77" s="6">
        <v>1.0</v>
      </c>
      <c r="BN77" s="6"/>
      <c r="BO77" s="6">
        <v>1.0</v>
      </c>
      <c r="BQ77" s="6" t="s">
        <v>357</v>
      </c>
      <c r="BR77" s="6">
        <v>2.0</v>
      </c>
      <c r="BS77" s="6"/>
      <c r="BT77" s="6">
        <v>2.0</v>
      </c>
      <c r="BV77" s="6" t="s">
        <v>357</v>
      </c>
      <c r="BW77" s="6">
        <v>2.0</v>
      </c>
      <c r="BX77" s="6"/>
      <c r="BY77" s="6">
        <v>2.0</v>
      </c>
    </row>
    <row r="78">
      <c r="B78" s="40"/>
      <c r="C78" s="41" t="s">
        <v>142</v>
      </c>
      <c r="D78" s="38">
        <f>10000*I78</f>
        <v>70000</v>
      </c>
      <c r="E78" s="38"/>
      <c r="F78" s="42"/>
      <c r="G78" s="112"/>
      <c r="H78" s="48" t="s">
        <v>502</v>
      </c>
      <c r="I78" s="49">
        <v>7.0</v>
      </c>
      <c r="J78" s="100" t="s">
        <v>424</v>
      </c>
      <c r="K78" s="120">
        <v>0.0</v>
      </c>
      <c r="L78" s="121"/>
      <c r="M78" s="121"/>
      <c r="N78" s="121"/>
      <c r="O78" s="121"/>
      <c r="P78" s="121"/>
      <c r="Q78" s="121"/>
      <c r="R78" s="121"/>
      <c r="S78" s="121"/>
      <c r="T78" s="121"/>
      <c r="U78" s="121"/>
      <c r="V78" s="121"/>
      <c r="W78" s="121"/>
      <c r="X78" s="121"/>
      <c r="Y78" s="121"/>
      <c r="Z78" s="121"/>
      <c r="AA78" s="121"/>
      <c r="AB78" s="121"/>
      <c r="AC78" s="121"/>
      <c r="AD78" s="121"/>
      <c r="AE78" s="118"/>
      <c r="AF78" s="121"/>
      <c r="AG78" s="121"/>
      <c r="AH78" s="121"/>
      <c r="AI78" s="121"/>
      <c r="AJ78" s="121"/>
      <c r="AK78" s="121"/>
      <c r="AL78" s="121"/>
      <c r="AM78" s="121"/>
      <c r="AN78" s="121"/>
      <c r="AO78" s="121"/>
      <c r="AP78" s="121"/>
      <c r="AQ78" s="121"/>
      <c r="AR78" s="118"/>
      <c r="AS78" s="121"/>
      <c r="AT78" s="121"/>
      <c r="AU78" s="121"/>
      <c r="AV78" s="121"/>
      <c r="AW78" s="121"/>
      <c r="AX78" s="121"/>
      <c r="AY78" s="121"/>
      <c r="AZ78" s="121"/>
      <c r="BA78" s="121"/>
      <c r="BB78" s="121"/>
      <c r="BC78" s="121"/>
      <c r="BD78" s="121"/>
      <c r="BE78" s="121"/>
      <c r="BF78" s="121"/>
      <c r="BG78" s="122"/>
      <c r="BI78" s="28"/>
      <c r="BK78" s="6" t="s">
        <v>601</v>
      </c>
      <c r="BL78" s="6"/>
      <c r="BM78" s="6">
        <v>1.0</v>
      </c>
      <c r="BN78" s="6"/>
      <c r="BO78" s="6">
        <v>1.0</v>
      </c>
      <c r="BQ78" s="6" t="s">
        <v>487</v>
      </c>
      <c r="BR78" s="6">
        <v>18.0</v>
      </c>
      <c r="BS78" s="6">
        <v>1.0</v>
      </c>
      <c r="BT78" s="6">
        <v>19.0</v>
      </c>
      <c r="BV78" s="6" t="s">
        <v>487</v>
      </c>
      <c r="BW78" s="6">
        <v>18.0</v>
      </c>
      <c r="BX78" s="6">
        <v>1.0</v>
      </c>
      <c r="BY78" s="6">
        <v>19.0</v>
      </c>
    </row>
    <row r="79">
      <c r="B79" s="50"/>
      <c r="C79" s="51"/>
      <c r="D79" s="52"/>
      <c r="E79" s="52"/>
      <c r="F79" s="52"/>
      <c r="G79" s="112"/>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2"/>
      <c r="AF79" s="113"/>
      <c r="AG79" s="113"/>
      <c r="AH79" s="113"/>
      <c r="AI79" s="113"/>
      <c r="AJ79" s="113"/>
      <c r="AK79" s="113"/>
      <c r="AL79" s="113"/>
      <c r="AM79" s="113"/>
      <c r="AN79" s="113"/>
      <c r="AO79" s="113"/>
      <c r="AP79" s="113"/>
      <c r="AQ79" s="113"/>
      <c r="AR79" s="112"/>
      <c r="AS79" s="113"/>
      <c r="AT79" s="113"/>
      <c r="AU79" s="113"/>
      <c r="AV79" s="113"/>
      <c r="AW79" s="113"/>
      <c r="AX79" s="113"/>
      <c r="AY79" s="113"/>
      <c r="AZ79" s="113"/>
      <c r="BA79" s="113"/>
      <c r="BB79" s="113"/>
      <c r="BC79" s="113"/>
      <c r="BD79" s="113"/>
      <c r="BE79" s="113"/>
      <c r="BF79" s="113"/>
      <c r="BG79" s="114"/>
      <c r="BI79" s="28"/>
      <c r="BK79" s="6" t="s">
        <v>611</v>
      </c>
      <c r="BL79" s="6"/>
      <c r="BM79" s="6">
        <v>1.0</v>
      </c>
      <c r="BN79" s="6"/>
      <c r="BO79" s="6">
        <v>1.0</v>
      </c>
    </row>
    <row r="80">
      <c r="B80" s="31" t="s">
        <v>667</v>
      </c>
      <c r="C80" s="54"/>
      <c r="D80" s="45"/>
      <c r="E80" s="45"/>
      <c r="F80" s="47"/>
      <c r="G80" s="112"/>
      <c r="H80" s="55" t="s">
        <v>349</v>
      </c>
      <c r="I80" s="38">
        <f>VLOOKUP(H80,'Machine List'!$A$1:$I$300,9,FALSE)</f>
        <v>4000</v>
      </c>
      <c r="J80" s="38">
        <f>IF(VLOOKUP(H80,'Machine List'!$A$1:$I$300,5,FALSE)="Multi",IF(VLOOKUP(H80,'Machine List'!$A$1:$I$300,6,FALSE)="Yes",AG80*3*10^Z80,AG80*(2*3)*10^(Z80-1)),0)</f>
        <v>6</v>
      </c>
      <c r="K80" s="38">
        <f>J80+IF(ISNUMBER(I80),I80,
  SWITCH(
      I80,
      "1T",1*10^Z80,
      "2T",2*10^Z80,
      "3T",3*10^Z80,
      "4T",4*10^Z80,
      "4000+500(7O-5)",4000+500*(7*I81-5),
      1
  )
)</f>
        <v>4006</v>
      </c>
      <c r="L80" s="38">
        <f>IF(VLOOKUP(H80,'Machine List'!$A$1:$I$300,5,FALSE)="Multi",IF(VLOOKUP(H80,'Machine List'!$A$1:$I$300,6,FALSE)="Yes",AU80*3*10^AT80,AU80*(2*3)*10^(AT80-1)),0)</f>
        <v>6000</v>
      </c>
      <c r="M80" s="38">
        <f>L80+IF(ISNUMBER(I80),I80,
  SWITCH(
      I80,
      "1T",1*10^AT80,
      "2T",2*10^AT80,
      "3T",3*10^AT80,
      "4T",4*10^AT80,
      "4000+500(7O-5)",4000+500*(7*I81-5),
      1
  )
)</f>
        <v>10000</v>
      </c>
      <c r="N80" s="38" t="str">
        <f>VLOOKUP(H80,'Machine List'!$A$1:$I$300,8,FALSE)</f>
        <v>Tier</v>
      </c>
      <c r="O80" s="38">
        <f>IF(ISNUMBER(N80),N80,10^Z80)</f>
        <v>10</v>
      </c>
      <c r="P80" s="38">
        <f>IF(ISNUMBER(N80),N80,10^AT80)</f>
        <v>10000</v>
      </c>
      <c r="Q80" s="38">
        <f>VLOOKUP(H80,'Machine List'!$A$1:$B$138,2,FALSE)</f>
        <v>1</v>
      </c>
      <c r="R80" s="38" t="s">
        <v>594</v>
      </c>
      <c r="S80" s="45">
        <f>IF(ISNUMBER(Q80),Q80,
  SWITCH(
      Q80,
      "1",1,
      "2T",Z80*2,
      "4T",Z80*4,
      "6T",Z80*6,
      "8T",Z80*8,
      "10T",Z80*10,
      "12T",Z80*12,
      "14T",Z80*14,
      "16T",Z80*16,
      "2(T+1)",2*(Z80+1),
      "1T*C",Z80*J82,
      1
  )
)</f>
        <v>1</v>
      </c>
      <c r="T80" s="38" t="s">
        <v>277</v>
      </c>
      <c r="U80" s="38">
        <f>IF(OR(T80="No",T80=""),S80,T80)</f>
        <v>1</v>
      </c>
      <c r="V80" s="38">
        <f>IF(ISNUMBER(Q80),Q80,
  SWITCH(
      Q80,
      "1",1,
      "2T",AT80*2,
      "4T",AT80*4,
      "6T",AT80*6,
      "8T",AT80*8,
      "10T",AT80*10,
      "12T",AT80*12,
      "14T",AT80*14,
      "16T",AT80*16,
      "2(T+1)",2*(AT80+1),
      "1T*C",AT80*J82,
      1
  )
)</f>
        <v>1</v>
      </c>
      <c r="W80" s="38" t="str">
        <f>T80</f>
        <v>No</v>
      </c>
      <c r="X80" s="38">
        <f>IF(OR(W80="No",W80=""),V80,W80)</f>
        <v>1</v>
      </c>
      <c r="Y80" s="38" t="s">
        <v>390</v>
      </c>
      <c r="Z80" s="38">
        <f>VLOOKUP(Y80,'Item Helper Sheet'!$A$2:$B$16,2,FALSE)</f>
        <v>1</v>
      </c>
      <c r="AA80" s="38">
        <v>30.0</v>
      </c>
      <c r="AB80" s="38">
        <f>5*20</f>
        <v>100</v>
      </c>
      <c r="AC80" s="38">
        <f>AB80*I82</f>
        <v>2000</v>
      </c>
      <c r="AD80" s="38">
        <f>AA80*AC80</f>
        <v>60000</v>
      </c>
      <c r="AE80" s="75"/>
      <c r="AF80" s="38" t="str">
        <f>Y80</f>
        <v>01 - LV</v>
      </c>
      <c r="AG80" s="38">
        <v>1.0</v>
      </c>
      <c r="AH80" s="38">
        <v>1.0</v>
      </c>
      <c r="AI80" s="38">
        <f>AH80*8*4^Z80</f>
        <v>32</v>
      </c>
      <c r="AJ80" s="38">
        <f>MIN(ROUNDDOWN(AI80/AL80,0),U80)</f>
        <v>1</v>
      </c>
      <c r="AK80" s="38">
        <f>IF(OR(T80="No",T80=""),AG80*S80,AG80*T80)</f>
        <v>1</v>
      </c>
      <c r="AL80" s="38">
        <f>ROUNDUP(AA80*VLOOKUP(H80,'Machine List'!$A$2:$D$219,4,FALSE),0)</f>
        <v>30</v>
      </c>
      <c r="AM80" s="38">
        <f>AL80*AK80</f>
        <v>30</v>
      </c>
      <c r="AN80" s="38">
        <f>ROUNDUP(AB80*I82,0)</f>
        <v>2000</v>
      </c>
      <c r="AO80" s="38">
        <f>ROUNDUP(AN80/VLOOKUP(H80,'Machine List'!$A$2:$D$219,3,FALSE),0)</f>
        <v>2000</v>
      </c>
      <c r="AP80" s="38">
        <f>ROUNDUP(AO80/AK80,0)</f>
        <v>2000</v>
      </c>
      <c r="AQ80" s="38">
        <f>AM80*AP80</f>
        <v>60000</v>
      </c>
      <c r="AR80" s="75"/>
      <c r="AS80" s="38" t="s">
        <v>401</v>
      </c>
      <c r="AT80" s="38">
        <f>VLOOKUP(AS80,'Item Helper Sheet'!$A$2:$B$16,2,FALSE)</f>
        <v>4</v>
      </c>
      <c r="AU80" s="38">
        <f>AG80</f>
        <v>1</v>
      </c>
      <c r="AV80" s="38">
        <v>1.0</v>
      </c>
      <c r="AW80" s="38">
        <f>AV80*8*4^AT80</f>
        <v>2048</v>
      </c>
      <c r="AX80" s="38">
        <f>MIN(ROUNDDOWN(AW80/AL80,0),X80)</f>
        <v>1</v>
      </c>
      <c r="AY80" s="38">
        <f>AX80*AU80</f>
        <v>1</v>
      </c>
      <c r="AZ80" s="38">
        <f>AL80</f>
        <v>30</v>
      </c>
      <c r="BA80" s="38">
        <f>MIN(AT80-Z80,IF(AW80&gt;=AZ81*4,
IF(AW80&gt;=AZ81*4^2,
IF(AW80&gt;=AZ81*4^3,
IF(AW80&gt;=AZ81*4^4,
IF(AW80&gt;=AZ81*4^5,
IF(AW80&gt;=AZ81*4^6,
IF(AW80&gt;=AZ81*4^7,
IF(AW80&gt;=AZ81*4^8,
IF(AW80&gt;=AZ81*4^9,
IF(AW80&gt;=AZ81*4^10,
9),
8),
7),
6),
5),
4),
3),
2),
1),
0))</f>
        <v>3</v>
      </c>
      <c r="BB80" s="38">
        <f>AZ80*AX80*4^BA80</f>
        <v>1920</v>
      </c>
      <c r="BC80" s="38">
        <f>BB80*AU80</f>
        <v>1920</v>
      </c>
      <c r="BD80" s="45">
        <f>ROUNDUP(IF(R80="Yes",AN80/(2^((BA80)*2)),AN80/(2^(BA80))),0)</f>
        <v>32</v>
      </c>
      <c r="BE80" s="45">
        <f>ROUNDUP(BD80/VLOOKUP(H80,'Machine List'!$A$2:$D$219,3,FALSE),0)</f>
        <v>32</v>
      </c>
      <c r="BF80" s="45">
        <f>ROUNDUP(BE80/AY80,0)</f>
        <v>32</v>
      </c>
      <c r="BG80" s="46">
        <f>BF80*BC80</f>
        <v>61440</v>
      </c>
      <c r="BI80" s="28"/>
      <c r="BK80" s="6" t="s">
        <v>658</v>
      </c>
      <c r="BL80" s="6"/>
      <c r="BM80" s="6"/>
      <c r="BN80" s="6">
        <v>1.0</v>
      </c>
      <c r="BO80" s="6">
        <v>1.0</v>
      </c>
    </row>
    <row r="81">
      <c r="B81" s="40"/>
      <c r="C81" s="41" t="s">
        <v>64</v>
      </c>
      <c r="D81" s="38">
        <f>2000*I82</f>
        <v>40000</v>
      </c>
      <c r="E81" s="38" t="s">
        <v>13</v>
      </c>
      <c r="F81" s="42">
        <f>1000*I82</f>
        <v>20000</v>
      </c>
      <c r="G81" s="112"/>
      <c r="H81" s="99" t="s">
        <v>584</v>
      </c>
      <c r="I81" s="45">
        <f t="array" ref="I81">match(TRUE,ISBLANK(F81:F93),0)-1</f>
        <v>1</v>
      </c>
      <c r="J81" s="120" t="s">
        <v>420</v>
      </c>
      <c r="K81" s="120" t="s">
        <v>585</v>
      </c>
      <c r="L81" s="121"/>
      <c r="M81" s="121"/>
      <c r="N81" s="121"/>
      <c r="O81" s="121"/>
      <c r="P81" s="121"/>
      <c r="Q81" s="121"/>
      <c r="R81" s="121"/>
      <c r="S81" s="121"/>
      <c r="T81" s="121"/>
      <c r="U81" s="121"/>
      <c r="V81" s="121"/>
      <c r="W81" s="121"/>
      <c r="X81" s="121"/>
      <c r="Y81" s="121"/>
      <c r="Z81" s="121"/>
      <c r="AA81" s="121"/>
      <c r="AB81" s="121"/>
      <c r="AC81" s="121"/>
      <c r="AD81" s="121"/>
      <c r="AE81" s="118"/>
      <c r="AF81" s="121"/>
      <c r="AG81" s="121"/>
      <c r="AH81" s="121"/>
      <c r="AI81" s="121"/>
      <c r="AJ81" s="121"/>
      <c r="AK81" s="121"/>
      <c r="AL81" s="121"/>
      <c r="AM81" s="121"/>
      <c r="AN81" s="121"/>
      <c r="AO81" s="121"/>
      <c r="AP81" s="121"/>
      <c r="AQ81" s="121"/>
      <c r="AR81" s="118"/>
      <c r="AS81" s="121"/>
      <c r="AT81" s="121"/>
      <c r="AU81" s="121"/>
      <c r="AV81" s="121"/>
      <c r="AW81" s="121"/>
      <c r="AX81" s="121"/>
      <c r="AY81" s="121"/>
      <c r="AZ81" s="116">
        <f>AZ80*AX80</f>
        <v>30</v>
      </c>
      <c r="BA81" s="121"/>
      <c r="BB81" s="121"/>
      <c r="BC81" s="121"/>
      <c r="BD81" s="121"/>
      <c r="BE81" s="121"/>
      <c r="BF81" s="121"/>
      <c r="BG81" s="122"/>
      <c r="BI81" s="28"/>
      <c r="BK81" s="6" t="s">
        <v>659</v>
      </c>
      <c r="BL81" s="6">
        <v>1.0</v>
      </c>
      <c r="BM81" s="6"/>
      <c r="BN81" s="6"/>
      <c r="BO81" s="6">
        <v>1.0</v>
      </c>
      <c r="BQ81" s="6" t="s">
        <v>567</v>
      </c>
      <c r="BR81" s="6" t="s">
        <v>468</v>
      </c>
      <c r="BS81" s="6"/>
      <c r="BT81" s="6"/>
      <c r="BV81" s="6" t="s">
        <v>571</v>
      </c>
      <c r="BW81" s="6" t="s">
        <v>495</v>
      </c>
      <c r="BX81" s="6"/>
      <c r="BY81" s="6"/>
    </row>
    <row r="82">
      <c r="B82" s="40"/>
      <c r="C82" s="41" t="s">
        <v>142</v>
      </c>
      <c r="D82" s="38">
        <f>1000*I82</f>
        <v>20000</v>
      </c>
      <c r="E82" s="38"/>
      <c r="F82" s="42"/>
      <c r="G82" s="112"/>
      <c r="H82" s="48" t="s">
        <v>502</v>
      </c>
      <c r="I82" s="49">
        <v>20.0</v>
      </c>
      <c r="J82" s="100" t="s">
        <v>424</v>
      </c>
      <c r="K82" s="120">
        <v>0.0</v>
      </c>
      <c r="L82" s="121"/>
      <c r="M82" s="121"/>
      <c r="N82" s="121"/>
      <c r="O82" s="121"/>
      <c r="P82" s="121"/>
      <c r="Q82" s="121"/>
      <c r="R82" s="121"/>
      <c r="S82" s="121"/>
      <c r="T82" s="121"/>
      <c r="U82" s="121"/>
      <c r="V82" s="121"/>
      <c r="W82" s="121"/>
      <c r="X82" s="121"/>
      <c r="Y82" s="121"/>
      <c r="Z82" s="121"/>
      <c r="AA82" s="121"/>
      <c r="AB82" s="121"/>
      <c r="AC82" s="121"/>
      <c r="AD82" s="121"/>
      <c r="AE82" s="118"/>
      <c r="AF82" s="121"/>
      <c r="AG82" s="121"/>
      <c r="AH82" s="121"/>
      <c r="AI82" s="121"/>
      <c r="AJ82" s="121"/>
      <c r="AK82" s="121"/>
      <c r="AL82" s="121"/>
      <c r="AM82" s="121"/>
      <c r="AN82" s="121"/>
      <c r="AO82" s="121"/>
      <c r="AP82" s="121"/>
      <c r="AQ82" s="121"/>
      <c r="AR82" s="118"/>
      <c r="AS82" s="121"/>
      <c r="AT82" s="121"/>
      <c r="AU82" s="121"/>
      <c r="AV82" s="121"/>
      <c r="AW82" s="121"/>
      <c r="AX82" s="121"/>
      <c r="AY82" s="121"/>
      <c r="AZ82" s="121"/>
      <c r="BA82" s="121"/>
      <c r="BB82" s="121"/>
      <c r="BC82" s="121"/>
      <c r="BD82" s="121"/>
      <c r="BE82" s="121"/>
      <c r="BF82" s="121"/>
      <c r="BG82" s="122"/>
      <c r="BI82" s="28"/>
      <c r="BK82" s="6" t="s">
        <v>691</v>
      </c>
      <c r="BL82" s="6"/>
      <c r="BM82" s="6"/>
      <c r="BN82" s="6">
        <v>1.0</v>
      </c>
      <c r="BO82" s="6">
        <v>1.0</v>
      </c>
      <c r="BQ82" s="6" t="s">
        <v>462</v>
      </c>
      <c r="BR82" s="6" t="s">
        <v>401</v>
      </c>
      <c r="BS82" s="6" t="s">
        <v>405</v>
      </c>
      <c r="BT82" s="6" t="s">
        <v>487</v>
      </c>
      <c r="BV82" s="6" t="s">
        <v>462</v>
      </c>
      <c r="BW82" s="6" t="s">
        <v>390</v>
      </c>
      <c r="BX82" s="6" t="s">
        <v>397</v>
      </c>
      <c r="BY82" s="6" t="s">
        <v>487</v>
      </c>
    </row>
    <row r="83">
      <c r="B83" s="50"/>
      <c r="C83" s="51"/>
      <c r="D83" s="52"/>
      <c r="E83" s="52"/>
      <c r="F83" s="52"/>
      <c r="G83" s="112"/>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2"/>
      <c r="AF83" s="113"/>
      <c r="AG83" s="113"/>
      <c r="AH83" s="113"/>
      <c r="AI83" s="113"/>
      <c r="AJ83" s="113"/>
      <c r="AK83" s="113"/>
      <c r="AL83" s="113"/>
      <c r="AM83" s="113"/>
      <c r="AN83" s="113"/>
      <c r="AO83" s="113"/>
      <c r="AP83" s="113"/>
      <c r="AQ83" s="113"/>
      <c r="AR83" s="112"/>
      <c r="AS83" s="113"/>
      <c r="AT83" s="113"/>
      <c r="AU83" s="113"/>
      <c r="AV83" s="113"/>
      <c r="AW83" s="113"/>
      <c r="AX83" s="113"/>
      <c r="AY83" s="113"/>
      <c r="AZ83" s="113"/>
      <c r="BA83" s="113"/>
      <c r="BB83" s="113"/>
      <c r="BC83" s="113"/>
      <c r="BD83" s="113"/>
      <c r="BE83" s="113"/>
      <c r="BF83" s="113"/>
      <c r="BG83" s="114"/>
      <c r="BI83" s="28"/>
      <c r="BK83" s="6" t="s">
        <v>661</v>
      </c>
      <c r="BL83" s="6">
        <v>1.0</v>
      </c>
      <c r="BM83" s="6"/>
      <c r="BN83" s="6"/>
      <c r="BO83" s="6">
        <v>1.0</v>
      </c>
      <c r="BQ83" s="6" t="s">
        <v>298</v>
      </c>
      <c r="BR83" s="6">
        <v>10.0</v>
      </c>
      <c r="BS83" s="6">
        <v>4.0</v>
      </c>
      <c r="BT83" s="6">
        <v>14.0</v>
      </c>
      <c r="BV83" s="6" t="s">
        <v>298</v>
      </c>
      <c r="BW83" s="6">
        <v>10.0</v>
      </c>
      <c r="BX83" s="6">
        <v>4.0</v>
      </c>
      <c r="BY83" s="6">
        <v>14.0</v>
      </c>
    </row>
    <row r="84">
      <c r="B84" s="31" t="s">
        <v>668</v>
      </c>
      <c r="C84" s="54"/>
      <c r="D84" s="45"/>
      <c r="E84" s="45"/>
      <c r="F84" s="47"/>
      <c r="G84" s="112"/>
      <c r="H84" s="55" t="s">
        <v>349</v>
      </c>
      <c r="I84" s="38">
        <f>VLOOKUP(H84,'Machine List'!$A$1:$I$300,9,FALSE)</f>
        <v>4000</v>
      </c>
      <c r="J84" s="38">
        <f>IF(VLOOKUP(H84,'Machine List'!$A$1:$I$300,5,FALSE)="Multi",IF(VLOOKUP(H84,'Machine List'!$A$1:$I$300,6,FALSE)="Yes",AG84*3*10^Z84,AG84*(2*3)*10^(Z84-1)),0)</f>
        <v>6</v>
      </c>
      <c r="K84" s="38">
        <f>J84+IF(ISNUMBER(I84),I84,
  SWITCH(
      I84,
      "1T",1*10^Z84,
      "2T",2*10^Z84,
      "3T",3*10^Z84,
      "4T",4*10^Z84,
      "4000+500(7O-5)",4000+500*(7*I85-5),
      1
  )
)</f>
        <v>4006</v>
      </c>
      <c r="L84" s="38">
        <f>IF(VLOOKUP(H84,'Machine List'!$A$1:$I$300,5,FALSE)="Multi",IF(VLOOKUP(H84,'Machine List'!$A$1:$I$300,6,FALSE)="Yes",AU84*3*10^AT84,AU84*(2*3)*10^(AT84-1)),0)</f>
        <v>6000</v>
      </c>
      <c r="M84" s="38">
        <f>L84+IF(ISNUMBER(I84),I84,
  SWITCH(
      I84,
      "1T",1*10^AT84,
      "2T",2*10^AT84,
      "3T",3*10^AT84,
      "4T",4*10^AT84,
      "4000+500(7O-5)",4000+500*(7*I85-5),
      1
  )
)</f>
        <v>10000</v>
      </c>
      <c r="N84" s="38" t="str">
        <f>VLOOKUP(H84,'Machine List'!$A$1:$I$300,8,FALSE)</f>
        <v>Tier</v>
      </c>
      <c r="O84" s="38">
        <f>IF(ISNUMBER(N84),N84,10^Z84)</f>
        <v>10</v>
      </c>
      <c r="P84" s="38">
        <f>IF(ISNUMBER(N84),N84,10^AT84)</f>
        <v>10000</v>
      </c>
      <c r="Q84" s="38">
        <f>VLOOKUP(H84,'Machine List'!$A$1:$B$138,2,FALSE)</f>
        <v>1</v>
      </c>
      <c r="R84" s="38" t="s">
        <v>594</v>
      </c>
      <c r="S84" s="45">
        <f>IF(ISNUMBER(Q84),Q84,
  SWITCH(
      Q84,
      "1",1,
      "2T",Z84*2,
      "4T",Z84*4,
      "6T",Z84*6,
      "8T",Z84*8,
      "10T",Z84*10,
      "12T",Z84*12,
      "14T",Z84*14,
      "16T",Z84*16,
      "2(T+1)",2*(Z84+1),
      "1T*C",Z84*J86,
      1
  )
)</f>
        <v>1</v>
      </c>
      <c r="T84" s="38" t="s">
        <v>277</v>
      </c>
      <c r="U84" s="38">
        <f>IF(OR(T84="No",T84=""),S84,T84)</f>
        <v>1</v>
      </c>
      <c r="V84" s="38">
        <f>IF(ISNUMBER(Q84),Q84,
  SWITCH(
      Q84,
      "1",1,
      "2T",AT84*2,
      "4T",AT84*4,
      "6T",AT84*6,
      "8T",AT84*8,
      "10T",AT84*10,
      "12T",AT84*12,
      "14T",AT84*14,
      "16T",AT84*16,
      "2(T+1)",2*(AT84+1),
      "1T*C",AT84*J86,
      1
  )
)</f>
        <v>1</v>
      </c>
      <c r="W84" s="38" t="str">
        <f>T84</f>
        <v>No</v>
      </c>
      <c r="X84" s="38">
        <f>IF(OR(W84="No",W84=""),V84,W84)</f>
        <v>1</v>
      </c>
      <c r="Y84" s="38" t="s">
        <v>390</v>
      </c>
      <c r="Z84" s="38">
        <f>VLOOKUP(Y84,'Item Helper Sheet'!$A$2:$B$16,2,FALSE)</f>
        <v>1</v>
      </c>
      <c r="AA84" s="38">
        <v>480.0</v>
      </c>
      <c r="AB84" s="38">
        <f>20*20</f>
        <v>400</v>
      </c>
      <c r="AC84" s="38">
        <f>AB84*I86</f>
        <v>4000</v>
      </c>
      <c r="AD84" s="38">
        <f>AA84*AC84</f>
        <v>1920000</v>
      </c>
      <c r="AE84" s="75"/>
      <c r="AF84" s="38" t="str">
        <f>Y84</f>
        <v>01 - LV</v>
      </c>
      <c r="AG84" s="38">
        <v>1.0</v>
      </c>
      <c r="AH84" s="38">
        <v>1.0</v>
      </c>
      <c r="AI84" s="38">
        <f>AH84*8*4^Z84</f>
        <v>32</v>
      </c>
      <c r="AJ84" s="38">
        <f>MIN(ROUNDDOWN(AI84/AL84,0),U84)</f>
        <v>0</v>
      </c>
      <c r="AK84" s="38">
        <f>IF(OR(T84="No",T84=""),AG84*S84,AG84*T84)</f>
        <v>1</v>
      </c>
      <c r="AL84" s="38">
        <f>ROUNDUP(AA84*VLOOKUP(H84,'Machine List'!$A$2:$D$219,4,FALSE),0)</f>
        <v>480</v>
      </c>
      <c r="AM84" s="38">
        <f>AL84*AK84</f>
        <v>480</v>
      </c>
      <c r="AN84" s="38">
        <f>ROUNDUP(AB84*I86,0)</f>
        <v>4000</v>
      </c>
      <c r="AO84" s="38">
        <f>ROUNDUP(AN84/VLOOKUP(H84,'Machine List'!$A$2:$D$219,3,FALSE),0)</f>
        <v>4000</v>
      </c>
      <c r="AP84" s="38">
        <f>ROUNDUP(AO84/AK84,0)</f>
        <v>4000</v>
      </c>
      <c r="AQ84" s="38">
        <f>AM84*AP84</f>
        <v>1920000</v>
      </c>
      <c r="AR84" s="75"/>
      <c r="AS84" s="38" t="s">
        <v>401</v>
      </c>
      <c r="AT84" s="38">
        <f>VLOOKUP(AS84,'Item Helper Sheet'!$A$2:$B$16,2,FALSE)</f>
        <v>4</v>
      </c>
      <c r="AU84" s="38">
        <f>AG84</f>
        <v>1</v>
      </c>
      <c r="AV84" s="38">
        <v>1.0</v>
      </c>
      <c r="AW84" s="38">
        <f>AV84*8*4^AT84</f>
        <v>2048</v>
      </c>
      <c r="AX84" s="38">
        <f>MIN(ROUNDDOWN(AW84/AL84,0),X84)</f>
        <v>1</v>
      </c>
      <c r="AY84" s="38">
        <f>AX84*AU84</f>
        <v>1</v>
      </c>
      <c r="AZ84" s="38">
        <f>AL84</f>
        <v>480</v>
      </c>
      <c r="BA84" s="38">
        <f>MIN(AT84-Z84,IF(AW84&gt;=AZ85*4,
IF(AW84&gt;=AZ85*4^2,
IF(AW84&gt;=AZ85*4^3,
IF(AW84&gt;=AZ85*4^4,
IF(AW84&gt;=AZ85*4^5,
IF(AW84&gt;=AZ85*4^6,
IF(AW84&gt;=AZ85*4^7,
IF(AW84&gt;=AZ85*4^8,
IF(AW84&gt;=AZ85*4^9,
IF(AW84&gt;=AZ85*4^10,
9),
8),
7),
6),
5),
4),
3),
2),
1),
0))</f>
        <v>1</v>
      </c>
      <c r="BB84" s="38">
        <f>AZ84*AX84*4^BA84</f>
        <v>1920</v>
      </c>
      <c r="BC84" s="38">
        <f>BB84*AU84</f>
        <v>1920</v>
      </c>
      <c r="BD84" s="45">
        <f>ROUNDUP(IF(R84="Yes",AN84/(2^((BA84)*2)),AN84/(2^(BA84))),0)</f>
        <v>1000</v>
      </c>
      <c r="BE84" s="45">
        <f>ROUNDUP(BD84/VLOOKUP(H84,'Machine List'!$A$2:$D$219,3,FALSE),0)</f>
        <v>1000</v>
      </c>
      <c r="BF84" s="45">
        <f>ROUNDUP(BE84/AY84,0)</f>
        <v>1000</v>
      </c>
      <c r="BG84" s="46">
        <f>BF84*BC84</f>
        <v>1920000</v>
      </c>
      <c r="BI84" s="28"/>
      <c r="BK84" s="6" t="s">
        <v>662</v>
      </c>
      <c r="BL84" s="6">
        <v>1.0</v>
      </c>
      <c r="BM84" s="6"/>
      <c r="BN84" s="6"/>
      <c r="BO84" s="6">
        <v>1.0</v>
      </c>
      <c r="BQ84" s="6" t="s">
        <v>349</v>
      </c>
      <c r="BR84" s="6">
        <v>12.0</v>
      </c>
      <c r="BS84" s="6"/>
      <c r="BT84" s="6">
        <v>12.0</v>
      </c>
      <c r="BV84" s="6" t="s">
        <v>349</v>
      </c>
      <c r="BW84" s="6">
        <v>12.0</v>
      </c>
      <c r="BX84" s="6"/>
      <c r="BY84" s="6">
        <v>12.0</v>
      </c>
    </row>
    <row r="85">
      <c r="B85" s="40"/>
      <c r="C85" s="41" t="s">
        <v>13</v>
      </c>
      <c r="D85" s="38">
        <f>2000*I86</f>
        <v>20000</v>
      </c>
      <c r="E85" s="38" t="s">
        <v>14</v>
      </c>
      <c r="F85" s="42">
        <f>1000*I86</f>
        <v>10000</v>
      </c>
      <c r="G85" s="112"/>
      <c r="H85" s="99" t="s">
        <v>584</v>
      </c>
      <c r="I85" s="45">
        <f t="array" ref="I85">match(TRUE,ISBLANK(F85:F97),0)-1</f>
        <v>3</v>
      </c>
      <c r="J85" s="120" t="s">
        <v>420</v>
      </c>
      <c r="K85" s="120" t="s">
        <v>585</v>
      </c>
      <c r="L85" s="121"/>
      <c r="M85" s="121"/>
      <c r="N85" s="121"/>
      <c r="O85" s="121"/>
      <c r="P85" s="121"/>
      <c r="Q85" s="121"/>
      <c r="R85" s="121"/>
      <c r="S85" s="121"/>
      <c r="T85" s="121"/>
      <c r="U85" s="121"/>
      <c r="V85" s="121"/>
      <c r="W85" s="121"/>
      <c r="X85" s="121"/>
      <c r="Y85" s="121"/>
      <c r="Z85" s="121"/>
      <c r="AA85" s="121"/>
      <c r="AB85" s="121"/>
      <c r="AC85" s="121"/>
      <c r="AD85" s="121"/>
      <c r="AE85" s="118"/>
      <c r="AF85" s="121"/>
      <c r="AG85" s="121"/>
      <c r="AH85" s="121"/>
      <c r="AI85" s="121"/>
      <c r="AJ85" s="121"/>
      <c r="AK85" s="121"/>
      <c r="AL85" s="121"/>
      <c r="AM85" s="121"/>
      <c r="AN85" s="121"/>
      <c r="AO85" s="121"/>
      <c r="AP85" s="121"/>
      <c r="AQ85" s="121"/>
      <c r="AR85" s="118"/>
      <c r="AS85" s="121"/>
      <c r="AT85" s="121"/>
      <c r="AU85" s="121"/>
      <c r="AV85" s="121"/>
      <c r="AW85" s="121"/>
      <c r="AX85" s="121"/>
      <c r="AY85" s="121"/>
      <c r="AZ85" s="116">
        <f>AZ84*AX84</f>
        <v>480</v>
      </c>
      <c r="BA85" s="121"/>
      <c r="BB85" s="121"/>
      <c r="BC85" s="121"/>
      <c r="BD85" s="121"/>
      <c r="BE85" s="121"/>
      <c r="BF85" s="121"/>
      <c r="BG85" s="122"/>
      <c r="BI85" s="28"/>
      <c r="BK85" s="6" t="s">
        <v>663</v>
      </c>
      <c r="BL85" s="6"/>
      <c r="BM85" s="6">
        <v>1.0</v>
      </c>
      <c r="BN85" s="6"/>
      <c r="BO85" s="6">
        <v>1.0</v>
      </c>
      <c r="BQ85" s="6" t="s">
        <v>357</v>
      </c>
      <c r="BR85" s="6">
        <v>1.0</v>
      </c>
      <c r="BS85" s="6">
        <v>1.0</v>
      </c>
      <c r="BT85" s="6">
        <v>2.0</v>
      </c>
      <c r="BV85" s="6" t="s">
        <v>357</v>
      </c>
      <c r="BW85" s="6">
        <v>2.0</v>
      </c>
      <c r="BX85" s="6"/>
      <c r="BY85" s="6">
        <v>2.0</v>
      </c>
    </row>
    <row r="86">
      <c r="B86" s="40"/>
      <c r="C86" s="41" t="s">
        <v>40</v>
      </c>
      <c r="D86" s="38">
        <f>1*I86</f>
        <v>10</v>
      </c>
      <c r="E86" s="38" t="s">
        <v>43</v>
      </c>
      <c r="F86" s="42">
        <f>1000*I86</f>
        <v>10000</v>
      </c>
      <c r="G86" s="112"/>
      <c r="H86" s="48" t="s">
        <v>502</v>
      </c>
      <c r="I86" s="49">
        <v>10.0</v>
      </c>
      <c r="J86" s="100" t="s">
        <v>424</v>
      </c>
      <c r="K86" s="120">
        <v>0.0</v>
      </c>
      <c r="L86" s="121"/>
      <c r="M86" s="121"/>
      <c r="N86" s="121"/>
      <c r="O86" s="121"/>
      <c r="P86" s="121"/>
      <c r="Q86" s="121"/>
      <c r="R86" s="121"/>
      <c r="S86" s="121"/>
      <c r="T86" s="121"/>
      <c r="U86" s="121"/>
      <c r="V86" s="121"/>
      <c r="W86" s="121"/>
      <c r="X86" s="121"/>
      <c r="Y86" s="121"/>
      <c r="Z86" s="121"/>
      <c r="AA86" s="121"/>
      <c r="AB86" s="121"/>
      <c r="AC86" s="121"/>
      <c r="AD86" s="121"/>
      <c r="AE86" s="118"/>
      <c r="AF86" s="121"/>
      <c r="AG86" s="121"/>
      <c r="AH86" s="121"/>
      <c r="AI86" s="121"/>
      <c r="AJ86" s="121"/>
      <c r="AK86" s="121"/>
      <c r="AL86" s="121"/>
      <c r="AM86" s="121"/>
      <c r="AN86" s="121"/>
      <c r="AO86" s="121"/>
      <c r="AP86" s="121"/>
      <c r="AQ86" s="121"/>
      <c r="AR86" s="118"/>
      <c r="AS86" s="121"/>
      <c r="AT86" s="121"/>
      <c r="AU86" s="121"/>
      <c r="AV86" s="121"/>
      <c r="AW86" s="121"/>
      <c r="AX86" s="121"/>
      <c r="AY86" s="121"/>
      <c r="AZ86" s="121"/>
      <c r="BA86" s="121"/>
      <c r="BB86" s="121"/>
      <c r="BC86" s="121"/>
      <c r="BD86" s="121"/>
      <c r="BE86" s="121"/>
      <c r="BF86" s="121"/>
      <c r="BG86" s="122"/>
      <c r="BI86" s="28"/>
      <c r="BK86" s="6" t="s">
        <v>664</v>
      </c>
      <c r="BL86" s="6"/>
      <c r="BM86" s="6">
        <v>1.0</v>
      </c>
      <c r="BN86" s="6"/>
      <c r="BO86" s="6">
        <v>1.0</v>
      </c>
      <c r="BQ86" s="6" t="s">
        <v>487</v>
      </c>
      <c r="BR86" s="6">
        <v>23.0</v>
      </c>
      <c r="BS86" s="6">
        <v>5.0</v>
      </c>
      <c r="BT86" s="6">
        <v>28.0</v>
      </c>
      <c r="BV86" s="6" t="s">
        <v>487</v>
      </c>
      <c r="BW86" s="6">
        <v>24.0</v>
      </c>
      <c r="BX86" s="6">
        <v>4.0</v>
      </c>
      <c r="BY86" s="6">
        <v>28.0</v>
      </c>
    </row>
    <row r="87">
      <c r="B87" s="40"/>
      <c r="C87" s="38"/>
      <c r="D87" s="133"/>
      <c r="E87" s="38" t="s">
        <v>248</v>
      </c>
      <c r="F87" s="42">
        <f>1000*I86</f>
        <v>10000</v>
      </c>
      <c r="G87" s="112"/>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18"/>
      <c r="AF87" s="101"/>
      <c r="AG87" s="101"/>
      <c r="AH87" s="101"/>
      <c r="AI87" s="101"/>
      <c r="AJ87" s="101"/>
      <c r="AK87" s="101"/>
      <c r="AL87" s="101"/>
      <c r="AM87" s="101"/>
      <c r="AN87" s="101"/>
      <c r="AO87" s="101"/>
      <c r="AP87" s="101"/>
      <c r="AQ87" s="101"/>
      <c r="AR87" s="118"/>
      <c r="AS87" s="101"/>
      <c r="AT87" s="101"/>
      <c r="AU87" s="101"/>
      <c r="AV87" s="101"/>
      <c r="AW87" s="101"/>
      <c r="AX87" s="101"/>
      <c r="AY87" s="101"/>
      <c r="AZ87" s="101"/>
      <c r="BA87" s="101"/>
      <c r="BB87" s="101"/>
      <c r="BC87" s="101"/>
      <c r="BD87" s="101"/>
      <c r="BE87" s="101"/>
      <c r="BF87" s="101"/>
      <c r="BG87" s="124"/>
      <c r="BI87" s="28"/>
      <c r="BK87" s="6" t="s">
        <v>665</v>
      </c>
      <c r="BL87" s="6">
        <v>1.0</v>
      </c>
      <c r="BM87" s="6"/>
      <c r="BN87" s="6"/>
      <c r="BO87" s="6">
        <v>1.0</v>
      </c>
    </row>
    <row r="88">
      <c r="B88" s="50"/>
      <c r="C88" s="51"/>
      <c r="D88" s="134"/>
      <c r="E88" s="52"/>
      <c r="F88" s="52"/>
      <c r="G88" s="112"/>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2"/>
      <c r="AF88" s="113"/>
      <c r="AG88" s="113"/>
      <c r="AH88" s="113"/>
      <c r="AI88" s="113"/>
      <c r="AJ88" s="113"/>
      <c r="AK88" s="113"/>
      <c r="AL88" s="113"/>
      <c r="AM88" s="113"/>
      <c r="AN88" s="113"/>
      <c r="AO88" s="113"/>
      <c r="AP88" s="113"/>
      <c r="AQ88" s="113"/>
      <c r="AR88" s="118"/>
      <c r="AS88" s="113"/>
      <c r="AT88" s="113"/>
      <c r="AU88" s="113"/>
      <c r="AV88" s="113"/>
      <c r="AW88" s="113"/>
      <c r="AX88" s="113"/>
      <c r="AY88" s="113"/>
      <c r="AZ88" s="113"/>
      <c r="BA88" s="113"/>
      <c r="BB88" s="113"/>
      <c r="BC88" s="113"/>
      <c r="BD88" s="113"/>
      <c r="BE88" s="113"/>
      <c r="BF88" s="113"/>
      <c r="BG88" s="114"/>
      <c r="BI88" s="28"/>
      <c r="BK88" s="6" t="s">
        <v>666</v>
      </c>
      <c r="BL88" s="6"/>
      <c r="BM88" s="6">
        <v>1.0</v>
      </c>
      <c r="BN88" s="6"/>
      <c r="BO88" s="6">
        <v>1.0</v>
      </c>
    </row>
    <row r="89">
      <c r="B89" s="31" t="s">
        <v>669</v>
      </c>
      <c r="C89" s="54"/>
      <c r="D89" s="45"/>
      <c r="E89" s="45"/>
      <c r="F89" s="47"/>
      <c r="G89" s="35"/>
      <c r="H89" s="55" t="s">
        <v>349</v>
      </c>
      <c r="I89" s="38">
        <f>VLOOKUP(H89,'Machine List'!$A$1:$I$300,9,FALSE)</f>
        <v>4000</v>
      </c>
      <c r="J89" s="38">
        <f>IF(VLOOKUP(H89,'Machine List'!$A$1:$I$300,5,FALSE)="Multi",IF(VLOOKUP(H89,'Machine List'!$A$1:$I$300,6,FALSE)="Yes",AG89*3*10^Z89,AG89*(2*3)*10^(Z89-1)),0)</f>
        <v>6</v>
      </c>
      <c r="K89" s="38">
        <f>J89+IF(ISNUMBER(I89),I89,
  SWITCH(
      I89,
      "1T",1*10^Z89,
      "2T",2*10^Z89,
      "3T",3*10^Z89,
      "4T",4*10^Z89,
      "4000+500(7O-5)",4000+500*(7*I90-5),
      1
  )
)</f>
        <v>4006</v>
      </c>
      <c r="L89" s="38">
        <f>IF(VLOOKUP(H89,'Machine List'!$A$1:$I$300,5,FALSE)="Multi",IF(VLOOKUP(H89,'Machine List'!$A$1:$I$300,6,FALSE)="Yes",AU89*3*10^AT89,AU89*(2*3)*10^(AT89-1)),0)</f>
        <v>6000</v>
      </c>
      <c r="M89" s="38">
        <f>L89+IF(ISNUMBER(I89),I89,
  SWITCH(
      I89,
      "1T",1*10^AT89,
      "2T",2*10^AT89,
      "3T",3*10^AT89,
      "4T",4*10^AT89,
      "4000+500(7O-5)",4000+500*(7*I90-5),
      1
  )
)</f>
        <v>10000</v>
      </c>
      <c r="N89" s="38" t="str">
        <f>VLOOKUP(H89,'Machine List'!$A$1:$I$300,8,FALSE)</f>
        <v>Tier</v>
      </c>
      <c r="O89" s="38">
        <f>IF(ISNUMBER(N89),N89,10^Z89)</f>
        <v>10</v>
      </c>
      <c r="P89" s="38">
        <f>IF(ISNUMBER(N89),N89,10^AT89)</f>
        <v>10000</v>
      </c>
      <c r="Q89" s="38">
        <f>VLOOKUP(H89,'Machine List'!$A$1:$B$138,2,FALSE)</f>
        <v>1</v>
      </c>
      <c r="R89" s="38" t="s">
        <v>594</v>
      </c>
      <c r="S89" s="45">
        <f>IF(ISNUMBER(Q89),Q89,
  SWITCH(
      Q89,
      "1",1,
      "2T",Z89*2,
      "4T",Z89*4,
      "6T",Z89*6,
      "8T",Z89*8,
      "10T",Z89*10,
      "12T",Z89*12,
      "14T",Z89*14,
      "16T",Z89*16,
      "2(T+1)",2*(Z89+1),
      "1T*C",Z89*J91,
      1
  )
)</f>
        <v>1</v>
      </c>
      <c r="T89" s="38" t="s">
        <v>277</v>
      </c>
      <c r="U89" s="38">
        <f>IF(OR(T89="No",T89=""),S89,T89)</f>
        <v>1</v>
      </c>
      <c r="V89" s="38">
        <f>IF(ISNUMBER(Q89),Q89,
  SWITCH(
      Q89,
      "1",1,
      "2T",AT89*2,
      "4T",AT89*4,
      "6T",AT89*6,
      "8T",AT89*8,
      "10T",AT89*10,
      "12T",AT89*12,
      "14T",AT89*14,
      "16T",AT89*16,
      "2(T+1)",2*(AT89+1),
      "1T*C",AT89*J91,
      1
  )
)</f>
        <v>1</v>
      </c>
      <c r="W89" s="38" t="str">
        <f>T89</f>
        <v>No</v>
      </c>
      <c r="X89" s="38">
        <f>IF(OR(W89="No",W89=""),V89,W89)</f>
        <v>1</v>
      </c>
      <c r="Y89" s="38" t="s">
        <v>390</v>
      </c>
      <c r="Z89" s="38">
        <f>VLOOKUP(Y89,'Item Helper Sheet'!$A$2:$B$16,2,FALSE)</f>
        <v>1</v>
      </c>
      <c r="AA89" s="38">
        <v>480.0</v>
      </c>
      <c r="AB89" s="38">
        <f>5*20</f>
        <v>100</v>
      </c>
      <c r="AC89" s="38">
        <f>AB89*I91</f>
        <v>1000</v>
      </c>
      <c r="AD89" s="38">
        <f>AA89*AC89</f>
        <v>480000</v>
      </c>
      <c r="AE89" s="75"/>
      <c r="AF89" s="38" t="str">
        <f>Y89</f>
        <v>01 - LV</v>
      </c>
      <c r="AG89" s="38">
        <v>1.0</v>
      </c>
      <c r="AH89" s="38">
        <v>1.0</v>
      </c>
      <c r="AI89" s="38">
        <f>AH89*8*4^Z89</f>
        <v>32</v>
      </c>
      <c r="AJ89" s="38">
        <f>MIN(ROUNDDOWN(AI89/AL89,0),U89)</f>
        <v>0</v>
      </c>
      <c r="AK89" s="38">
        <f>IF(OR(T89="No",T89=""),AG89*S89,AG89*T89)</f>
        <v>1</v>
      </c>
      <c r="AL89" s="38">
        <f>ROUNDUP(AA89*VLOOKUP(H89,'Machine List'!$A$2:$D$219,4,FALSE),0)</f>
        <v>480</v>
      </c>
      <c r="AM89" s="38">
        <f>AL89*AK89</f>
        <v>480</v>
      </c>
      <c r="AN89" s="38">
        <f>ROUNDUP(AB89*I91,0)</f>
        <v>1000</v>
      </c>
      <c r="AO89" s="38">
        <f>ROUNDUP(AN89/VLOOKUP(H89,'Machine List'!$A$2:$D$219,3,FALSE),0)</f>
        <v>1000</v>
      </c>
      <c r="AP89" s="38">
        <f>ROUNDUP(AO89/AK89,0)</f>
        <v>1000</v>
      </c>
      <c r="AQ89" s="38">
        <f>AM89*AP89</f>
        <v>480000</v>
      </c>
      <c r="AR89" s="75"/>
      <c r="AS89" s="38" t="s">
        <v>401</v>
      </c>
      <c r="AT89" s="38">
        <f>VLOOKUP(AS89,'Item Helper Sheet'!$A$2:$B$16,2,FALSE)</f>
        <v>4</v>
      </c>
      <c r="AU89" s="38">
        <f>AG89</f>
        <v>1</v>
      </c>
      <c r="AV89" s="38">
        <v>1.0</v>
      </c>
      <c r="AW89" s="38">
        <f>AV89*8*4^AT89</f>
        <v>2048</v>
      </c>
      <c r="AX89" s="38">
        <f>MIN(ROUNDDOWN(AW89/AL89,0),X89)</f>
        <v>1</v>
      </c>
      <c r="AY89" s="38">
        <f>AX89*AU89</f>
        <v>1</v>
      </c>
      <c r="AZ89" s="38">
        <f>AL89</f>
        <v>480</v>
      </c>
      <c r="BA89" s="38">
        <f>MIN(AT89-Z89,IF(AW89&gt;=AZ90*4,
IF(AW89&gt;=AZ90*4^2,
IF(AW89&gt;=AZ90*4^3,
IF(AW89&gt;=AZ90*4^4,
IF(AW89&gt;=AZ90*4^5,
IF(AW89&gt;=AZ90*4^6,
IF(AW89&gt;=AZ90*4^7,
IF(AW89&gt;=AZ90*4^8,
IF(AW89&gt;=AZ90*4^9,
IF(AW89&gt;=AZ90*4^10,
9),
8),
7),
6),
5),
4),
3),
2),
1),
0))</f>
        <v>1</v>
      </c>
      <c r="BB89" s="38">
        <f>AZ89*AX89*4^BA89</f>
        <v>1920</v>
      </c>
      <c r="BC89" s="38">
        <f>BB89*AU89</f>
        <v>1920</v>
      </c>
      <c r="BD89" s="45">
        <f>ROUNDUP(IF(R89="Yes",AN89/(2^((BA89)*2)),AN89/(2^(BA89))),0)</f>
        <v>250</v>
      </c>
      <c r="BE89" s="45">
        <f>ROUNDUP(BD89/VLOOKUP(H89,'Machine List'!$A$2:$D$219,3,FALSE),0)</f>
        <v>250</v>
      </c>
      <c r="BF89" s="45">
        <f>ROUNDUP(BE89/AY89,0)</f>
        <v>250</v>
      </c>
      <c r="BG89" s="46">
        <f>BF89*BC89</f>
        <v>480000</v>
      </c>
      <c r="BI89" s="28"/>
      <c r="BK89" s="6" t="s">
        <v>667</v>
      </c>
      <c r="BL89" s="6"/>
      <c r="BM89" s="6">
        <v>1.0</v>
      </c>
      <c r="BN89" s="6"/>
      <c r="BO89" s="6">
        <v>1.0</v>
      </c>
    </row>
    <row r="90">
      <c r="B90" s="40"/>
      <c r="C90" s="41" t="s">
        <v>124</v>
      </c>
      <c r="D90" s="38">
        <f>16000*I91</f>
        <v>160000</v>
      </c>
      <c r="E90" s="38" t="s">
        <v>179</v>
      </c>
      <c r="F90" s="42">
        <f>20000*I91</f>
        <v>200000</v>
      </c>
      <c r="G90" s="43"/>
      <c r="H90" s="99" t="s">
        <v>584</v>
      </c>
      <c r="I90" s="45">
        <f t="array" ref="I90">match(TRUE,ISBLANK(F90:F102),0)-1</f>
        <v>1</v>
      </c>
      <c r="J90" s="100" t="s">
        <v>420</v>
      </c>
      <c r="K90" s="100" t="s">
        <v>585</v>
      </c>
      <c r="L90" s="38"/>
      <c r="M90" s="38"/>
      <c r="N90" s="38"/>
      <c r="O90" s="38"/>
      <c r="P90" s="38"/>
      <c r="Q90" s="38"/>
      <c r="R90" s="101"/>
      <c r="S90" s="101"/>
      <c r="T90" s="101"/>
      <c r="U90" s="45"/>
      <c r="V90" s="45"/>
      <c r="W90" s="45"/>
      <c r="X90" s="45"/>
      <c r="Y90" s="45"/>
      <c r="Z90" s="45"/>
      <c r="AA90" s="45"/>
      <c r="AB90" s="45"/>
      <c r="AC90" s="45"/>
      <c r="AD90" s="45"/>
      <c r="AE90" s="79"/>
      <c r="AF90" s="45"/>
      <c r="AG90" s="45"/>
      <c r="AH90" s="45"/>
      <c r="AI90" s="45"/>
      <c r="AJ90" s="45"/>
      <c r="AK90" s="45"/>
      <c r="AL90" s="45"/>
      <c r="AM90" s="45"/>
      <c r="AN90" s="45"/>
      <c r="AO90" s="45"/>
      <c r="AP90" s="45"/>
      <c r="AQ90" s="45"/>
      <c r="AR90" s="79"/>
      <c r="AS90" s="45"/>
      <c r="AT90" s="45"/>
      <c r="AU90" s="45"/>
      <c r="AV90" s="45"/>
      <c r="AW90" s="45"/>
      <c r="AX90" s="45"/>
      <c r="AY90" s="45"/>
      <c r="AZ90" s="45">
        <f>AZ89*AX89</f>
        <v>480</v>
      </c>
      <c r="BA90" s="45"/>
      <c r="BB90" s="45"/>
      <c r="BC90" s="45"/>
      <c r="BD90" s="45"/>
      <c r="BE90" s="45"/>
      <c r="BF90" s="45"/>
      <c r="BG90" s="46"/>
      <c r="BI90" s="28"/>
      <c r="BK90" s="6" t="s">
        <v>668</v>
      </c>
      <c r="BL90" s="6"/>
      <c r="BM90" s="6">
        <v>1.0</v>
      </c>
      <c r="BN90" s="6"/>
      <c r="BO90" s="6">
        <v>1.0</v>
      </c>
    </row>
    <row r="91">
      <c r="B91" s="40"/>
      <c r="C91" s="41" t="s">
        <v>183</v>
      </c>
      <c r="D91" s="38">
        <f>2000*I91</f>
        <v>20000</v>
      </c>
      <c r="E91" s="38"/>
      <c r="F91" s="42"/>
      <c r="G91" s="43"/>
      <c r="H91" s="56" t="s">
        <v>502</v>
      </c>
      <c r="I91" s="49">
        <v>10.0</v>
      </c>
      <c r="J91" s="100" t="s">
        <v>424</v>
      </c>
      <c r="K91" s="100">
        <v>0.0</v>
      </c>
      <c r="L91" s="45"/>
      <c r="M91" s="45"/>
      <c r="N91" s="45"/>
      <c r="O91" s="45"/>
      <c r="P91" s="45"/>
      <c r="Q91" s="45"/>
      <c r="R91" s="45"/>
      <c r="S91" s="101"/>
      <c r="T91" s="101"/>
      <c r="U91" s="45"/>
      <c r="V91" s="45"/>
      <c r="W91" s="45"/>
      <c r="X91" s="45"/>
      <c r="Y91" s="45"/>
      <c r="Z91" s="45"/>
      <c r="AA91" s="45"/>
      <c r="AB91" s="45"/>
      <c r="AC91" s="45"/>
      <c r="AD91" s="45"/>
      <c r="AE91" s="79"/>
      <c r="AF91" s="45"/>
      <c r="AG91" s="45"/>
      <c r="AH91" s="45"/>
      <c r="AI91" s="45"/>
      <c r="AJ91" s="45"/>
      <c r="AK91" s="45"/>
      <c r="AL91" s="45"/>
      <c r="AM91" s="45"/>
      <c r="AN91" s="45"/>
      <c r="AO91" s="45"/>
      <c r="AP91" s="45"/>
      <c r="AQ91" s="45"/>
      <c r="AR91" s="79"/>
      <c r="AS91" s="45"/>
      <c r="AT91" s="45"/>
      <c r="AU91" s="45"/>
      <c r="AV91" s="45"/>
      <c r="AW91" s="45"/>
      <c r="AX91" s="45"/>
      <c r="AY91" s="45"/>
      <c r="AZ91" s="45"/>
      <c r="BA91" s="45"/>
      <c r="BB91" s="45"/>
      <c r="BC91" s="45"/>
      <c r="BD91" s="45"/>
      <c r="BE91" s="45"/>
      <c r="BF91" s="45"/>
      <c r="BG91" s="46"/>
      <c r="BI91" s="28"/>
      <c r="BK91" s="6" t="s">
        <v>669</v>
      </c>
      <c r="BL91" s="6"/>
      <c r="BM91" s="6">
        <v>1.0</v>
      </c>
      <c r="BN91" s="6"/>
      <c r="BO91" s="6">
        <v>1.0</v>
      </c>
    </row>
    <row r="92">
      <c r="B92" s="40"/>
      <c r="C92" s="41" t="s">
        <v>119</v>
      </c>
      <c r="D92" s="38">
        <f>2000*I91</f>
        <v>20000</v>
      </c>
      <c r="E92" s="38"/>
      <c r="F92" s="42"/>
      <c r="G92" s="43"/>
      <c r="H92" s="44"/>
      <c r="I92" s="45"/>
      <c r="J92" s="45"/>
      <c r="K92" s="45"/>
      <c r="L92" s="45"/>
      <c r="M92" s="45"/>
      <c r="N92" s="45"/>
      <c r="O92" s="45"/>
      <c r="P92" s="45"/>
      <c r="Q92" s="45"/>
      <c r="R92" s="45"/>
      <c r="S92" s="101"/>
      <c r="T92" s="101"/>
      <c r="U92" s="45"/>
      <c r="V92" s="45"/>
      <c r="W92" s="45"/>
      <c r="X92" s="45"/>
      <c r="Y92" s="45"/>
      <c r="Z92" s="45"/>
      <c r="AA92" s="45"/>
      <c r="AB92" s="45"/>
      <c r="AC92" s="45"/>
      <c r="AD92" s="45"/>
      <c r="AE92" s="79"/>
      <c r="AF92" s="45"/>
      <c r="AG92" s="45"/>
      <c r="AH92" s="45"/>
      <c r="AI92" s="45"/>
      <c r="AJ92" s="45"/>
      <c r="AK92" s="45"/>
      <c r="AL92" s="45"/>
      <c r="AM92" s="45"/>
      <c r="AN92" s="45"/>
      <c r="AO92" s="45"/>
      <c r="AP92" s="45"/>
      <c r="AQ92" s="45"/>
      <c r="AR92" s="79"/>
      <c r="AS92" s="45"/>
      <c r="AT92" s="45"/>
      <c r="AU92" s="45"/>
      <c r="AV92" s="45"/>
      <c r="AW92" s="45"/>
      <c r="AX92" s="45"/>
      <c r="AY92" s="45"/>
      <c r="AZ92" s="45"/>
      <c r="BA92" s="45"/>
      <c r="BB92" s="45"/>
      <c r="BC92" s="45"/>
      <c r="BD92" s="45"/>
      <c r="BE92" s="45"/>
      <c r="BF92" s="45"/>
      <c r="BG92" s="46"/>
      <c r="BI92" s="28"/>
      <c r="BK92" s="6" t="s">
        <v>670</v>
      </c>
      <c r="BL92" s="6"/>
      <c r="BM92" s="6">
        <v>1.0</v>
      </c>
      <c r="BN92" s="6"/>
      <c r="BO92" s="6">
        <v>1.0</v>
      </c>
    </row>
    <row r="93">
      <c r="B93" s="40"/>
      <c r="C93" s="41" t="s">
        <v>14</v>
      </c>
      <c r="D93" s="133">
        <f>1000*I91</f>
        <v>10000</v>
      </c>
      <c r="E93" s="38"/>
      <c r="F93" s="42"/>
      <c r="G93" s="43"/>
      <c r="H93" s="44"/>
      <c r="I93" s="45"/>
      <c r="J93" s="45"/>
      <c r="K93" s="45"/>
      <c r="L93" s="45"/>
      <c r="M93" s="45"/>
      <c r="N93" s="45"/>
      <c r="O93" s="45"/>
      <c r="P93" s="45"/>
      <c r="Q93" s="45"/>
      <c r="R93" s="45"/>
      <c r="S93" s="101"/>
      <c r="T93" s="101"/>
      <c r="U93" s="45"/>
      <c r="V93" s="45"/>
      <c r="W93" s="45"/>
      <c r="X93" s="45"/>
      <c r="Y93" s="45"/>
      <c r="Z93" s="45"/>
      <c r="AA93" s="45"/>
      <c r="AB93" s="45"/>
      <c r="AC93" s="45"/>
      <c r="AD93" s="45"/>
      <c r="AE93" s="79"/>
      <c r="AF93" s="45"/>
      <c r="AG93" s="45"/>
      <c r="AH93" s="45"/>
      <c r="AI93" s="45"/>
      <c r="AJ93" s="45"/>
      <c r="AK93" s="45"/>
      <c r="AL93" s="45"/>
      <c r="AM93" s="45"/>
      <c r="AN93" s="45"/>
      <c r="AO93" s="45"/>
      <c r="AP93" s="45"/>
      <c r="AQ93" s="45"/>
      <c r="AR93" s="79"/>
      <c r="AS93" s="45"/>
      <c r="AT93" s="45"/>
      <c r="AU93" s="45"/>
      <c r="AV93" s="45"/>
      <c r="AW93" s="45"/>
      <c r="AX93" s="45"/>
      <c r="AY93" s="45"/>
      <c r="AZ93" s="45"/>
      <c r="BA93" s="45"/>
      <c r="BB93" s="45"/>
      <c r="BC93" s="45"/>
      <c r="BD93" s="45"/>
      <c r="BE93" s="45"/>
      <c r="BF93" s="45"/>
      <c r="BG93" s="46"/>
      <c r="BI93" s="28"/>
      <c r="BK93" s="6" t="s">
        <v>671</v>
      </c>
      <c r="BL93" s="6"/>
      <c r="BM93" s="6">
        <v>1.0</v>
      </c>
      <c r="BN93" s="6"/>
      <c r="BO93" s="6">
        <v>1.0</v>
      </c>
    </row>
    <row r="94">
      <c r="B94" s="50"/>
      <c r="C94" s="51"/>
      <c r="D94" s="134"/>
      <c r="E94" s="52"/>
      <c r="F94" s="52"/>
      <c r="G94" s="112"/>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2"/>
      <c r="AF94" s="113"/>
      <c r="AG94" s="113"/>
      <c r="AH94" s="113"/>
      <c r="AI94" s="113"/>
      <c r="AJ94" s="113"/>
      <c r="AK94" s="113"/>
      <c r="AL94" s="113"/>
      <c r="AM94" s="113"/>
      <c r="AN94" s="113"/>
      <c r="AO94" s="113"/>
      <c r="AP94" s="113"/>
      <c r="AQ94" s="113"/>
      <c r="AR94" s="112"/>
      <c r="AS94" s="113"/>
      <c r="AT94" s="113"/>
      <c r="AU94" s="113"/>
      <c r="AV94" s="113"/>
      <c r="AW94" s="113"/>
      <c r="AX94" s="113"/>
      <c r="AY94" s="113"/>
      <c r="AZ94" s="113"/>
      <c r="BA94" s="113"/>
      <c r="BB94" s="113"/>
      <c r="BC94" s="113"/>
      <c r="BD94" s="113"/>
      <c r="BE94" s="113"/>
      <c r="BF94" s="113"/>
      <c r="BG94" s="114"/>
      <c r="BI94" s="28"/>
      <c r="BK94" s="6" t="s">
        <v>487</v>
      </c>
      <c r="BL94" s="6">
        <v>5.0</v>
      </c>
      <c r="BM94" s="6">
        <v>12.0</v>
      </c>
      <c r="BN94" s="6">
        <v>2.0</v>
      </c>
      <c r="BO94" s="6">
        <v>19.0</v>
      </c>
    </row>
    <row r="95">
      <c r="B95" s="31" t="s">
        <v>670</v>
      </c>
      <c r="C95" s="54"/>
      <c r="D95" s="45"/>
      <c r="E95" s="45"/>
      <c r="F95" s="47"/>
      <c r="G95" s="112"/>
      <c r="H95" s="55" t="s">
        <v>349</v>
      </c>
      <c r="I95" s="38">
        <f>VLOOKUP(H95,'Machine List'!$A$1:$I$300,9,FALSE)</f>
        <v>4000</v>
      </c>
      <c r="J95" s="38">
        <f>IF(VLOOKUP(H95,'Machine List'!$A$1:$I$300,5,FALSE)="Multi",IF(VLOOKUP(H95,'Machine List'!$A$1:$I$300,6,FALSE)="Yes",AG95*3*10^Z95,AG95*(2*3)*10^(Z95-1)),0)</f>
        <v>6</v>
      </c>
      <c r="K95" s="38">
        <f>J95+IF(ISNUMBER(I95),I95,
  SWITCH(
      I95,
      "1T",1*10^Z95,
      "2T",2*10^Z95,
      "3T",3*10^Z95,
      "4T",4*10^Z95,
      "4000+500(7O-5)",4000+500*(7*I96-5),
      1
  )
)</f>
        <v>4006</v>
      </c>
      <c r="L95" s="38">
        <f>IF(VLOOKUP(H95,'Machine List'!$A$1:$I$300,5,FALSE)="Multi",IF(VLOOKUP(H95,'Machine List'!$A$1:$I$300,6,FALSE)="Yes",AU95*3*10^AT95,AU95*(2*3)*10^(AT95-1)),0)</f>
        <v>6000</v>
      </c>
      <c r="M95" s="38">
        <f>L95+IF(ISNUMBER(I95),I95,
  SWITCH(
      I95,
      "1T",1*10^AT95,
      "2T",2*10^AT95,
      "3T",3*10^AT95,
      "4T",4*10^AT95,
      "4000+500(7O-5)",4000+500*(7*I96-5),
      1
  )
)</f>
        <v>10000</v>
      </c>
      <c r="N95" s="38" t="str">
        <f>VLOOKUP(H95,'Machine List'!$A$1:$I$300,8,FALSE)</f>
        <v>Tier</v>
      </c>
      <c r="O95" s="38">
        <f>IF(ISNUMBER(N95),N95,10^Z95)</f>
        <v>10</v>
      </c>
      <c r="P95" s="38">
        <f>IF(ISNUMBER(N95),N95,10^AT95)</f>
        <v>10000</v>
      </c>
      <c r="Q95" s="38">
        <f>VLOOKUP(H95,'Machine List'!$A$1:$B$138,2,FALSE)</f>
        <v>1</v>
      </c>
      <c r="R95" s="38" t="s">
        <v>594</v>
      </c>
      <c r="S95" s="45">
        <f>IF(ISNUMBER(Q95),Q95,
  SWITCH(
      Q95,
      "1",1,
      "2T",Z95*2,
      "4T",Z95*4,
      "6T",Z95*6,
      "8T",Z95*8,
      "10T",Z95*10,
      "12T",Z95*12,
      "14T",Z95*14,
      "16T",Z95*16,
      "2(T+1)",2*(Z95+1),
      "1T*C",Z95*J97,
      1
  )
)</f>
        <v>1</v>
      </c>
      <c r="T95" s="38" t="s">
        <v>277</v>
      </c>
      <c r="U95" s="38">
        <f>IF(OR(T95="No",T95=""),S95,T95)</f>
        <v>1</v>
      </c>
      <c r="V95" s="38">
        <f>IF(ISNUMBER(Q95),Q95,
  SWITCH(
      Q95,
      "1",1,
      "2T",AT95*2,
      "4T",AT95*4,
      "6T",AT95*6,
      "8T",AT95*8,
      "10T",AT95*10,
      "12T",AT95*12,
      "14T",AT95*14,
      "16T",AT95*16,
      "2(T+1)",2*(AT95+1),
      "1T*C",AT95*J97,
      1
  )
)</f>
        <v>1</v>
      </c>
      <c r="W95" s="38" t="str">
        <f>T95</f>
        <v>No</v>
      </c>
      <c r="X95" s="38">
        <f>IF(OR(W95="No",W95=""),V95,W95)</f>
        <v>1</v>
      </c>
      <c r="Y95" s="38" t="s">
        <v>390</v>
      </c>
      <c r="Z95" s="38">
        <f>VLOOKUP(Y95,'Item Helper Sheet'!$A$2:$B$16,2,FALSE)</f>
        <v>1</v>
      </c>
      <c r="AA95" s="38">
        <v>480.0</v>
      </c>
      <c r="AB95" s="38">
        <f>0.5*20</f>
        <v>10</v>
      </c>
      <c r="AC95" s="38">
        <f>AB95*I97</f>
        <v>200</v>
      </c>
      <c r="AD95" s="38">
        <f>AA95*AC95</f>
        <v>96000</v>
      </c>
      <c r="AE95" s="75"/>
      <c r="AF95" s="38" t="str">
        <f>Y95</f>
        <v>01 - LV</v>
      </c>
      <c r="AG95" s="38">
        <v>1.0</v>
      </c>
      <c r="AH95" s="38">
        <v>1.0</v>
      </c>
      <c r="AI95" s="38">
        <f>AH95*8*4^Z95</f>
        <v>32</v>
      </c>
      <c r="AJ95" s="38">
        <f>MIN(ROUNDDOWN(AI95/AL95,0),U95)</f>
        <v>0</v>
      </c>
      <c r="AK95" s="38">
        <f>IF(OR(T95="No",T95=""),AG95*S95,AG95*T95)</f>
        <v>1</v>
      </c>
      <c r="AL95" s="38">
        <f>ROUNDUP(AA95*VLOOKUP(H95,'Machine List'!$A$2:$D$219,4,FALSE),0)</f>
        <v>480</v>
      </c>
      <c r="AM95" s="38">
        <f>AL95*AK95</f>
        <v>480</v>
      </c>
      <c r="AN95" s="38">
        <f>ROUNDUP(AB95*I97,0)</f>
        <v>200</v>
      </c>
      <c r="AO95" s="38">
        <f>ROUNDUP(AN95/VLOOKUP(H95,'Machine List'!$A$2:$D$219,3,FALSE),0)</f>
        <v>200</v>
      </c>
      <c r="AP95" s="38">
        <f>ROUNDUP(AO95/AK95,0)</f>
        <v>200</v>
      </c>
      <c r="AQ95" s="38">
        <f>AM95*AP95</f>
        <v>96000</v>
      </c>
      <c r="AR95" s="75"/>
      <c r="AS95" s="38" t="s">
        <v>401</v>
      </c>
      <c r="AT95" s="38">
        <f>VLOOKUP(AS95,'Item Helper Sheet'!$A$2:$B$16,2,FALSE)</f>
        <v>4</v>
      </c>
      <c r="AU95" s="38">
        <f>AG95</f>
        <v>1</v>
      </c>
      <c r="AV95" s="38">
        <v>1.0</v>
      </c>
      <c r="AW95" s="38">
        <f>AV95*8*4^AT95</f>
        <v>2048</v>
      </c>
      <c r="AX95" s="38">
        <f>MIN(ROUNDDOWN(AW95/AL95,0),X95)</f>
        <v>1</v>
      </c>
      <c r="AY95" s="38">
        <f>AX95*AU95</f>
        <v>1</v>
      </c>
      <c r="AZ95" s="38">
        <f>AL95</f>
        <v>480</v>
      </c>
      <c r="BA95" s="38">
        <f>MIN(AT95-Z95,IF(AW95&gt;=AZ96*4,
IF(AW95&gt;=AZ96*4^2,
IF(AW95&gt;=AZ96*4^3,
IF(AW95&gt;=AZ96*4^4,
IF(AW95&gt;=AZ96*4^5,
IF(AW95&gt;=AZ96*4^6,
IF(AW95&gt;=AZ96*4^7,
IF(AW95&gt;=AZ96*4^8,
IF(AW95&gt;=AZ96*4^9,
IF(AW95&gt;=AZ96*4^10,
9),
8),
7),
6),
5),
4),
3),
2),
1),
0))</f>
        <v>1</v>
      </c>
      <c r="BB95" s="38">
        <f>AZ95*AX95*4^BA95</f>
        <v>1920</v>
      </c>
      <c r="BC95" s="38">
        <f>BB95*AU95</f>
        <v>1920</v>
      </c>
      <c r="BD95" s="45">
        <f>ROUNDUP(IF(R95="Yes",AN95/(2^((BA95)*2)),AN95/(2^(BA95))),0)</f>
        <v>50</v>
      </c>
      <c r="BE95" s="45">
        <f>ROUNDUP(BD95/VLOOKUP(H95,'Machine List'!$A$2:$D$219,3,FALSE),0)</f>
        <v>50</v>
      </c>
      <c r="BF95" s="45">
        <f>ROUNDUP(BE95/AY95,0)</f>
        <v>50</v>
      </c>
      <c r="BG95" s="46">
        <f>BF95*BC95</f>
        <v>96000</v>
      </c>
      <c r="BI95" s="28"/>
    </row>
    <row r="96">
      <c r="B96" s="40"/>
      <c r="C96" s="41" t="s">
        <v>179</v>
      </c>
      <c r="D96" s="38">
        <f>10000*I97</f>
        <v>200000</v>
      </c>
      <c r="E96" s="38" t="s">
        <v>78</v>
      </c>
      <c r="F96" s="42">
        <f>11000*I97</f>
        <v>220000</v>
      </c>
      <c r="G96" s="112"/>
      <c r="H96" s="99" t="s">
        <v>584</v>
      </c>
      <c r="I96" s="45">
        <f t="array" ref="I96">match(TRUE,ISBLANK(F96:F108),0)-1</f>
        <v>1</v>
      </c>
      <c r="J96" s="120" t="s">
        <v>420</v>
      </c>
      <c r="K96" s="120" t="s">
        <v>585</v>
      </c>
      <c r="L96" s="121"/>
      <c r="M96" s="121"/>
      <c r="N96" s="121"/>
      <c r="O96" s="121"/>
      <c r="P96" s="121"/>
      <c r="Q96" s="121"/>
      <c r="R96" s="121"/>
      <c r="S96" s="121"/>
      <c r="T96" s="121"/>
      <c r="U96" s="121"/>
      <c r="V96" s="121"/>
      <c r="W96" s="121"/>
      <c r="X96" s="121"/>
      <c r="Y96" s="121"/>
      <c r="Z96" s="121"/>
      <c r="AA96" s="121"/>
      <c r="AB96" s="121"/>
      <c r="AC96" s="121"/>
      <c r="AD96" s="121"/>
      <c r="AE96" s="118"/>
      <c r="AF96" s="121"/>
      <c r="AG96" s="121"/>
      <c r="AH96" s="121"/>
      <c r="AI96" s="121"/>
      <c r="AJ96" s="121"/>
      <c r="AK96" s="121"/>
      <c r="AL96" s="121"/>
      <c r="AM96" s="121"/>
      <c r="AN96" s="121"/>
      <c r="AO96" s="121"/>
      <c r="AP96" s="121"/>
      <c r="AQ96" s="121"/>
      <c r="AR96" s="118"/>
      <c r="AS96" s="121"/>
      <c r="AT96" s="121"/>
      <c r="AU96" s="121"/>
      <c r="AV96" s="121"/>
      <c r="AW96" s="121"/>
      <c r="AX96" s="121"/>
      <c r="AY96" s="121"/>
      <c r="AZ96" s="116">
        <f>AZ95*AX95</f>
        <v>480</v>
      </c>
      <c r="BA96" s="121"/>
      <c r="BB96" s="121"/>
      <c r="BC96" s="121"/>
      <c r="BD96" s="121"/>
      <c r="BE96" s="121"/>
      <c r="BF96" s="121"/>
      <c r="BG96" s="122"/>
      <c r="BI96" s="28"/>
      <c r="BK96" s="6" t="s">
        <v>622</v>
      </c>
      <c r="BL96" s="6" t="s">
        <v>462</v>
      </c>
      <c r="BM96" s="6"/>
      <c r="BN96" s="6"/>
      <c r="BO96" s="6"/>
    </row>
    <row r="97">
      <c r="B97" s="40"/>
      <c r="C97" s="41" t="s">
        <v>238</v>
      </c>
      <c r="D97" s="38">
        <f>1000*I97</f>
        <v>20000</v>
      </c>
      <c r="E97" s="38"/>
      <c r="F97" s="42"/>
      <c r="G97" s="112"/>
      <c r="H97" s="48" t="s">
        <v>502</v>
      </c>
      <c r="I97" s="49">
        <v>20.0</v>
      </c>
      <c r="J97" s="100" t="s">
        <v>424</v>
      </c>
      <c r="K97" s="120">
        <v>0.0</v>
      </c>
      <c r="L97" s="121"/>
      <c r="M97" s="121"/>
      <c r="N97" s="121"/>
      <c r="O97" s="121"/>
      <c r="P97" s="121"/>
      <c r="Q97" s="121"/>
      <c r="R97" s="121"/>
      <c r="S97" s="121"/>
      <c r="T97" s="121"/>
      <c r="U97" s="121"/>
      <c r="V97" s="121"/>
      <c r="W97" s="121"/>
      <c r="X97" s="121"/>
      <c r="Y97" s="121"/>
      <c r="Z97" s="121"/>
      <c r="AA97" s="121"/>
      <c r="AB97" s="121"/>
      <c r="AC97" s="121"/>
      <c r="AD97" s="121"/>
      <c r="AE97" s="118"/>
      <c r="AF97" s="121"/>
      <c r="AG97" s="121"/>
      <c r="AH97" s="121"/>
      <c r="AI97" s="121"/>
      <c r="AJ97" s="121"/>
      <c r="AK97" s="121"/>
      <c r="AL97" s="121"/>
      <c r="AM97" s="121"/>
      <c r="AN97" s="121"/>
      <c r="AO97" s="121"/>
      <c r="AP97" s="121"/>
      <c r="AQ97" s="121"/>
      <c r="AR97" s="118"/>
      <c r="AS97" s="121"/>
      <c r="AT97" s="121"/>
      <c r="AU97" s="121"/>
      <c r="AV97" s="121"/>
      <c r="AW97" s="121"/>
      <c r="AX97" s="121"/>
      <c r="AY97" s="121"/>
      <c r="AZ97" s="121"/>
      <c r="BA97" s="121"/>
      <c r="BB97" s="121"/>
      <c r="BC97" s="121"/>
      <c r="BD97" s="121"/>
      <c r="BE97" s="121"/>
      <c r="BF97" s="121"/>
      <c r="BG97" s="122"/>
      <c r="BI97" s="28"/>
      <c r="BK97" s="6" t="s">
        <v>457</v>
      </c>
      <c r="BL97" s="6" t="s">
        <v>298</v>
      </c>
      <c r="BM97" s="6" t="s">
        <v>349</v>
      </c>
      <c r="BN97" s="6" t="s">
        <v>357</v>
      </c>
      <c r="BO97" s="6" t="s">
        <v>487</v>
      </c>
    </row>
    <row r="98">
      <c r="B98" s="50"/>
      <c r="C98" s="51"/>
      <c r="D98" s="52"/>
      <c r="E98" s="52"/>
      <c r="F98" s="52"/>
      <c r="G98" s="112"/>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2"/>
      <c r="AF98" s="113"/>
      <c r="AG98" s="113"/>
      <c r="AH98" s="113"/>
      <c r="AI98" s="113"/>
      <c r="AJ98" s="113"/>
      <c r="AK98" s="113"/>
      <c r="AL98" s="113"/>
      <c r="AM98" s="113"/>
      <c r="AN98" s="113"/>
      <c r="AO98" s="113"/>
      <c r="AP98" s="113"/>
      <c r="AQ98" s="113"/>
      <c r="AR98" s="112"/>
      <c r="AS98" s="113"/>
      <c r="AT98" s="113"/>
      <c r="AU98" s="113"/>
      <c r="AV98" s="113"/>
      <c r="AW98" s="113"/>
      <c r="AX98" s="113"/>
      <c r="AY98" s="113"/>
      <c r="AZ98" s="113"/>
      <c r="BA98" s="113"/>
      <c r="BB98" s="113"/>
      <c r="BC98" s="113"/>
      <c r="BD98" s="113"/>
      <c r="BE98" s="113"/>
      <c r="BF98" s="113"/>
      <c r="BG98" s="114"/>
      <c r="BI98" s="28"/>
      <c r="BK98" s="6" t="s">
        <v>579</v>
      </c>
      <c r="BL98" s="6">
        <v>4.0</v>
      </c>
      <c r="BM98" s="6"/>
      <c r="BN98" s="6"/>
      <c r="BO98" s="6">
        <v>4.0</v>
      </c>
    </row>
    <row r="99">
      <c r="B99" s="31" t="s">
        <v>671</v>
      </c>
      <c r="C99" s="54"/>
      <c r="D99" s="45"/>
      <c r="E99" s="45"/>
      <c r="F99" s="47"/>
      <c r="G99" s="35"/>
      <c r="H99" s="55" t="s">
        <v>349</v>
      </c>
      <c r="I99" s="38">
        <f>VLOOKUP(H99,'Machine List'!$A$1:$I$300,9,FALSE)</f>
        <v>4000</v>
      </c>
      <c r="J99" s="38">
        <f>IF(VLOOKUP(H99,'Machine List'!$A$1:$I$300,5,FALSE)="Multi",IF(VLOOKUP(H99,'Machine List'!$A$1:$I$300,6,FALSE)="Yes",AG99*3*10^Z99,AG99*(2*3)*10^(Z99-1)),0)</f>
        <v>6</v>
      </c>
      <c r="K99" s="38">
        <f>J99+IF(ISNUMBER(I99),I99,
  SWITCH(
      I99,
      "1T",1*10^Z99,
      "2T",2*10^Z99,
      "3T",3*10^Z99,
      "4T",4*10^Z99,
      "4000+500(7O-5)",4000+500*(7*I100-5),
      1
  )
)</f>
        <v>4006</v>
      </c>
      <c r="L99" s="38">
        <f>IF(VLOOKUP(H99,'Machine List'!$A$1:$I$300,5,FALSE)="Multi",IF(VLOOKUP(H99,'Machine List'!$A$1:$I$300,6,FALSE)="Yes",AU99*3*10^AT99,AU99*(2*3)*10^(AT99-1)),0)</f>
        <v>6000</v>
      </c>
      <c r="M99" s="38">
        <f>L99+IF(ISNUMBER(I99),I99,
  SWITCH(
      I99,
      "1T",1*10^AT99,
      "2T",2*10^AT99,
      "3T",3*10^AT99,
      "4T",4*10^AT99,
      "4000+500(7O-5)",4000+500*(7*I100-5),
      1
  )
)</f>
        <v>10000</v>
      </c>
      <c r="N99" s="38" t="str">
        <f>VLOOKUP(H99,'Machine List'!$A$1:$I$300,8,FALSE)</f>
        <v>Tier</v>
      </c>
      <c r="O99" s="38">
        <f>IF(ISNUMBER(N99),N99,10^Z99)</f>
        <v>10</v>
      </c>
      <c r="P99" s="38">
        <f>IF(ISNUMBER(N99),N99,10^AT99)</f>
        <v>10000</v>
      </c>
      <c r="Q99" s="38">
        <f>VLOOKUP(H99,'Machine List'!$A$1:$B$138,2,FALSE)</f>
        <v>1</v>
      </c>
      <c r="R99" s="38" t="s">
        <v>594</v>
      </c>
      <c r="S99" s="45">
        <f>IF(ISNUMBER(Q99),Q99,
  SWITCH(
      Q99,
      "1",1,
      "2T",Z99*2,
      "4T",Z99*4,
      "6T",Z99*6,
      "8T",Z99*8,
      "10T",Z99*10,
      "12T",Z99*12,
      "14T",Z99*14,
      "16T",Z99*16,
      "2(T+1)",2*(Z99+1),
      "1T*C",Z99*J101,
      1
  )
)</f>
        <v>1</v>
      </c>
      <c r="T99" s="38" t="s">
        <v>277</v>
      </c>
      <c r="U99" s="38">
        <f>IF(OR(T99="No",T99=""),S99,T99)</f>
        <v>1</v>
      </c>
      <c r="V99" s="38">
        <f>IF(ISNUMBER(Q99),Q99,
  SWITCH(
      Q99,
      "1",1,
      "2T",AT99*2,
      "4T",AT99*4,
      "6T",AT99*6,
      "8T",AT99*8,
      "10T",AT99*10,
      "12T",AT99*12,
      "14T",AT99*14,
      "16T",AT99*16,
      "2(T+1)",2*(AT99+1),
      "1T*C",AT99*J101,
      1
  )
)</f>
        <v>1</v>
      </c>
      <c r="W99" s="38" t="str">
        <f>T99</f>
        <v>No</v>
      </c>
      <c r="X99" s="38">
        <f>IF(OR(W99="No",W99=""),V99,W99)</f>
        <v>1</v>
      </c>
      <c r="Y99" s="38" t="s">
        <v>390</v>
      </c>
      <c r="Z99" s="38">
        <f>VLOOKUP(Y99,'Item Helper Sheet'!$A$2:$B$16,2,FALSE)</f>
        <v>1</v>
      </c>
      <c r="AA99" s="38">
        <v>1920.0</v>
      </c>
      <c r="AB99" s="38">
        <f>2.5*20</f>
        <v>50</v>
      </c>
      <c r="AC99" s="38">
        <f>AB99*I101</f>
        <v>550</v>
      </c>
      <c r="AD99" s="38">
        <f>AA99*AC99</f>
        <v>1056000</v>
      </c>
      <c r="AE99" s="75"/>
      <c r="AF99" s="38" t="str">
        <f>Y99</f>
        <v>01 - LV</v>
      </c>
      <c r="AG99" s="38">
        <v>1.0</v>
      </c>
      <c r="AH99" s="38">
        <v>1.0</v>
      </c>
      <c r="AI99" s="38">
        <f>AH99*8*4^Z99</f>
        <v>32</v>
      </c>
      <c r="AJ99" s="38">
        <f>MIN(ROUNDDOWN(AI99/AL99,0),U99)</f>
        <v>0</v>
      </c>
      <c r="AK99" s="38">
        <f>IF(OR(T99="No",T99=""),AG99*S99,AG99*T99)</f>
        <v>1</v>
      </c>
      <c r="AL99" s="38">
        <f>ROUNDUP(AA99*VLOOKUP(H99,'Machine List'!$A$2:$D$219,4,FALSE),0)</f>
        <v>1920</v>
      </c>
      <c r="AM99" s="38">
        <f>AL99*AK99</f>
        <v>1920</v>
      </c>
      <c r="AN99" s="38">
        <f>ROUNDUP(AB99*I101,0)</f>
        <v>550</v>
      </c>
      <c r="AO99" s="38">
        <f>ROUNDUP(AN99/VLOOKUP(H99,'Machine List'!$A$2:$D$219,3,FALSE),0)</f>
        <v>550</v>
      </c>
      <c r="AP99" s="38">
        <f>ROUNDUP(AO99/AK99,0)</f>
        <v>550</v>
      </c>
      <c r="AQ99" s="38">
        <f>AM99*AP99</f>
        <v>1056000</v>
      </c>
      <c r="AR99" s="75"/>
      <c r="AS99" s="38" t="s">
        <v>401</v>
      </c>
      <c r="AT99" s="38">
        <f>VLOOKUP(AS99,'Item Helper Sheet'!$A$2:$B$16,2,FALSE)</f>
        <v>4</v>
      </c>
      <c r="AU99" s="38">
        <f>AG99</f>
        <v>1</v>
      </c>
      <c r="AV99" s="38">
        <v>1.0</v>
      </c>
      <c r="AW99" s="38">
        <f>AV99*8*4^AT99</f>
        <v>2048</v>
      </c>
      <c r="AX99" s="38">
        <f>MIN(ROUNDDOWN(AW99/AL99,0),X99)</f>
        <v>1</v>
      </c>
      <c r="AY99" s="38">
        <f>AX99*AU99</f>
        <v>1</v>
      </c>
      <c r="AZ99" s="38">
        <f>AL99</f>
        <v>1920</v>
      </c>
      <c r="BA99" s="38">
        <f>MIN(AT99-Z99,IF(AW99&gt;=AZ100*4,
IF(AW99&gt;=AZ100*4^2,
IF(AW99&gt;=AZ100*4^3,
IF(AW99&gt;=AZ100*4^4,
IF(AW99&gt;=AZ100*4^5,
IF(AW99&gt;=AZ100*4^6,
IF(AW99&gt;=AZ100*4^7,
IF(AW99&gt;=AZ100*4^8,
IF(AW99&gt;=AZ100*4^9,
IF(AW99&gt;=AZ100*4^10,
9),
8),
7),
6),
5),
4),
3),
2),
1),
0))</f>
        <v>0</v>
      </c>
      <c r="BB99" s="38">
        <f>AZ99*AX99*4^BA99</f>
        <v>1920</v>
      </c>
      <c r="BC99" s="38">
        <f>BB99*AU99</f>
        <v>1920</v>
      </c>
      <c r="BD99" s="45">
        <f>ROUNDUP(IF(R99="Yes",AN99/(2^((BA99)*2)),AN99/(2^(BA99))),0)</f>
        <v>550</v>
      </c>
      <c r="BE99" s="45">
        <f>ROUNDUP(BD99/VLOOKUP(H99,'Machine List'!$A$2:$D$219,3,FALSE),0)</f>
        <v>550</v>
      </c>
      <c r="BF99" s="45">
        <f>ROUNDUP(BE99/AY99,0)</f>
        <v>550</v>
      </c>
      <c r="BG99" s="46">
        <f>BF99*BC99</f>
        <v>1056000</v>
      </c>
      <c r="BI99" s="28"/>
      <c r="BK99" s="6" t="s">
        <v>593</v>
      </c>
      <c r="BL99" s="6"/>
      <c r="BM99" s="6">
        <v>1.0</v>
      </c>
      <c r="BN99" s="6"/>
      <c r="BO99" s="6">
        <v>1.0</v>
      </c>
    </row>
    <row r="100">
      <c r="B100" s="40"/>
      <c r="C100" s="41" t="s">
        <v>78</v>
      </c>
      <c r="D100" s="38">
        <f>20000*I101</f>
        <v>220000</v>
      </c>
      <c r="E100" s="38" t="s">
        <v>83</v>
      </c>
      <c r="F100" s="42">
        <f>32000*I101</f>
        <v>352000</v>
      </c>
      <c r="G100" s="43"/>
      <c r="H100" s="99" t="s">
        <v>584</v>
      </c>
      <c r="I100" s="45">
        <f t="array" ref="I100">match(TRUE,ISBLANK(F100:F112),0)-1</f>
        <v>1</v>
      </c>
      <c r="J100" s="100" t="s">
        <v>420</v>
      </c>
      <c r="K100" s="100" t="s">
        <v>585</v>
      </c>
      <c r="L100" s="38"/>
      <c r="M100" s="38"/>
      <c r="N100" s="38"/>
      <c r="O100" s="38"/>
      <c r="P100" s="38"/>
      <c r="Q100" s="38"/>
      <c r="R100" s="101"/>
      <c r="S100" s="101"/>
      <c r="T100" s="101"/>
      <c r="U100" s="45"/>
      <c r="V100" s="45"/>
      <c r="W100" s="45"/>
      <c r="X100" s="45"/>
      <c r="Y100" s="45"/>
      <c r="Z100" s="45"/>
      <c r="AA100" s="45"/>
      <c r="AB100" s="45"/>
      <c r="AC100" s="45"/>
      <c r="AD100" s="45"/>
      <c r="AE100" s="79"/>
      <c r="AF100" s="45"/>
      <c r="AG100" s="45"/>
      <c r="AH100" s="45"/>
      <c r="AI100" s="45"/>
      <c r="AJ100" s="45"/>
      <c r="AK100" s="45"/>
      <c r="AL100" s="45"/>
      <c r="AM100" s="45"/>
      <c r="AN100" s="45"/>
      <c r="AO100" s="45"/>
      <c r="AP100" s="45"/>
      <c r="AQ100" s="45"/>
      <c r="AR100" s="79"/>
      <c r="AS100" s="45"/>
      <c r="AT100" s="45"/>
      <c r="AU100" s="45"/>
      <c r="AV100" s="45"/>
      <c r="AW100" s="45"/>
      <c r="AX100" s="45"/>
      <c r="AY100" s="45"/>
      <c r="AZ100" s="45">
        <f>AZ99*AX99</f>
        <v>1920</v>
      </c>
      <c r="BA100" s="45"/>
      <c r="BB100" s="45"/>
      <c r="BC100" s="45"/>
      <c r="BD100" s="45"/>
      <c r="BE100" s="45"/>
      <c r="BF100" s="45"/>
      <c r="BG100" s="46"/>
      <c r="BI100" s="28"/>
      <c r="BK100" s="6" t="s">
        <v>599</v>
      </c>
      <c r="BL100" s="6"/>
      <c r="BM100" s="6">
        <v>1.0</v>
      </c>
      <c r="BN100" s="6"/>
      <c r="BO100" s="6">
        <v>1.0</v>
      </c>
    </row>
    <row r="101">
      <c r="B101" s="40"/>
      <c r="C101" s="41" t="s">
        <v>137</v>
      </c>
      <c r="D101" s="38">
        <f>2000*I101</f>
        <v>22000</v>
      </c>
      <c r="E101" s="38"/>
      <c r="F101" s="42"/>
      <c r="G101" s="43"/>
      <c r="H101" s="56" t="s">
        <v>502</v>
      </c>
      <c r="I101" s="49">
        <v>11.0</v>
      </c>
      <c r="J101" s="100" t="s">
        <v>424</v>
      </c>
      <c r="K101" s="100">
        <v>0.0</v>
      </c>
      <c r="L101" s="45"/>
      <c r="M101" s="45"/>
      <c r="N101" s="45"/>
      <c r="O101" s="45"/>
      <c r="P101" s="45"/>
      <c r="Q101" s="45"/>
      <c r="R101" s="45"/>
      <c r="S101" s="101"/>
      <c r="T101" s="101"/>
      <c r="U101" s="45"/>
      <c r="V101" s="45"/>
      <c r="W101" s="45"/>
      <c r="X101" s="45"/>
      <c r="Y101" s="45"/>
      <c r="Z101" s="45"/>
      <c r="AA101" s="45"/>
      <c r="AB101" s="45"/>
      <c r="AC101" s="45"/>
      <c r="AD101" s="45"/>
      <c r="AE101" s="79"/>
      <c r="AF101" s="45"/>
      <c r="AG101" s="45"/>
      <c r="AH101" s="45"/>
      <c r="AI101" s="45"/>
      <c r="AJ101" s="45"/>
      <c r="AK101" s="45"/>
      <c r="AL101" s="45"/>
      <c r="AM101" s="45"/>
      <c r="AN101" s="45"/>
      <c r="AO101" s="45"/>
      <c r="AP101" s="45"/>
      <c r="AQ101" s="45"/>
      <c r="AR101" s="79"/>
      <c r="AS101" s="45"/>
      <c r="AT101" s="45"/>
      <c r="AU101" s="45"/>
      <c r="AV101" s="45"/>
      <c r="AW101" s="45"/>
      <c r="AX101" s="45"/>
      <c r="AY101" s="45"/>
      <c r="AZ101" s="45"/>
      <c r="BA101" s="45"/>
      <c r="BB101" s="45"/>
      <c r="BC101" s="45"/>
      <c r="BD101" s="45"/>
      <c r="BE101" s="45"/>
      <c r="BF101" s="45"/>
      <c r="BG101" s="46"/>
      <c r="BI101" s="28"/>
      <c r="BK101" s="6" t="s">
        <v>601</v>
      </c>
      <c r="BL101" s="6"/>
      <c r="BM101" s="6">
        <v>1.0</v>
      </c>
      <c r="BN101" s="6"/>
      <c r="BO101" s="6">
        <v>1.0</v>
      </c>
    </row>
    <row r="102">
      <c r="B102" s="40"/>
      <c r="C102" s="41" t="s">
        <v>134</v>
      </c>
      <c r="D102" s="38">
        <f>6000*I101</f>
        <v>66000</v>
      </c>
      <c r="E102" s="38"/>
      <c r="F102" s="42"/>
      <c r="G102" s="43"/>
      <c r="H102" s="44"/>
      <c r="I102" s="45"/>
      <c r="J102" s="45"/>
      <c r="K102" s="45"/>
      <c r="L102" s="45"/>
      <c r="M102" s="45"/>
      <c r="N102" s="45"/>
      <c r="O102" s="45"/>
      <c r="P102" s="45"/>
      <c r="Q102" s="45"/>
      <c r="R102" s="45"/>
      <c r="S102" s="101"/>
      <c r="T102" s="101"/>
      <c r="U102" s="45"/>
      <c r="V102" s="45"/>
      <c r="W102" s="45"/>
      <c r="X102" s="45"/>
      <c r="Y102" s="45"/>
      <c r="Z102" s="45"/>
      <c r="AA102" s="45"/>
      <c r="AB102" s="45"/>
      <c r="AC102" s="45"/>
      <c r="AD102" s="45"/>
      <c r="AE102" s="79"/>
      <c r="AF102" s="45"/>
      <c r="AG102" s="45"/>
      <c r="AH102" s="45"/>
      <c r="AI102" s="45"/>
      <c r="AJ102" s="45"/>
      <c r="AK102" s="45"/>
      <c r="AL102" s="45"/>
      <c r="AM102" s="45"/>
      <c r="AN102" s="45"/>
      <c r="AO102" s="45"/>
      <c r="AP102" s="45"/>
      <c r="AQ102" s="45"/>
      <c r="AR102" s="79"/>
      <c r="AS102" s="45"/>
      <c r="AT102" s="45"/>
      <c r="AU102" s="45"/>
      <c r="AV102" s="45"/>
      <c r="AW102" s="45"/>
      <c r="AX102" s="45"/>
      <c r="AY102" s="45"/>
      <c r="AZ102" s="45"/>
      <c r="BA102" s="45"/>
      <c r="BB102" s="45"/>
      <c r="BC102" s="45"/>
      <c r="BD102" s="45"/>
      <c r="BE102" s="45"/>
      <c r="BF102" s="45"/>
      <c r="BG102" s="46"/>
      <c r="BI102" s="28"/>
      <c r="BK102" s="6" t="s">
        <v>611</v>
      </c>
      <c r="BL102" s="6"/>
      <c r="BM102" s="6">
        <v>1.0</v>
      </c>
      <c r="BN102" s="6"/>
      <c r="BO102" s="6">
        <v>1.0</v>
      </c>
    </row>
    <row r="103">
      <c r="B103" s="40"/>
      <c r="C103" s="41" t="s">
        <v>26</v>
      </c>
      <c r="D103" s="38">
        <f>3000*I101</f>
        <v>33000</v>
      </c>
      <c r="E103" s="38"/>
      <c r="F103" s="42"/>
      <c r="G103" s="43"/>
      <c r="H103" s="44"/>
      <c r="I103" s="45"/>
      <c r="J103" s="45"/>
      <c r="K103" s="45"/>
      <c r="L103" s="45"/>
      <c r="M103" s="45"/>
      <c r="N103" s="45"/>
      <c r="O103" s="45"/>
      <c r="P103" s="45"/>
      <c r="Q103" s="45"/>
      <c r="R103" s="45"/>
      <c r="S103" s="101"/>
      <c r="T103" s="101"/>
      <c r="U103" s="45"/>
      <c r="V103" s="45"/>
      <c r="W103" s="45"/>
      <c r="X103" s="45"/>
      <c r="Y103" s="45"/>
      <c r="Z103" s="45"/>
      <c r="AA103" s="45"/>
      <c r="AB103" s="45"/>
      <c r="AC103" s="45"/>
      <c r="AD103" s="45"/>
      <c r="AE103" s="79"/>
      <c r="AF103" s="45"/>
      <c r="AG103" s="45"/>
      <c r="AH103" s="45"/>
      <c r="AI103" s="45"/>
      <c r="AJ103" s="45"/>
      <c r="AK103" s="45"/>
      <c r="AL103" s="45"/>
      <c r="AM103" s="45"/>
      <c r="AN103" s="45"/>
      <c r="AO103" s="45"/>
      <c r="AP103" s="45"/>
      <c r="AQ103" s="45"/>
      <c r="AR103" s="79"/>
      <c r="AS103" s="45"/>
      <c r="AT103" s="45"/>
      <c r="AU103" s="45"/>
      <c r="AV103" s="45"/>
      <c r="AW103" s="45"/>
      <c r="AX103" s="45"/>
      <c r="AY103" s="45"/>
      <c r="AZ103" s="45"/>
      <c r="BA103" s="45"/>
      <c r="BB103" s="45"/>
      <c r="BC103" s="45"/>
      <c r="BD103" s="45"/>
      <c r="BE103" s="45"/>
      <c r="BF103" s="45"/>
      <c r="BG103" s="46"/>
      <c r="BI103" s="28"/>
      <c r="BK103" s="6" t="s">
        <v>658</v>
      </c>
      <c r="BL103" s="6"/>
      <c r="BM103" s="6"/>
      <c r="BN103" s="6">
        <v>1.0</v>
      </c>
      <c r="BO103" s="6">
        <v>1.0</v>
      </c>
    </row>
    <row r="104">
      <c r="B104" s="40"/>
      <c r="C104" s="41" t="s">
        <v>238</v>
      </c>
      <c r="D104" s="133">
        <f>1000*I101</f>
        <v>11000</v>
      </c>
      <c r="E104" s="38"/>
      <c r="F104" s="42"/>
      <c r="G104" s="43"/>
      <c r="H104" s="44"/>
      <c r="I104" s="45"/>
      <c r="J104" s="45"/>
      <c r="K104" s="45"/>
      <c r="L104" s="45"/>
      <c r="M104" s="45"/>
      <c r="N104" s="45"/>
      <c r="O104" s="45"/>
      <c r="P104" s="45"/>
      <c r="Q104" s="45"/>
      <c r="R104" s="45"/>
      <c r="S104" s="101"/>
      <c r="T104" s="101"/>
      <c r="U104" s="45"/>
      <c r="V104" s="45"/>
      <c r="W104" s="45"/>
      <c r="X104" s="45"/>
      <c r="Y104" s="45"/>
      <c r="Z104" s="45"/>
      <c r="AA104" s="45"/>
      <c r="AB104" s="45"/>
      <c r="AC104" s="45"/>
      <c r="AD104" s="45"/>
      <c r="AE104" s="79"/>
      <c r="AF104" s="45"/>
      <c r="AG104" s="45"/>
      <c r="AH104" s="45"/>
      <c r="AI104" s="45"/>
      <c r="AJ104" s="45"/>
      <c r="AK104" s="45"/>
      <c r="AL104" s="45"/>
      <c r="AM104" s="45"/>
      <c r="AN104" s="45"/>
      <c r="AO104" s="45"/>
      <c r="AP104" s="45"/>
      <c r="AQ104" s="45"/>
      <c r="AR104" s="79"/>
      <c r="AS104" s="45"/>
      <c r="AT104" s="45"/>
      <c r="AU104" s="45"/>
      <c r="AV104" s="45"/>
      <c r="AW104" s="45"/>
      <c r="AX104" s="45"/>
      <c r="AY104" s="45"/>
      <c r="AZ104" s="45"/>
      <c r="BA104" s="45"/>
      <c r="BB104" s="45"/>
      <c r="BC104" s="45"/>
      <c r="BD104" s="45"/>
      <c r="BE104" s="45"/>
      <c r="BF104" s="45"/>
      <c r="BG104" s="46"/>
      <c r="BI104" s="28"/>
      <c r="BK104" s="6" t="s">
        <v>659</v>
      </c>
      <c r="BL104" s="6">
        <v>4.0</v>
      </c>
      <c r="BM104" s="6"/>
      <c r="BN104" s="6"/>
      <c r="BO104" s="6">
        <v>4.0</v>
      </c>
    </row>
    <row r="105">
      <c r="B105" s="50"/>
      <c r="C105" s="51"/>
      <c r="D105" s="134"/>
      <c r="E105" s="52"/>
      <c r="F105" s="52"/>
      <c r="G105" s="43"/>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43"/>
      <c r="AF105" s="52"/>
      <c r="AG105" s="52"/>
      <c r="AH105" s="52"/>
      <c r="AI105" s="52"/>
      <c r="AJ105" s="52"/>
      <c r="AK105" s="52"/>
      <c r="AL105" s="52"/>
      <c r="AM105" s="52"/>
      <c r="AN105" s="52"/>
      <c r="AO105" s="52"/>
      <c r="AP105" s="52"/>
      <c r="AQ105" s="52"/>
      <c r="AR105" s="43"/>
      <c r="AS105" s="52"/>
      <c r="AT105" s="52"/>
      <c r="AU105" s="52"/>
      <c r="AV105" s="52"/>
      <c r="AW105" s="52"/>
      <c r="AX105" s="52"/>
      <c r="AY105" s="52"/>
      <c r="AZ105" s="52"/>
      <c r="BA105" s="52"/>
      <c r="BB105" s="52"/>
      <c r="BC105" s="52"/>
      <c r="BD105" s="52"/>
      <c r="BE105" s="52"/>
      <c r="BF105" s="52"/>
      <c r="BG105" s="53"/>
      <c r="BI105" s="28"/>
      <c r="BK105" s="6" t="s">
        <v>691</v>
      </c>
      <c r="BL105" s="6"/>
      <c r="BM105" s="6"/>
      <c r="BN105" s="6">
        <v>1.0</v>
      </c>
      <c r="BO105" s="6">
        <v>1.0</v>
      </c>
    </row>
    <row r="106">
      <c r="BI106" s="28"/>
      <c r="BK106" s="6" t="s">
        <v>661</v>
      </c>
      <c r="BL106" s="6">
        <v>1.0</v>
      </c>
      <c r="BM106" s="6"/>
      <c r="BN106" s="6"/>
      <c r="BO106" s="6">
        <v>1.0</v>
      </c>
    </row>
    <row r="107">
      <c r="C107" s="103" t="s">
        <v>248</v>
      </c>
      <c r="E107" s="4" t="s">
        <v>40</v>
      </c>
      <c r="BI107" s="28"/>
      <c r="BK107" s="6" t="s">
        <v>662</v>
      </c>
      <c r="BL107" s="6">
        <v>4.0</v>
      </c>
      <c r="BM107" s="6"/>
      <c r="BN107" s="6"/>
      <c r="BO107" s="6">
        <v>4.0</v>
      </c>
    </row>
    <row r="108">
      <c r="C108" s="4" t="s">
        <v>83</v>
      </c>
      <c r="E108" s="4" t="s">
        <v>45</v>
      </c>
      <c r="G108" s="1" t="s">
        <v>672</v>
      </c>
      <c r="BK108" s="6" t="s">
        <v>663</v>
      </c>
      <c r="BL108" s="6"/>
      <c r="BM108" s="6">
        <v>1.0</v>
      </c>
      <c r="BN108" s="6"/>
      <c r="BO108" s="6">
        <v>1.0</v>
      </c>
    </row>
    <row r="109">
      <c r="C109" s="4" t="s">
        <v>43</v>
      </c>
      <c r="E109" s="4" t="s">
        <v>142</v>
      </c>
      <c r="G109" s="1" t="s">
        <v>673</v>
      </c>
      <c r="BK109" s="6" t="s">
        <v>664</v>
      </c>
      <c r="BL109" s="6"/>
      <c r="BM109" s="6">
        <v>1.0</v>
      </c>
      <c r="BN109" s="6"/>
      <c r="BO109" s="6">
        <v>1.0</v>
      </c>
    </row>
    <row r="110">
      <c r="C110" s="103" t="s">
        <v>118</v>
      </c>
      <c r="E110" s="4" t="s">
        <v>138</v>
      </c>
      <c r="G110" s="1" t="s">
        <v>674</v>
      </c>
      <c r="BK110" s="6" t="s">
        <v>665</v>
      </c>
      <c r="BL110" s="6">
        <v>1.0</v>
      </c>
      <c r="BM110" s="6"/>
      <c r="BN110" s="6"/>
      <c r="BO110" s="6">
        <v>1.0</v>
      </c>
    </row>
    <row r="111">
      <c r="C111" s="4" t="s">
        <v>161</v>
      </c>
      <c r="E111" s="4" t="s">
        <v>87</v>
      </c>
      <c r="G111" s="1" t="s">
        <v>675</v>
      </c>
      <c r="BK111" s="6" t="s">
        <v>666</v>
      </c>
      <c r="BL111" s="6"/>
      <c r="BM111" s="6">
        <v>1.0</v>
      </c>
      <c r="BN111" s="6"/>
      <c r="BO111" s="6">
        <v>1.0</v>
      </c>
    </row>
    <row r="112">
      <c r="C112" s="103" t="s">
        <v>61</v>
      </c>
      <c r="E112" s="4" t="s">
        <v>64</v>
      </c>
      <c r="G112" s="1" t="s">
        <v>676</v>
      </c>
      <c r="BK112" s="6" t="s">
        <v>667</v>
      </c>
      <c r="BL112" s="6"/>
      <c r="BM112" s="6">
        <v>1.0</v>
      </c>
      <c r="BN112" s="6"/>
      <c r="BO112" s="6">
        <v>1.0</v>
      </c>
    </row>
    <row r="113">
      <c r="C113" s="103" t="s">
        <v>30</v>
      </c>
      <c r="G113" s="1" t="s">
        <v>677</v>
      </c>
      <c r="BK113" s="6" t="s">
        <v>668</v>
      </c>
      <c r="BL113" s="6"/>
      <c r="BM113" s="6">
        <v>1.0</v>
      </c>
      <c r="BN113" s="6"/>
      <c r="BO113" s="6">
        <v>1.0</v>
      </c>
    </row>
    <row r="114">
      <c r="C114" s="4" t="s">
        <v>147</v>
      </c>
      <c r="G114" s="1" t="s">
        <v>678</v>
      </c>
      <c r="BK114" s="6" t="s">
        <v>669</v>
      </c>
      <c r="BL114" s="6"/>
      <c r="BM114" s="6">
        <v>1.0</v>
      </c>
      <c r="BN114" s="6"/>
      <c r="BO114" s="6">
        <v>1.0</v>
      </c>
    </row>
    <row r="115">
      <c r="C115" s="4" t="s">
        <v>38</v>
      </c>
      <c r="G115" s="1" t="s">
        <v>679</v>
      </c>
      <c r="BK115" s="6" t="s">
        <v>670</v>
      </c>
      <c r="BL115" s="6"/>
      <c r="BM115" s="6">
        <v>1.0</v>
      </c>
      <c r="BN115" s="6"/>
      <c r="BO115" s="6">
        <v>1.0</v>
      </c>
    </row>
    <row r="116">
      <c r="C116" s="4" t="s">
        <v>125</v>
      </c>
      <c r="G116" s="1" t="s">
        <v>680</v>
      </c>
      <c r="BK116" s="6" t="s">
        <v>671</v>
      </c>
      <c r="BL116" s="6"/>
      <c r="BM116" s="6">
        <v>1.0</v>
      </c>
      <c r="BN116" s="6"/>
      <c r="BO116" s="6">
        <v>1.0</v>
      </c>
    </row>
    <row r="117">
      <c r="C117" s="4" t="s">
        <v>88</v>
      </c>
      <c r="G117" s="1" t="s">
        <v>681</v>
      </c>
      <c r="BK117" s="6" t="s">
        <v>487</v>
      </c>
      <c r="BL117" s="6">
        <v>14.0</v>
      </c>
      <c r="BM117" s="6">
        <v>12.0</v>
      </c>
      <c r="BN117" s="6">
        <v>2.0</v>
      </c>
      <c r="BO117" s="6">
        <v>28.0</v>
      </c>
    </row>
    <row r="118">
      <c r="G118" s="1" t="s">
        <v>682</v>
      </c>
    </row>
    <row r="126">
      <c r="G126" s="1" t="s">
        <v>683</v>
      </c>
    </row>
    <row r="127">
      <c r="G127" s="1" t="s">
        <v>684</v>
      </c>
    </row>
    <row r="128">
      <c r="G128" s="1" t="s">
        <v>685</v>
      </c>
    </row>
    <row r="148">
      <c r="G148" s="1" t="s">
        <v>686</v>
      </c>
    </row>
    <row r="149">
      <c r="G149" s="1" t="s">
        <v>687</v>
      </c>
    </row>
  </sheetData>
  <mergeCells count="12">
    <mergeCell ref="G112:U112"/>
    <mergeCell ref="G113:U113"/>
    <mergeCell ref="G114:U114"/>
    <mergeCell ref="G115:U115"/>
    <mergeCell ref="G116:U116"/>
    <mergeCell ref="A1:U1"/>
    <mergeCell ref="BJ1:CF1"/>
    <mergeCell ref="A2:U2"/>
    <mergeCell ref="BJ2:CF2"/>
    <mergeCell ref="G109:U109"/>
    <mergeCell ref="G110:U110"/>
    <mergeCell ref="G111:U111"/>
  </mergeCells>
  <dataValidations>
    <dataValidation type="list" allowBlank="1" sqref="J7 J14 J18 J22 J26 J30 J34 J42 J46 J60 J65 J69 J73 J78 J82 J86 J91 J97 J101">
      <formula1>'Machine Helper Sheet'!$G$2:$G$16</formula1>
    </dataValidation>
    <dataValidation type="list" allowBlank="1" showErrorMessage="1" sqref="Y5 AS5 Y12 AS12 Y16 AS16 Y20 AS20 Y24 AS24 Y28 AS28 Y32 AS32 Y40 AS40 Y44 AS44 Y58 AS58 Y63 AS63 Y67 AS67 Y71 AS71 Y76 AS76 Y80 AS80 Y84 AS84 Y89 AS89 Y95 AS95 Y99 AS99">
      <formula1>'Item Helper Sheet'!$A$2:$A$16</formula1>
    </dataValidation>
    <dataValidation type="list" allowBlank="1" showErrorMessage="1" sqref="H5 H12 H16 H20 H24 H28 H32 H40 H44 H58 H63 H67 H71 H76 H80 H84 H89 H95 H99">
      <formula1>'Machine List'!$A$2:$A$107</formula1>
    </dataValidation>
    <dataValidation type="list" allowBlank="1" sqref="C6 CE6 E6:E10 C13:C14 E13:E14 C17:C18 E17:E18 C21:C22 E21:E22 C25:C26 E25:E26 E29 C29:C30 C33 E33:E38 E41 C41:C42 C45 E45:E48 C59 E59:E61 E64 C64:C65 E68 C68:C69 C72 E72:E74 E77 C77:C78 E81 C81:C82 C85:C86 E85:E87 E90 C90:C93 E96 C96:C97 E100 C100:C104 E107:E112 C107:C117">
      <formula1>'Item List'!$A$2:$A$300</formula1>
    </dataValidation>
    <dataValidation type="list" allowBlank="1" showErrorMessage="1" sqref="R5 R12 R16 R20 R24 R28 R32 R40 R44 R58 R63 R67 R71 R76 R80 R84 R89 R95 R99">
      <formula1>"Yes,No"</formula1>
    </dataValidation>
  </dataValidation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6.5"/>
    <col customWidth="1" min="5" max="5" width="21.13"/>
    <col customWidth="1" min="8" max="8" width="23.88"/>
    <col customWidth="1" min="9" max="9" width="12.63"/>
    <col customWidth="1" min="10" max="26" width="9.5"/>
    <col customWidth="1" min="27" max="27" width="11.63"/>
    <col customWidth="1" min="28" max="61" width="9.5"/>
    <col customWidth="1" min="65" max="65" width="22.38"/>
    <col customWidth="1" min="68" max="68" width="22.38"/>
    <col customWidth="1" min="71" max="71" width="21.13"/>
    <col customWidth="1" min="79" max="79" width="15.5"/>
    <col customWidth="1" min="80" max="80" width="17.75"/>
    <col customWidth="1" min="81" max="81" width="21.13"/>
    <col customWidth="1" min="83" max="83" width="18.38"/>
    <col customWidth="1" min="85" max="85" width="16.5"/>
    <col customWidth="1" min="86" max="86" width="18.25"/>
    <col customWidth="1" min="87" max="87" width="14.38"/>
    <col customWidth="1" min="88" max="88" width="17.25"/>
    <col customWidth="1" min="89" max="89" width="15.88"/>
  </cols>
  <sheetData>
    <row r="1">
      <c r="A1" s="9" t="s">
        <v>692</v>
      </c>
      <c r="B1" s="10"/>
      <c r="C1" s="10"/>
      <c r="D1" s="10"/>
      <c r="E1" s="10"/>
      <c r="F1" s="10"/>
      <c r="G1" s="10"/>
      <c r="H1" s="10"/>
      <c r="I1" s="10"/>
      <c r="J1" s="10"/>
      <c r="K1" s="10"/>
      <c r="L1" s="10"/>
      <c r="M1" s="10"/>
      <c r="N1" s="10"/>
      <c r="O1" s="10"/>
      <c r="P1" s="10"/>
      <c r="Q1" s="10"/>
      <c r="R1" s="10"/>
      <c r="S1" s="10"/>
      <c r="T1" s="10"/>
      <c r="U1" s="13"/>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8"/>
      <c r="BK1" s="12" t="s">
        <v>490</v>
      </c>
      <c r="BL1" s="9" t="s">
        <v>655</v>
      </c>
      <c r="BM1" s="10"/>
      <c r="BN1" s="10"/>
      <c r="BO1" s="10"/>
      <c r="BP1" s="10"/>
      <c r="BQ1" s="10"/>
      <c r="BR1" s="10"/>
      <c r="BS1" s="10"/>
      <c r="BT1" s="10"/>
      <c r="BU1" s="10"/>
      <c r="BV1" s="10"/>
      <c r="BW1" s="10"/>
      <c r="BX1" s="10"/>
      <c r="BY1" s="10"/>
      <c r="BZ1" s="10"/>
      <c r="CA1" s="10"/>
      <c r="CB1" s="10"/>
      <c r="CC1" s="10"/>
      <c r="CD1" s="10"/>
      <c r="CE1" s="10"/>
      <c r="CF1" s="10"/>
      <c r="CG1" s="10"/>
      <c r="CH1" s="13"/>
      <c r="CI1" s="126"/>
      <c r="CJ1" s="126"/>
      <c r="CK1" s="126"/>
      <c r="CL1" s="126"/>
    </row>
    <row r="2">
      <c r="A2" s="15" t="s">
        <v>693</v>
      </c>
      <c r="B2" s="16"/>
      <c r="C2" s="16"/>
      <c r="D2" s="16"/>
      <c r="E2" s="16"/>
      <c r="F2" s="16"/>
      <c r="G2" s="16"/>
      <c r="H2" s="16"/>
      <c r="I2" s="16"/>
      <c r="J2" s="16"/>
      <c r="K2" s="16"/>
      <c r="L2" s="16"/>
      <c r="M2" s="16"/>
      <c r="N2" s="16"/>
      <c r="O2" s="16"/>
      <c r="P2" s="16"/>
      <c r="Q2" s="16"/>
      <c r="R2" s="16"/>
      <c r="S2" s="16"/>
      <c r="T2" s="16"/>
      <c r="U2" s="18"/>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9"/>
      <c r="BK2" s="12" t="s">
        <v>492</v>
      </c>
      <c r="BL2" s="15" t="s">
        <v>693</v>
      </c>
      <c r="BM2" s="16"/>
      <c r="BN2" s="16"/>
      <c r="BO2" s="16"/>
      <c r="BP2" s="16"/>
      <c r="BQ2" s="16"/>
      <c r="BR2" s="16"/>
      <c r="BS2" s="16"/>
      <c r="BT2" s="16"/>
      <c r="BU2" s="16"/>
      <c r="BV2" s="16"/>
      <c r="BW2" s="16"/>
      <c r="BX2" s="16"/>
      <c r="BY2" s="16"/>
      <c r="BZ2" s="16"/>
      <c r="CA2" s="16"/>
      <c r="CB2" s="16"/>
      <c r="CC2" s="16"/>
      <c r="CD2" s="16"/>
      <c r="CE2" s="16"/>
      <c r="CF2" s="16"/>
      <c r="CG2" s="16"/>
      <c r="CH2" s="18"/>
      <c r="CI2" s="127"/>
      <c r="CJ2" s="127"/>
      <c r="CK2" s="127"/>
      <c r="CL2" s="127"/>
    </row>
    <row r="3">
      <c r="BK3" s="22"/>
    </row>
    <row r="4">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0" t="s">
        <v>694</v>
      </c>
      <c r="Z4" s="90" t="s">
        <v>695</v>
      </c>
      <c r="AA4" s="92" t="s">
        <v>495</v>
      </c>
      <c r="AB4" s="90" t="s">
        <v>421</v>
      </c>
      <c r="AC4" s="92" t="s">
        <v>553</v>
      </c>
      <c r="AD4" s="90" t="s">
        <v>554</v>
      </c>
      <c r="AE4" s="92" t="s">
        <v>555</v>
      </c>
      <c r="AF4" s="93" t="s">
        <v>467</v>
      </c>
      <c r="AG4" s="90"/>
      <c r="AH4" s="90" t="s">
        <v>556</v>
      </c>
      <c r="AI4" s="94" t="s">
        <v>475</v>
      </c>
      <c r="AJ4" s="90" t="s">
        <v>557</v>
      </c>
      <c r="AK4" s="90" t="s">
        <v>558</v>
      </c>
      <c r="AL4" s="90" t="s">
        <v>559</v>
      </c>
      <c r="AM4" s="92" t="s">
        <v>560</v>
      </c>
      <c r="AN4" s="90" t="s">
        <v>561</v>
      </c>
      <c r="AO4" s="90" t="s">
        <v>562</v>
      </c>
      <c r="AP4" s="92" t="s">
        <v>563</v>
      </c>
      <c r="AQ4" s="90" t="s">
        <v>564</v>
      </c>
      <c r="AR4" s="90" t="s">
        <v>565</v>
      </c>
      <c r="AS4" s="95" t="s">
        <v>566</v>
      </c>
      <c r="AT4" s="90"/>
      <c r="AU4" s="90" t="s">
        <v>468</v>
      </c>
      <c r="AV4" s="92" t="s">
        <v>496</v>
      </c>
      <c r="AW4" s="94" t="s">
        <v>567</v>
      </c>
      <c r="AX4" s="90" t="s">
        <v>568</v>
      </c>
      <c r="AY4" s="90" t="s">
        <v>569</v>
      </c>
      <c r="AZ4" s="90" t="s">
        <v>570</v>
      </c>
      <c r="BA4" s="92" t="s">
        <v>571</v>
      </c>
      <c r="BB4" s="90" t="s">
        <v>572</v>
      </c>
      <c r="BC4" s="90" t="s">
        <v>573</v>
      </c>
      <c r="BD4" s="90" t="s">
        <v>574</v>
      </c>
      <c r="BE4" s="90" t="s">
        <v>575</v>
      </c>
      <c r="BF4" s="92" t="s">
        <v>576</v>
      </c>
      <c r="BG4" s="92" t="s">
        <v>577</v>
      </c>
      <c r="BH4" s="92" t="s">
        <v>578</v>
      </c>
      <c r="BI4" s="96" t="s">
        <v>471</v>
      </c>
      <c r="BK4" s="22"/>
    </row>
    <row r="5">
      <c r="B5" s="31" t="s">
        <v>696</v>
      </c>
      <c r="C5" s="54"/>
      <c r="D5" s="45"/>
      <c r="E5" s="45"/>
      <c r="F5" s="47"/>
      <c r="G5" s="35"/>
      <c r="H5" s="55" t="s">
        <v>371</v>
      </c>
      <c r="I5" s="38" t="str">
        <f>VLOOKUP(H5,'Machine List'!$A$1:$I$300,9,FALSE)</f>
        <v>1T</v>
      </c>
      <c r="J5" s="38">
        <f>IF(VLOOKUP(H5,'Machine List'!$A$1:$I$300,5,FALSE)="Multi",IF(VLOOKUP(H5,'Machine List'!$A$1:$I$300,6,FALSE)="Yes",AI5*3*10^AB5,AI5*(2*3)*10^(AB5-1)),0)</f>
        <v>6</v>
      </c>
      <c r="K5" s="38">
        <f>J5+IF(ISNUMBER(I5),I5,
  SWITCH(
      I5,
      "1T",1*10^AB5,
      "2T",2*10^AB5,
      "3T",3*10^AB5,
      "4T",4*10^AB5,
      "4000+500(7O-5)",4000+500*(7*I6-5),
      "13500 + 16C",13500+16*VLOOKUP(J7,'Machine Helper Sheet'!$G$1:$K$16,5,FALSE),
      1
  )
)</f>
        <v>16</v>
      </c>
      <c r="L5" s="38">
        <f>IF(VLOOKUP(H5,'Machine List'!$A$1:$I$300,5,FALSE)="Multi",IF(VLOOKUP(H5,'Machine List'!$A$1:$I$300,6,FALSE)="Yes",AW5*3*10^AV5,AW5*(2*3)*10^(AV5-1)),0)</f>
        <v>600000</v>
      </c>
      <c r="M5" s="38">
        <f>L5+IF(ISNUMBER(I5),I5,
  SWITCH(
      I5,
      "1T",1*10^AV5,
      "2T",2*10^AV5,
      "3T",3*10^AV5,
      "4T",4*10^AV5,
      "4000+500(7O-5)",4000+500*(7*I6-5),
      1
  )
)</f>
        <v>1600000</v>
      </c>
      <c r="N5" s="38" t="str">
        <f>VLOOKUP(H5,'Machine List'!$A$1:$I$300,8,FALSE)</f>
        <v>Tier</v>
      </c>
      <c r="O5" s="38">
        <f>IF(ISNUMBER(N5),N5,10^AB5)</f>
        <v>10</v>
      </c>
      <c r="P5" s="38">
        <f>IF(ISNUMBER(N5),N5,10^AV5)</f>
        <v>1000000</v>
      </c>
      <c r="Q5" s="38">
        <f>VLOOKUP(H5,'Machine List'!$A$1:$B$138,2,FALSE)</f>
        <v>1</v>
      </c>
      <c r="R5" s="38" t="s">
        <v>277</v>
      </c>
      <c r="S5" s="45">
        <f>IF(ISNUMBER(Q5),Q5,
  SWITCH(
      Q5,
      "1",1,
      "2T",AB5*2,
      "4T",AB5*4,
      "6T",AB5*6,
      "8T",AB5*8,
      "10T",AB5*10,
      "12T",AB5*12,
      "14T",AB5*14,
      "16T",AB5*16,
      "24T",AB5*24,
      "2(T+1)",2*(AB5+1),
      "1T*C",AB5*J7,
      "2*P",L7*2,
      1
  )
)</f>
        <v>1</v>
      </c>
      <c r="T5" s="38" t="s">
        <v>277</v>
      </c>
      <c r="U5" s="38">
        <f>IF(OR(T5="No",T5=""),S5,T5)</f>
        <v>1</v>
      </c>
      <c r="V5" s="38">
        <f>IF(ISNUMBER(Q5),Q5,
  SWITCH(
      Q5,
      "1",1,
      "2T",AV5*2,
      "4T",AV5*4,
      "6T",AV5*6,
      "8T",AV5*8,
      "10T",AV5*10,
      "12T",AV5*12,
      "14T",AV5*14,
      "16T",AV5*16,
      "24T",AV5*24,
      "2(T+1)",2*(AV5+1),
      "1T*C",AV5*J7,
      "2*P",L7*2,
      1
  )
)</f>
        <v>1</v>
      </c>
      <c r="W5" s="38" t="str">
        <f>T5</f>
        <v>No</v>
      </c>
      <c r="X5" s="38">
        <f>IF(OR(W5="No",W5=""),V5,W5)</f>
        <v>1</v>
      </c>
      <c r="Y5" s="38">
        <f>VLOOKUP(H5,'Machine List'!$A$1:$C$138,3,FALSE)</f>
        <v>1</v>
      </c>
      <c r="Z5" s="38">
        <f>VLOOKUP(H5,'Machine List'!$A$1:$D$138,4,FALSE)</f>
        <v>1</v>
      </c>
      <c r="AA5" s="38" t="s">
        <v>390</v>
      </c>
      <c r="AB5" s="38">
        <f>VLOOKUP(AA5,'Item Helper Sheet'!$A$2:$B$16,2,FALSE)</f>
        <v>1</v>
      </c>
      <c r="AC5" s="38">
        <v>30.0</v>
      </c>
      <c r="AD5" s="38">
        <f>1*20</f>
        <v>20</v>
      </c>
      <c r="AE5" s="38">
        <f>AD5*I7</f>
        <v>40</v>
      </c>
      <c r="AF5" s="38">
        <f>AC5*AE5</f>
        <v>1200</v>
      </c>
      <c r="AG5" s="75"/>
      <c r="AH5" s="38" t="str">
        <f>AA5</f>
        <v>01 - LV</v>
      </c>
      <c r="AI5" s="38">
        <v>1.0</v>
      </c>
      <c r="AJ5" s="38">
        <v>1.0</v>
      </c>
      <c r="AK5" s="38">
        <f>AJ5*8*4^AB5</f>
        <v>32</v>
      </c>
      <c r="AL5" s="38">
        <f>MIN(ROUNDDOWN(AK5/AN5,0),U5)</f>
        <v>1</v>
      </c>
      <c r="AM5" s="38">
        <f>IF(OR(T5="No",T5=""),AI5*S5,AI5*T5)</f>
        <v>1</v>
      </c>
      <c r="AN5" s="38">
        <f>ROUNDUP(AC5*VLOOKUP(H5,'Machine List'!$A$2:$D$219,4,FALSE),0)</f>
        <v>30</v>
      </c>
      <c r="AO5" s="38">
        <f>AN5*AM5</f>
        <v>30</v>
      </c>
      <c r="AP5" s="38">
        <f>ROUNDUP(AD5*I7,0)</f>
        <v>40</v>
      </c>
      <c r="AQ5" s="38">
        <f>IF(ISNUMBER(Y5),ROUNDUP(AP5/Y5,0),
  SWITCH(
      Y5,
      "1+0.5C",ROUNDUP(AP5/(1+0.5*VLOOKUP(J7,#REF!,2,FALSE)),0),
      ROUNDUP(AP5/1,0)
  )
)</f>
        <v>40</v>
      </c>
      <c r="AR5" s="38">
        <f>ROUNDUP(AQ5/AM5,0)</f>
        <v>40</v>
      </c>
      <c r="AS5" s="38">
        <f>AO5*AR5</f>
        <v>1200</v>
      </c>
      <c r="AT5" s="75"/>
      <c r="AU5" s="38" t="s">
        <v>408</v>
      </c>
      <c r="AV5" s="38">
        <f>VLOOKUP(AU5,'Item Helper Sheet'!$A$2:$B$16,2,FALSE)</f>
        <v>6</v>
      </c>
      <c r="AW5" s="38">
        <f>AI5</f>
        <v>1</v>
      </c>
      <c r="AX5" s="38">
        <v>1.0</v>
      </c>
      <c r="AY5" s="38">
        <f>AX5*8*4^AV5</f>
        <v>32768</v>
      </c>
      <c r="AZ5" s="38">
        <f>MIN(ROUNDDOWN(AY5/AN5,0),X5)</f>
        <v>1</v>
      </c>
      <c r="BA5" s="38">
        <f>AZ5*AW5</f>
        <v>1</v>
      </c>
      <c r="BB5" s="38">
        <f>AN5</f>
        <v>30</v>
      </c>
      <c r="BC5" s="38">
        <f>MIN(AV5-AB5,IF(AY5&gt;=BB6*4,
IF(AY5&gt;=BB6*4^2,
IF(AY5&gt;=BB6*4^3,
IF(AY5&gt;=BB6*4^4,
IF(AY5&gt;=BB6*4^5,
IF(AY5&gt;=BB6*4^6,
IF(AY5&gt;=BB6*4^7,
IF(AY5&gt;=BB6*4^8,
IF(AY5&gt;=BB6*4^9,
IF(AY5&gt;=BB6*4^10,
9),
8),
7),
6),
5),
4),
3),
2),
1),
0))</f>
        <v>5</v>
      </c>
      <c r="BD5" s="38">
        <f>BB5*AZ5*4^BC5</f>
        <v>30720</v>
      </c>
      <c r="BE5" s="38">
        <f>BD5*AW5</f>
        <v>30720</v>
      </c>
      <c r="BF5" s="45">
        <f>ROUNDUP(AD5*I7,0)</f>
        <v>40</v>
      </c>
      <c r="BG5" s="45">
        <f>IF(ISNUMBER(Y5),ROUNDUP(BF5/Y5,0),
  SWITCH(
      Y5,
      "1+0.5C",ROUNDUP(BF5/(1+0.5*VLOOKUP(J7,'Machine Helper Sheet'!$G$1:$K$16,2,FALSE)),0),
      ROUNDUP(BF5/1,0)
  )
)</f>
        <v>40</v>
      </c>
      <c r="BH5" s="45">
        <f>ROUNDUP(BG5/BA5,0)</f>
        <v>40</v>
      </c>
      <c r="BI5" s="46">
        <f>BH5*BE5</f>
        <v>1228800</v>
      </c>
      <c r="BK5" s="22"/>
      <c r="BS5" s="6" t="s">
        <v>458</v>
      </c>
      <c r="BT5" s="6" t="s">
        <v>497</v>
      </c>
      <c r="BU5" s="7" t="s">
        <v>281</v>
      </c>
      <c r="BV5" s="7" t="s">
        <v>8</v>
      </c>
      <c r="BW5" s="1" t="s">
        <v>9</v>
      </c>
      <c r="CA5" s="97" t="s">
        <v>513</v>
      </c>
      <c r="CB5" s="97" t="s">
        <v>514</v>
      </c>
      <c r="CC5" s="97" t="s">
        <v>580</v>
      </c>
      <c r="CD5" s="97" t="s">
        <v>581</v>
      </c>
      <c r="CE5" s="97" t="s">
        <v>582</v>
      </c>
      <c r="CG5" s="98" t="s">
        <v>503</v>
      </c>
      <c r="CH5" s="98" t="s">
        <v>583</v>
      </c>
      <c r="CI5" s="98" t="s">
        <v>498</v>
      </c>
      <c r="CJ5" s="98" t="s">
        <v>504</v>
      </c>
      <c r="CK5" s="98" t="s">
        <v>509</v>
      </c>
      <c r="CL5" s="7"/>
    </row>
    <row r="6">
      <c r="B6" s="40"/>
      <c r="C6" s="41"/>
      <c r="D6" s="38"/>
      <c r="E6" s="38" t="s">
        <v>249</v>
      </c>
      <c r="F6" s="42">
        <f>(2*(POWER(AV5,2))-2*AV5+5)*4*I7</f>
        <v>520</v>
      </c>
      <c r="G6" s="43"/>
      <c r="H6" s="99" t="s">
        <v>584</v>
      </c>
      <c r="I6" s="45">
        <f t="array" ref="I6">match(TRUE,ISBLANK(F6:F18),0)-1</f>
        <v>1</v>
      </c>
      <c r="J6" s="100" t="s">
        <v>420</v>
      </c>
      <c r="K6" s="100" t="s">
        <v>585</v>
      </c>
      <c r="L6" s="38"/>
      <c r="M6" s="38"/>
      <c r="N6" s="38"/>
      <c r="O6" s="38"/>
      <c r="P6" s="38"/>
      <c r="Q6" s="38"/>
      <c r="R6" s="101"/>
      <c r="S6" s="101"/>
      <c r="T6" s="101"/>
      <c r="U6" s="45"/>
      <c r="V6" s="45"/>
      <c r="W6" s="45"/>
      <c r="X6" s="45"/>
      <c r="Y6" s="45"/>
      <c r="Z6" s="45"/>
      <c r="AA6" s="45"/>
      <c r="AB6" s="45"/>
      <c r="AC6" s="45"/>
      <c r="AD6" s="45"/>
      <c r="AE6" s="45"/>
      <c r="AF6" s="45"/>
      <c r="AG6" s="79"/>
      <c r="AH6" s="45"/>
      <c r="AI6" s="45"/>
      <c r="AJ6" s="45"/>
      <c r="AK6" s="45"/>
      <c r="AL6" s="45"/>
      <c r="AM6" s="45"/>
      <c r="AN6" s="45"/>
      <c r="AO6" s="45"/>
      <c r="AP6" s="45"/>
      <c r="AQ6" s="45"/>
      <c r="AR6" s="45"/>
      <c r="AS6" s="45"/>
      <c r="AT6" s="79"/>
      <c r="AU6" s="45"/>
      <c r="AV6" s="45"/>
      <c r="AW6" s="45"/>
      <c r="AX6" s="45"/>
      <c r="AY6" s="45"/>
      <c r="AZ6" s="45"/>
      <c r="BA6" s="45"/>
      <c r="BB6" s="45">
        <f>BB5*AZ5</f>
        <v>30</v>
      </c>
      <c r="BC6" s="45"/>
      <c r="BD6" s="45"/>
      <c r="BE6" s="45"/>
      <c r="BF6" s="45"/>
      <c r="BG6" s="45"/>
      <c r="BH6" s="45"/>
      <c r="BI6" s="46"/>
      <c r="BK6" s="22"/>
      <c r="BS6" s="6" t="s">
        <v>10</v>
      </c>
      <c r="BT6" s="6">
        <v>17100.0</v>
      </c>
      <c r="BU6" s="6">
        <f>VLOOKUP(BS6,'Item List'!$A$2:$D$300,2,FALSE)</f>
        <v>1</v>
      </c>
      <c r="BV6" s="6">
        <f>VLOOKUP(BS6,'Item List'!$A$2:$D$300,3,FALSE)</f>
        <v>3</v>
      </c>
      <c r="BW6" s="6">
        <f>VLOOKUP(BS6,'Item List'!$A$2:$D$300,4,FALSE)</f>
        <v>2</v>
      </c>
      <c r="CA6" s="6">
        <f t="shared" ref="CA6:CA9" si="1">VLOOKUP(BY6,$BM$6:$BN$24,2)</f>
        <v>90000</v>
      </c>
      <c r="CB6" s="6">
        <f t="shared" ref="CB6:CB9" si="2">CA6/$CH$21</f>
        <v>2</v>
      </c>
      <c r="CC6" s="102">
        <f t="shared" ref="CC6:CC9" si="3">1/($CI$8/CB6)</f>
        <v>125</v>
      </c>
      <c r="CD6" s="102">
        <f t="shared" ref="CD6:CD9" si="4">1/($CJ$8/CB6)</f>
        <v>30508.47458</v>
      </c>
      <c r="CE6" s="102">
        <f t="shared" ref="CE6:CE9" si="5">1/($CK$8/CB6)</f>
        <v>2000</v>
      </c>
      <c r="CG6" s="38" t="s">
        <v>131</v>
      </c>
      <c r="CH6" s="5">
        <f>VLOOKUP(CG6,BS5:BT25,2,FALSE)</f>
        <v>45000</v>
      </c>
      <c r="CI6" s="5">
        <f>CH21/BQ35*20</f>
        <v>62.5</v>
      </c>
      <c r="CJ6" s="103">
        <f>CH21/BR35*20</f>
        <v>15254.23729</v>
      </c>
      <c r="CK6" s="4">
        <v>1000.0</v>
      </c>
      <c r="CL6" s="7"/>
    </row>
    <row r="7">
      <c r="B7" s="40"/>
      <c r="C7" s="41"/>
      <c r="D7" s="38"/>
      <c r="E7" s="38"/>
      <c r="F7" s="42"/>
      <c r="G7" s="43"/>
      <c r="H7" s="56" t="s">
        <v>502</v>
      </c>
      <c r="I7" s="57">
        <v>2.0</v>
      </c>
      <c r="J7" s="100" t="s">
        <v>424</v>
      </c>
      <c r="K7" s="100">
        <v>0.0</v>
      </c>
      <c r="L7" s="45"/>
      <c r="M7" s="45"/>
      <c r="N7" s="45"/>
      <c r="O7" s="45"/>
      <c r="P7" s="45"/>
      <c r="Q7" s="45"/>
      <c r="R7" s="45"/>
      <c r="S7" s="101"/>
      <c r="T7" s="101"/>
      <c r="U7" s="45"/>
      <c r="V7" s="45"/>
      <c r="W7" s="45"/>
      <c r="X7" s="45"/>
      <c r="Y7" s="45"/>
      <c r="Z7" s="45"/>
      <c r="AA7" s="45"/>
      <c r="AB7" s="45"/>
      <c r="AC7" s="45"/>
      <c r="AD7" s="45"/>
      <c r="AE7" s="45"/>
      <c r="AF7" s="45"/>
      <c r="AG7" s="79"/>
      <c r="AH7" s="45"/>
      <c r="AI7" s="45"/>
      <c r="AJ7" s="45"/>
      <c r="AK7" s="45"/>
      <c r="AL7" s="45"/>
      <c r="AM7" s="45"/>
      <c r="AN7" s="45"/>
      <c r="AO7" s="45"/>
      <c r="AP7" s="45"/>
      <c r="AQ7" s="45"/>
      <c r="AR7" s="45"/>
      <c r="AS7" s="45"/>
      <c r="AT7" s="79"/>
      <c r="AU7" s="45"/>
      <c r="AV7" s="45"/>
      <c r="AW7" s="45"/>
      <c r="AX7" s="45"/>
      <c r="AY7" s="45"/>
      <c r="AZ7" s="45"/>
      <c r="BA7" s="45"/>
      <c r="BB7" s="45"/>
      <c r="BC7" s="45"/>
      <c r="BD7" s="45"/>
      <c r="BE7" s="45"/>
      <c r="BF7" s="45"/>
      <c r="BG7" s="45"/>
      <c r="BH7" s="45"/>
      <c r="BI7" s="46"/>
      <c r="BK7" s="22"/>
      <c r="BS7" s="6" t="s">
        <v>20</v>
      </c>
      <c r="BT7" s="6">
        <v>0.0</v>
      </c>
      <c r="BU7" s="6">
        <f>VLOOKUP(BS7,'Item List'!$A$2:$D$300,2,FALSE)</f>
        <v>3</v>
      </c>
      <c r="BV7" s="6">
        <f>VLOOKUP(BS7,'Item List'!$A$2:$D$300,3,FALSE)</f>
        <v>5</v>
      </c>
      <c r="BW7" s="6">
        <f>VLOOKUP(BS7,'Item List'!$A$2:$D$300,4,FALSE)</f>
        <v>2</v>
      </c>
      <c r="CA7" s="6">
        <f t="shared" si="1"/>
        <v>135000</v>
      </c>
      <c r="CB7" s="6">
        <f t="shared" si="2"/>
        <v>3</v>
      </c>
      <c r="CC7" s="102">
        <f t="shared" si="3"/>
        <v>187.5</v>
      </c>
      <c r="CD7" s="102">
        <f t="shared" si="4"/>
        <v>45762.71186</v>
      </c>
      <c r="CE7" s="102">
        <f t="shared" si="5"/>
        <v>3000</v>
      </c>
      <c r="CG7" s="5"/>
      <c r="CH7" s="5"/>
      <c r="CI7" s="98" t="s">
        <v>505</v>
      </c>
      <c r="CJ7" s="98" t="s">
        <v>506</v>
      </c>
      <c r="CK7" s="98" t="s">
        <v>586</v>
      </c>
      <c r="CL7" s="7"/>
    </row>
    <row r="8">
      <c r="B8" s="135"/>
      <c r="C8" s="136"/>
      <c r="D8" s="137"/>
      <c r="E8" s="137"/>
      <c r="F8" s="137"/>
      <c r="G8" s="138"/>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8"/>
      <c r="AH8" s="137"/>
      <c r="AI8" s="137"/>
      <c r="AJ8" s="137"/>
      <c r="AK8" s="137"/>
      <c r="AL8" s="137"/>
      <c r="AM8" s="137"/>
      <c r="AN8" s="137"/>
      <c r="AO8" s="137"/>
      <c r="AP8" s="137"/>
      <c r="AQ8" s="137"/>
      <c r="AR8" s="137"/>
      <c r="AS8" s="137"/>
      <c r="AT8" s="138"/>
      <c r="AU8" s="137"/>
      <c r="AV8" s="137"/>
      <c r="AW8" s="137"/>
      <c r="AX8" s="137"/>
      <c r="AY8" s="137"/>
      <c r="AZ8" s="137"/>
      <c r="BA8" s="137"/>
      <c r="BB8" s="137"/>
      <c r="BC8" s="137"/>
      <c r="BD8" s="137"/>
      <c r="BE8" s="137"/>
      <c r="BF8" s="137"/>
      <c r="BG8" s="137"/>
      <c r="BH8" s="137"/>
      <c r="BI8" s="139"/>
      <c r="BK8" s="22"/>
      <c r="BS8" s="6" t="s">
        <v>29</v>
      </c>
      <c r="BT8" s="6">
        <v>65.0</v>
      </c>
      <c r="BU8" s="6">
        <f>VLOOKUP(BS8,'Item List'!$A$2:$D$300,2,FALSE)</f>
        <v>1</v>
      </c>
      <c r="BV8" s="6">
        <f>VLOOKUP(BS8,'Item List'!$A$2:$D$300,3,FALSE)</f>
        <v>3</v>
      </c>
      <c r="BW8" s="6">
        <f>VLOOKUP(BS8,'Item List'!$A$2:$D$300,4,FALSE)</f>
        <v>2</v>
      </c>
      <c r="CA8" s="140">
        <f t="shared" si="1"/>
        <v>77500</v>
      </c>
      <c r="CB8" s="6">
        <f t="shared" si="2"/>
        <v>1.722222222</v>
      </c>
      <c r="CC8" s="102">
        <f t="shared" si="3"/>
        <v>107.6388889</v>
      </c>
      <c r="CD8" s="102">
        <f t="shared" si="4"/>
        <v>26271.18644</v>
      </c>
      <c r="CE8" s="102">
        <f t="shared" si="5"/>
        <v>1722.222222</v>
      </c>
      <c r="CG8" s="5"/>
      <c r="CH8" s="5"/>
      <c r="CI8" s="105">
        <f>BQ35/CH6/20</f>
        <v>0.016</v>
      </c>
      <c r="CJ8" s="106">
        <f>BR35/CH6/20</f>
        <v>0.00006555555556</v>
      </c>
      <c r="CK8" s="5">
        <f>1/CK6</f>
        <v>0.001</v>
      </c>
      <c r="CL8" s="5"/>
    </row>
    <row r="9">
      <c r="B9" s="141" t="s">
        <v>697</v>
      </c>
      <c r="C9" s="142"/>
      <c r="D9" s="143"/>
      <c r="E9" s="143"/>
      <c r="F9" s="144"/>
      <c r="G9" s="145"/>
      <c r="H9" s="146" t="s">
        <v>325</v>
      </c>
      <c r="I9" s="147">
        <f>VLOOKUP(H9,'Machine List'!$A$1:$I$300,9,FALSE)</f>
        <v>20000</v>
      </c>
      <c r="J9" s="147">
        <f>IF(VLOOKUP(H9,'Machine List'!$A$1:$I$300,5,FALSE)="Multi",IF(VLOOKUP(H9,'Machine List'!$A$1:$I$300,6,FALSE)="Yes",AI9*3*10^AB9,AI9*(2*3)*10^(AB9-1)),0)</f>
        <v>60</v>
      </c>
      <c r="K9" s="147">
        <f>J9+IF(ISNUMBER(I9),I9,
  SWITCH(
      I9,
      "1T",1*10^AB9,
      "2T",2*10^AB9,
      "3T",3*10^AB9,
      "4T",4*10^AB9,
      "4000+500(7O-5)",4000+500*(7*I10-5),
      "13500 + 16C",13500+16*VLOOKUP(J11,'Machine Helper Sheet'!$G$1:$K$16,5,FALSE),
      1
  )
)</f>
        <v>20060</v>
      </c>
      <c r="L9" s="147">
        <f>IF(VLOOKUP(H9,'Machine List'!$A$1:$I$300,5,FALSE)="Multi",IF(VLOOKUP(H9,'Machine List'!$A$1:$I$300,6,FALSE)="Yes",AW9*3*10^AV9,AW9*(2*3)*10^(AV9-1)),0)</f>
        <v>1200000</v>
      </c>
      <c r="M9" s="147">
        <f>L9+IF(ISNUMBER(I9),I9,
  SWITCH(
      I9,
      "1T",1*10^AV9,
      "2T",2*10^AV9,
      "3T",3*10^AV9,
      "4T",4*10^AV9,
      "4000+500(7O-5)",4000+500*(7*I10-5),
      1
  )
)</f>
        <v>1220000</v>
      </c>
      <c r="N9" s="147">
        <f>VLOOKUP(H9,'Machine List'!$A$1:$I$300,8,FALSE)</f>
        <v>1405511</v>
      </c>
      <c r="O9" s="147">
        <f>IF(ISNUMBER(N9),N9,10^AB9)</f>
        <v>1405511</v>
      </c>
      <c r="P9" s="147">
        <f>IF(ISNUMBER(N9),N9,10^AV9)</f>
        <v>1405511</v>
      </c>
      <c r="Q9" s="147">
        <f>VLOOKUP(H9,'Machine List'!$A$1:$B$138,2,FALSE)</f>
        <v>24</v>
      </c>
      <c r="R9" s="147" t="s">
        <v>277</v>
      </c>
      <c r="S9" s="143">
        <f>IF(ISNUMBER(Q9),Q9,
  SWITCH(
      Q9,
      "1",1,
      "2T",AB9*2,
      "4T",AB9*4,
      "6T",AB9*6,
      "8T",AB9*8,
      "10T",AB9*10,
      "12T",AB9*12,
      "14T",AB9*14,
      "16T",AB9*16,
      "24T",AB9*24,
      "2(T+1)",2*(AB9+1),
      "1T*C",AB9*J11,
      "2*P",L11*2,
      1
  )
)</f>
        <v>24</v>
      </c>
      <c r="T9" s="38" t="s">
        <v>277</v>
      </c>
      <c r="U9" s="147">
        <f>IF(OR(T9="No",T9=""),S9,T9)</f>
        <v>24</v>
      </c>
      <c r="V9" s="147">
        <f>IF(ISNUMBER(Q9),Q9,
  SWITCH(
      Q9,
      "1",1,
      "2T",AV9*2,
      "4T",AV9*4,
      "6T",AV9*6,
      "8T",AV9*8,
      "10T",AV9*10,
      "12T",AV9*12,
      "14T",AV9*14,
      "16T",AV9*16,
      "24T",AV9*24,
      "2(T+1)",2*(AV9+1),
      "1T*C",AV9*J11,
      "2*P",L11*2,
      1
  )
)</f>
        <v>24</v>
      </c>
      <c r="W9" s="147" t="str">
        <f>T9</f>
        <v>No</v>
      </c>
      <c r="X9" s="147">
        <f>IF(OR(W9="No",W9=""),V9,W9)</f>
        <v>24</v>
      </c>
      <c r="Y9" s="38">
        <f>VLOOKUP(H9,'Machine List'!$A$1:$C$138,3,FALSE)</f>
        <v>1</v>
      </c>
      <c r="Z9" s="38">
        <f>VLOOKUP(H9,'Machine List'!$A$1:$D$138,4,FALSE)</f>
        <v>0.75</v>
      </c>
      <c r="AA9" s="147" t="s">
        <v>393</v>
      </c>
      <c r="AB9" s="147">
        <f>VLOOKUP(AA9,'Item Helper Sheet'!$A$2:$B$16,2,FALSE)</f>
        <v>2</v>
      </c>
      <c r="AC9" s="147">
        <v>96.0</v>
      </c>
      <c r="AD9" s="147">
        <f>3.2*20</f>
        <v>64</v>
      </c>
      <c r="AE9" s="147">
        <f>AD9*I11</f>
        <v>8320</v>
      </c>
      <c r="AF9" s="147">
        <f>AC9*AE9</f>
        <v>798720</v>
      </c>
      <c r="AG9" s="148"/>
      <c r="AH9" s="147" t="str">
        <f>AA9</f>
        <v>02 - MV</v>
      </c>
      <c r="AI9" s="147">
        <v>1.0</v>
      </c>
      <c r="AJ9" s="147">
        <v>1.0</v>
      </c>
      <c r="AK9" s="147">
        <f>AJ9*8*4^AB9</f>
        <v>128</v>
      </c>
      <c r="AL9" s="147">
        <f>MIN(ROUNDDOWN(AK9/AN9,0),U9)</f>
        <v>1</v>
      </c>
      <c r="AM9" s="147">
        <f>IF(OR(T9="No",T9=""),AI9*S9,AI9*T9)</f>
        <v>24</v>
      </c>
      <c r="AN9" s="147">
        <f>ROUNDUP(AC9*VLOOKUP(H9,'Machine List'!$A$2:$D$219,4,FALSE),0)</f>
        <v>72</v>
      </c>
      <c r="AO9" s="147">
        <f>AN9*AM9</f>
        <v>1728</v>
      </c>
      <c r="AP9" s="147">
        <f>ROUNDUP(AD9*I11,0)</f>
        <v>8320</v>
      </c>
      <c r="AQ9" s="38">
        <f>IF(ISNUMBER(Y9),ROUNDUP(AP9/Y9,0),
  SWITCH(
      Y9,
      "1+0.5C",ROUNDUP(AP9/(1+0.5*VLOOKUP(J11,#REF!,2,FALSE)),0),
      ROUNDUP(AP9/1,0)
  )
)</f>
        <v>8320</v>
      </c>
      <c r="AR9" s="147">
        <f>ROUNDUP(AQ9/AM9,0)</f>
        <v>347</v>
      </c>
      <c r="AS9" s="147">
        <f>AO9*AR9</f>
        <v>599616</v>
      </c>
      <c r="AT9" s="148"/>
      <c r="AU9" s="147" t="s">
        <v>408</v>
      </c>
      <c r="AV9" s="147">
        <f>VLOOKUP(AU9,'Item Helper Sheet'!$A$2:$B$16,2,FALSE)</f>
        <v>6</v>
      </c>
      <c r="AW9" s="147">
        <v>2.0</v>
      </c>
      <c r="AX9" s="147">
        <v>1.0</v>
      </c>
      <c r="AY9" s="147">
        <f>AX9*8*4^AV9</f>
        <v>32768</v>
      </c>
      <c r="AZ9" s="147">
        <f>MIN(ROUNDDOWN(AY9/AN9,0),X9)</f>
        <v>24</v>
      </c>
      <c r="BA9" s="147">
        <f>AZ9*AW9</f>
        <v>48</v>
      </c>
      <c r="BB9" s="147">
        <f>AN9</f>
        <v>72</v>
      </c>
      <c r="BC9" s="147">
        <f>MIN(AV9-AB9,IF(AY9&gt;=BB10*4,
IF(AY9&gt;=BB10*4^2,
IF(AY9&gt;=BB10*4^3,
IF(AY9&gt;=BB10*4^4,
IF(AY9&gt;=BB10*4^5,
IF(AY9&gt;=BB10*4^6,
IF(AY9&gt;=BB10*4^7,
IF(AY9&gt;=BB10*4^8,
IF(AY9&gt;=BB10*4^9,
IF(AY9&gt;=BB10*4^10,
9),
8),
7),
6),
5),
4),
3),
2),
1),
0))</f>
        <v>2</v>
      </c>
      <c r="BD9" s="147">
        <f>BB9*AZ9*4^BC9</f>
        <v>27648</v>
      </c>
      <c r="BE9" s="147">
        <f>BD9*AW9</f>
        <v>55296</v>
      </c>
      <c r="BF9" s="143">
        <f>ROUNDUP(IF(R9="Yes",AP9/(2^((BC9)*2)),AP9/(2^(BC9))),0)</f>
        <v>2080</v>
      </c>
      <c r="BG9" s="45">
        <f>IF(ISNUMBER(Y9),ROUNDUP(BF9/Y9,0),
  SWITCH(
      Y9,
      "1+0.5C",ROUNDUP(BF9/(1+0.5*VLOOKUP(J11,'Machine Helper Sheet'!$G$1:$K$16,2,FALSE)),0),
      ROUNDUP(BF9/1,0)
  )
)</f>
        <v>2080</v>
      </c>
      <c r="BH9" s="143">
        <f>ROUNDUP(BG9/BA9,0)</f>
        <v>44</v>
      </c>
      <c r="BI9" s="149">
        <f>BH9*BE9</f>
        <v>2433024</v>
      </c>
      <c r="BK9" s="22"/>
      <c r="BS9" s="6" t="s">
        <v>30</v>
      </c>
      <c r="BT9" s="6">
        <v>600.0</v>
      </c>
      <c r="BU9" s="6">
        <f>VLOOKUP(BS9,'Item List'!$A$2:$D$300,2,FALSE)</f>
        <v>1</v>
      </c>
      <c r="BV9" s="6">
        <f>VLOOKUP(BS9,'Item List'!$A$2:$D$300,3,FALSE)</f>
        <v>4</v>
      </c>
      <c r="BW9" s="6">
        <f>VLOOKUP(BS9,'Item List'!$A$2:$D$300,4,FALSE)</f>
        <v>2</v>
      </c>
      <c r="CA9" s="6">
        <f t="shared" si="1"/>
        <v>180000</v>
      </c>
      <c r="CB9" s="6">
        <f t="shared" si="2"/>
        <v>4</v>
      </c>
      <c r="CC9" s="102">
        <f t="shared" si="3"/>
        <v>250</v>
      </c>
      <c r="CD9" s="102">
        <f t="shared" si="4"/>
        <v>61016.94915</v>
      </c>
      <c r="CE9" s="102">
        <f t="shared" si="5"/>
        <v>4000</v>
      </c>
      <c r="CG9" s="5"/>
      <c r="CH9" s="5"/>
      <c r="CI9" s="98" t="s">
        <v>587</v>
      </c>
      <c r="CJ9" s="98" t="s">
        <v>588</v>
      </c>
    </row>
    <row r="10">
      <c r="B10" s="150"/>
      <c r="C10" s="151" t="s">
        <v>249</v>
      </c>
      <c r="D10" s="147">
        <f>4*I11</f>
        <v>520</v>
      </c>
      <c r="E10" s="147" t="s">
        <v>47</v>
      </c>
      <c r="F10" s="152">
        <f>5*I11</f>
        <v>650</v>
      </c>
      <c r="G10" s="138"/>
      <c r="H10" s="153" t="s">
        <v>584</v>
      </c>
      <c r="I10" s="143">
        <f t="array" ref="I10">match(TRUE,ISBLANK(F10:F22),0)-1</f>
        <v>2</v>
      </c>
      <c r="J10" s="154" t="s">
        <v>420</v>
      </c>
      <c r="K10" s="154" t="s">
        <v>585</v>
      </c>
      <c r="L10" s="147"/>
      <c r="M10" s="147"/>
      <c r="N10" s="147"/>
      <c r="O10" s="147"/>
      <c r="P10" s="147"/>
      <c r="Q10" s="147"/>
      <c r="R10" s="155"/>
      <c r="S10" s="155"/>
      <c r="T10" s="155"/>
      <c r="U10" s="143"/>
      <c r="V10" s="143"/>
      <c r="W10" s="143"/>
      <c r="X10" s="143"/>
      <c r="Y10" s="143"/>
      <c r="Z10" s="143"/>
      <c r="AA10" s="143"/>
      <c r="AB10" s="143"/>
      <c r="AC10" s="143"/>
      <c r="AD10" s="143"/>
      <c r="AE10" s="143"/>
      <c r="AF10" s="143"/>
      <c r="AG10" s="156"/>
      <c r="AH10" s="143"/>
      <c r="AI10" s="143"/>
      <c r="AJ10" s="143"/>
      <c r="AK10" s="143"/>
      <c r="AL10" s="143"/>
      <c r="AM10" s="143"/>
      <c r="AN10" s="143"/>
      <c r="AO10" s="143"/>
      <c r="AP10" s="143"/>
      <c r="AQ10" s="143"/>
      <c r="AR10" s="143"/>
      <c r="AS10" s="143"/>
      <c r="AT10" s="156"/>
      <c r="AU10" s="143"/>
      <c r="AV10" s="143"/>
      <c r="AW10" s="143"/>
      <c r="AX10" s="143"/>
      <c r="AY10" s="143"/>
      <c r="AZ10" s="143"/>
      <c r="BA10" s="143"/>
      <c r="BB10" s="143">
        <f>BB9*AZ9</f>
        <v>1728</v>
      </c>
      <c r="BC10" s="143"/>
      <c r="BD10" s="143"/>
      <c r="BE10" s="143"/>
      <c r="BF10" s="143"/>
      <c r="BG10" s="143"/>
      <c r="BH10" s="143"/>
      <c r="BI10" s="149"/>
      <c r="BK10" s="22"/>
      <c r="BS10" s="6" t="s">
        <v>47</v>
      </c>
      <c r="BT10" s="140">
        <v>0.0</v>
      </c>
      <c r="BU10" s="6">
        <f>VLOOKUP(BS10,'Item List'!$A$2:$D$300,2,FALSE)</f>
        <v>1</v>
      </c>
      <c r="BV10" s="6">
        <f>VLOOKUP(BS10,'Item List'!$A$2:$D$300,3,FALSE)</f>
        <v>3</v>
      </c>
      <c r="BW10" s="6">
        <f>VLOOKUP(BS10,'Item List'!$A$2:$D$300,4,FALSE)</f>
        <v>2</v>
      </c>
      <c r="CC10" s="102"/>
      <c r="CD10" s="102"/>
      <c r="CE10" s="102"/>
      <c r="CG10" s="5"/>
      <c r="CH10" s="5"/>
      <c r="CI10" s="107">
        <f>BN34/CH6</f>
        <v>240.7306667</v>
      </c>
      <c r="CJ10" s="107">
        <f>BO34/CH6</f>
        <v>277.6917333</v>
      </c>
      <c r="CK10" s="5"/>
      <c r="CL10" s="5"/>
    </row>
    <row r="11">
      <c r="B11" s="150"/>
      <c r="C11" s="151" t="s">
        <v>132</v>
      </c>
      <c r="D11" s="147">
        <f>250*I11</f>
        <v>32500</v>
      </c>
      <c r="E11" s="147" t="s">
        <v>250</v>
      </c>
      <c r="F11" s="152">
        <f>375*I11</f>
        <v>48750</v>
      </c>
      <c r="G11" s="138"/>
      <c r="H11" s="157" t="s">
        <v>502</v>
      </c>
      <c r="I11" s="158">
        <v>130.0</v>
      </c>
      <c r="J11" s="154" t="s">
        <v>424</v>
      </c>
      <c r="K11" s="154">
        <v>0.0</v>
      </c>
      <c r="L11" s="143"/>
      <c r="M11" s="143"/>
      <c r="N11" s="143"/>
      <c r="O11" s="143"/>
      <c r="P11" s="143"/>
      <c r="Q11" s="143"/>
      <c r="R11" s="143"/>
      <c r="S11" s="155"/>
      <c r="T11" s="155"/>
      <c r="U11" s="143"/>
      <c r="V11" s="143"/>
      <c r="W11" s="143"/>
      <c r="X11" s="143"/>
      <c r="Y11" s="143"/>
      <c r="Z11" s="143"/>
      <c r="AA11" s="143"/>
      <c r="AB11" s="143"/>
      <c r="AC11" s="143"/>
      <c r="AD11" s="143"/>
      <c r="AE11" s="143"/>
      <c r="AF11" s="143"/>
      <c r="AG11" s="156"/>
      <c r="AH11" s="143"/>
      <c r="AI11" s="143"/>
      <c r="AJ11" s="143"/>
      <c r="AK11" s="143"/>
      <c r="AL11" s="143"/>
      <c r="AM11" s="143"/>
      <c r="AN11" s="143"/>
      <c r="AO11" s="143"/>
      <c r="AP11" s="143"/>
      <c r="AQ11" s="143"/>
      <c r="AR11" s="143"/>
      <c r="AS11" s="143"/>
      <c r="AT11" s="156"/>
      <c r="AU11" s="143"/>
      <c r="AV11" s="143"/>
      <c r="AW11" s="143"/>
      <c r="AX11" s="143"/>
      <c r="AY11" s="143"/>
      <c r="AZ11" s="143"/>
      <c r="BA11" s="143"/>
      <c r="BB11" s="143"/>
      <c r="BC11" s="143"/>
      <c r="BD11" s="143"/>
      <c r="BE11" s="143"/>
      <c r="BF11" s="143"/>
      <c r="BG11" s="143"/>
      <c r="BH11" s="143"/>
      <c r="BI11" s="149"/>
      <c r="BK11" s="22"/>
      <c r="BS11" s="6" t="s">
        <v>52</v>
      </c>
      <c r="BT11" s="6">
        <v>28500.0</v>
      </c>
      <c r="BU11" s="6">
        <f>VLOOKUP(BS11,'Item List'!$A$2:$D$300,2,FALSE)</f>
        <v>1</v>
      </c>
      <c r="BV11" s="6">
        <f>VLOOKUP(BS11,'Item List'!$A$2:$D$300,3,FALSE)</f>
        <v>3</v>
      </c>
      <c r="BW11" s="6">
        <f>VLOOKUP(BS11,'Item List'!$A$2:$D$300,4,FALSE)</f>
        <v>2</v>
      </c>
      <c r="CA11" s="97" t="s">
        <v>589</v>
      </c>
      <c r="CB11" s="97" t="s">
        <v>514</v>
      </c>
      <c r="CC11" s="97" t="s">
        <v>590</v>
      </c>
      <c r="CD11" s="97" t="s">
        <v>591</v>
      </c>
      <c r="CE11" s="97" t="s">
        <v>592</v>
      </c>
    </row>
    <row r="12">
      <c r="B12" s="135"/>
      <c r="C12" s="136"/>
      <c r="D12" s="137"/>
      <c r="E12" s="137"/>
      <c r="F12" s="137"/>
      <c r="G12" s="138"/>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8"/>
      <c r="AH12" s="137"/>
      <c r="AI12" s="137"/>
      <c r="AJ12" s="137"/>
      <c r="AK12" s="137"/>
      <c r="AL12" s="137"/>
      <c r="AM12" s="137"/>
      <c r="AN12" s="137"/>
      <c r="AO12" s="137"/>
      <c r="AP12" s="137"/>
      <c r="AQ12" s="137"/>
      <c r="AR12" s="137"/>
      <c r="AS12" s="137"/>
      <c r="AT12" s="138"/>
      <c r="AU12" s="137"/>
      <c r="AV12" s="137"/>
      <c r="AW12" s="137"/>
      <c r="AX12" s="137"/>
      <c r="AY12" s="137"/>
      <c r="AZ12" s="137"/>
      <c r="BA12" s="137"/>
      <c r="BB12" s="137"/>
      <c r="BC12" s="137"/>
      <c r="BD12" s="137"/>
      <c r="BE12" s="137"/>
      <c r="BF12" s="137"/>
      <c r="BG12" s="137"/>
      <c r="BH12" s="137"/>
      <c r="BI12" s="139"/>
      <c r="BK12" s="22"/>
      <c r="BS12" s="6" t="s">
        <v>56</v>
      </c>
      <c r="BT12" s="6">
        <v>-90000.0</v>
      </c>
      <c r="BU12" s="6">
        <f>VLOOKUP(BS12,'Item List'!$A$2:$D$300,2,FALSE)</f>
        <v>1</v>
      </c>
      <c r="BV12" s="6">
        <f>VLOOKUP(BS12,'Item List'!$A$2:$D$300,3,FALSE)</f>
        <v>4</v>
      </c>
      <c r="BW12" s="6">
        <f>VLOOKUP(BS12,'Item List'!$A$2:$D$300,4,FALSE)</f>
        <v>1</v>
      </c>
      <c r="CA12" s="6">
        <f t="shared" ref="CA12:CA20" si="6">BZ12</f>
        <v>17100</v>
      </c>
      <c r="CB12" s="6">
        <f t="shared" ref="CB12:CB17" si="7">CA12/$CH$21</f>
        <v>0.38</v>
      </c>
      <c r="CC12" s="102">
        <f t="shared" ref="CC12:CC17" si="8">1/($CI$8/CB12)</f>
        <v>23.75</v>
      </c>
      <c r="CD12" s="102">
        <f t="shared" ref="CD12:CD17" si="9">1/($CJ$8/CB12)</f>
        <v>5796.610169</v>
      </c>
      <c r="CE12" s="102">
        <f t="shared" ref="CE12:CE17" si="10">1/($CK$8/CB12)</f>
        <v>380</v>
      </c>
      <c r="CG12" s="108" t="s">
        <v>595</v>
      </c>
      <c r="CH12" s="108" t="s">
        <v>596</v>
      </c>
    </row>
    <row r="13">
      <c r="B13" s="31" t="s">
        <v>698</v>
      </c>
      <c r="C13" s="54"/>
      <c r="D13" s="45"/>
      <c r="E13" s="45"/>
      <c r="F13" s="47"/>
      <c r="G13" s="35"/>
      <c r="H13" s="55" t="s">
        <v>314</v>
      </c>
      <c r="I13" s="38">
        <f>VLOOKUP(H13,'Machine List'!$A$1:$I$300,9,FALSE)</f>
        <v>1000000</v>
      </c>
      <c r="J13" s="38">
        <f>IF(VLOOKUP(H13,'Machine List'!$A$1:$I$300,5,FALSE)="Multi",IF(VLOOKUP(H13,'Machine List'!$A$1:$I$300,6,FALSE)="Yes",AI13*3*10^AB13,AI13*(2*3)*10^(AB13-1)),0)</f>
        <v>6</v>
      </c>
      <c r="K13" s="38">
        <f>J13+IF(ISNUMBER(I13),I13,
  SWITCH(
      I13,
      "1T",1*10^AB13,
      "2T",2*10^AB13,
      "3T",3*10^AB13,
      "4T",4*10^AB13,
      "4000+500(7O-5)",4000+500*(7*I14-5),
      "13500 + 16C",13500+16*VLOOKUP(J15,'Machine Helper Sheet'!$G$1:$K$16,5,FALSE),
      1
  )
)</f>
        <v>1000006</v>
      </c>
      <c r="L13" s="38">
        <f>IF(VLOOKUP(H13,'Machine List'!$A$1:$I$300,5,FALSE)="Multi",IF(VLOOKUP(H13,'Machine List'!$A$1:$I$300,6,FALSE)="Yes",AW13*3*10^AV13,AW13*(2*3)*10^(AV13-1)),0)</f>
        <v>600000</v>
      </c>
      <c r="M13" s="38">
        <f>L13+IF(ISNUMBER(I13),I13,
  SWITCH(
      I13,
      "1T",1*10^AV13,
      "2T",2*10^AV13,
      "3T",3*10^AV13,
      "4T",4*10^AV13,
      "4000+500(7O-5)",4000+500*(7*I14-5),
      1
  )
)</f>
        <v>1600000</v>
      </c>
      <c r="N13" s="38">
        <f>VLOOKUP(H13,'Machine List'!$A$1:$I$300,8,FALSE)</f>
        <v>1405511</v>
      </c>
      <c r="O13" s="38">
        <f>IF(ISNUMBER(N13),N13,10^AB13)</f>
        <v>1405511</v>
      </c>
      <c r="P13" s="38">
        <f>IF(ISNUMBER(N13),N13,10^AV13)</f>
        <v>1405511</v>
      </c>
      <c r="Q13" s="38" t="str">
        <f>VLOOKUP(H13,'Machine List'!$A$1:$B$138,2,FALSE)</f>
        <v>2T</v>
      </c>
      <c r="R13" s="38" t="s">
        <v>277</v>
      </c>
      <c r="S13" s="45">
        <f>IF(ISNUMBER(Q13),Q13,
  SWITCH(
      Q13,
      "1",1,
      "2T",AB13*2,
      "4T",AB13*4,
      "6T",AB13*6,
      "8T",AB13*8,
      "10T",AB13*10,
      "12T",AB13*12,
      "14T",AB13*14,
      "16T",AB13*16,
      "24T",AB13*24,
      "2(T+1)",2*(AB13+1),
      "1T*C",AB13*J15,
      "2*P",L15*2,
      1
  )
)</f>
        <v>2</v>
      </c>
      <c r="T13" s="38" t="s">
        <v>277</v>
      </c>
      <c r="U13" s="38">
        <f>IF(OR(T13="No",T13=""),S13,T13)</f>
        <v>2</v>
      </c>
      <c r="V13" s="38">
        <f>IF(ISNUMBER(Q13),Q13,
  SWITCH(
      Q13,
      "1",1,
      "2T",AV13*2,
      "4T",AV13*4,
      "6T",AV13*6,
      "8T",AV13*8,
      "10T",AV13*10,
      "12T",AV13*12,
      "14T",AV13*14,
      "16T",AV13*16,
      "24T",AV13*24,
      "2(T+1)",2*(AV13+1),
      "1T*C",AV13*J15,
      "2*P",L15*2,
      1
  )
)</f>
        <v>12</v>
      </c>
      <c r="W13" s="38" t="str">
        <f>T13</f>
        <v>No</v>
      </c>
      <c r="X13" s="38">
        <f>IF(OR(W13="No",W13=""),V13,W13)</f>
        <v>12</v>
      </c>
      <c r="Y13" s="38">
        <f>VLOOKUP(H13,'Machine List'!$A$1:$C$138,3,FALSE)</f>
        <v>3.5</v>
      </c>
      <c r="Z13" s="38">
        <f>VLOOKUP(H13,'Machine List'!$A$1:$D$138,4,FALSE)</f>
        <v>0.8</v>
      </c>
      <c r="AA13" s="38" t="s">
        <v>390</v>
      </c>
      <c r="AB13" s="38">
        <f>VLOOKUP(AA13,'Item Helper Sheet'!$A$2:$B$16,2,FALSE)</f>
        <v>1</v>
      </c>
      <c r="AC13" s="38">
        <v>16.0</v>
      </c>
      <c r="AD13" s="38">
        <f>1.5*20</f>
        <v>30</v>
      </c>
      <c r="AE13" s="38">
        <f>AD13*I15</f>
        <v>19500</v>
      </c>
      <c r="AF13" s="38">
        <f>AC13*AE13</f>
        <v>312000</v>
      </c>
      <c r="AG13" s="75"/>
      <c r="AH13" s="38" t="str">
        <f>AA13</f>
        <v>01 - LV</v>
      </c>
      <c r="AI13" s="38">
        <v>1.0</v>
      </c>
      <c r="AJ13" s="38">
        <v>1.0</v>
      </c>
      <c r="AK13" s="38">
        <f>AJ13*8*4^AB13</f>
        <v>32</v>
      </c>
      <c r="AL13" s="38">
        <f>MIN(ROUNDDOWN(AK13/AN13,0),U13)</f>
        <v>2</v>
      </c>
      <c r="AM13" s="38">
        <f>IF(OR(T13="No",T13=""),AI13*S13,AI13*T13)</f>
        <v>2</v>
      </c>
      <c r="AN13" s="38">
        <f>ROUNDUP(AC13*VLOOKUP(H13,'Machine List'!$A$2:$D$219,4,FALSE),0)</f>
        <v>13</v>
      </c>
      <c r="AO13" s="38">
        <f>AN13*AM13</f>
        <v>26</v>
      </c>
      <c r="AP13" s="38">
        <f>ROUNDUP(AD13*I15,0)</f>
        <v>19500</v>
      </c>
      <c r="AQ13" s="38">
        <f>IF(ISNUMBER(Y13),ROUNDUP(AP13/Y13,0),
  SWITCH(
      Y13,
      "1+0.5C",ROUNDUP(AP13/(1+0.5*VLOOKUP(J15,#REF!,2,FALSE)),0),
      ROUNDUP(AP13/1,0)
  )
)</f>
        <v>5572</v>
      </c>
      <c r="AR13" s="38">
        <f>ROUNDUP(AQ13/AM13,0)</f>
        <v>2786</v>
      </c>
      <c r="AS13" s="38">
        <f>AO13*AR13</f>
        <v>72436</v>
      </c>
      <c r="AT13" s="75"/>
      <c r="AU13" s="38" t="s">
        <v>408</v>
      </c>
      <c r="AV13" s="38">
        <f>VLOOKUP(AU13,'Item Helper Sheet'!$A$2:$B$16,2,FALSE)</f>
        <v>6</v>
      </c>
      <c r="AW13" s="38">
        <v>1.0</v>
      </c>
      <c r="AX13" s="38">
        <v>1.0</v>
      </c>
      <c r="AY13" s="38">
        <f>AX13*8*4^AV13</f>
        <v>32768</v>
      </c>
      <c r="AZ13" s="38">
        <f>MIN(ROUNDDOWN(AY13/AN13,0),X13)</f>
        <v>12</v>
      </c>
      <c r="BA13" s="38">
        <f>AZ13*AW13</f>
        <v>12</v>
      </c>
      <c r="BB13" s="38">
        <f>AN13</f>
        <v>13</v>
      </c>
      <c r="BC13" s="38">
        <f>MIN(AV13-AB13,IF(AY13&gt;=BB14*4,
IF(AY13&gt;=BB14*4^2,
IF(AY13&gt;=BB14*4^3,
IF(AY13&gt;=BB14*4^4,
IF(AY13&gt;=BB14*4^5,
IF(AY13&gt;=BB14*4^6,
IF(AY13&gt;=BB14*4^7,
IF(AY13&gt;=BB14*4^8,
IF(AY13&gt;=BB14*4^9,
IF(AY13&gt;=BB14*4^10,
9),
8),
7),
6),
5),
4),
3),
2),
1),
0))</f>
        <v>3</v>
      </c>
      <c r="BD13" s="38">
        <f>BB13*AZ13*4^BC13</f>
        <v>9984</v>
      </c>
      <c r="BE13" s="38">
        <f>BD13*AW13</f>
        <v>9984</v>
      </c>
      <c r="BF13" s="45">
        <f>ROUNDUP(IF(R13="Yes",AP13/(2^((BC13)*2)),AP13/(2^(BC13))),0)</f>
        <v>2438</v>
      </c>
      <c r="BG13" s="45">
        <f>IF(ISNUMBER(Y13),ROUNDUP(BF13/Y13,0),
  SWITCH(
      Y13,
      "1+0.5C",ROUNDUP(BF13/(1+0.5*VLOOKUP(J15,'Machine Helper Sheet'!$G$1:$K$16,2,FALSE)),0),
      ROUNDUP(BF13/1,0)
  )
)</f>
        <v>697</v>
      </c>
      <c r="BH13" s="45">
        <f>ROUNDUP(BG13/BA13,0)</f>
        <v>59</v>
      </c>
      <c r="BI13" s="46">
        <f>BH13*BE13</f>
        <v>589056</v>
      </c>
      <c r="BK13" s="22"/>
      <c r="BS13" s="6" t="s">
        <v>87</v>
      </c>
      <c r="BT13" s="6">
        <v>-135000.0</v>
      </c>
      <c r="BU13" s="6">
        <f>VLOOKUP(BS13,'Item List'!$A$2:$D$300,2,FALSE)</f>
        <v>1</v>
      </c>
      <c r="BV13" s="6">
        <f>VLOOKUP(BS13,'Item List'!$A$2:$D$300,3,FALSE)</f>
        <v>4</v>
      </c>
      <c r="BW13" s="6">
        <f>VLOOKUP(BS13,'Item List'!$A$2:$D$300,4,FALSE)</f>
        <v>1</v>
      </c>
      <c r="CA13" s="6">
        <f t="shared" si="6"/>
        <v>28500</v>
      </c>
      <c r="CB13" s="6">
        <f t="shared" si="7"/>
        <v>0.6333333333</v>
      </c>
      <c r="CC13" s="102">
        <f t="shared" si="8"/>
        <v>39.58333333</v>
      </c>
      <c r="CD13" s="102">
        <f t="shared" si="9"/>
        <v>9661.016949</v>
      </c>
      <c r="CE13" s="102">
        <f t="shared" si="10"/>
        <v>633.3333333</v>
      </c>
      <c r="CG13" s="98" t="s">
        <v>597</v>
      </c>
      <c r="CH13" s="98" t="s">
        <v>597</v>
      </c>
    </row>
    <row r="14">
      <c r="B14" s="40"/>
      <c r="C14" s="41" t="s">
        <v>47</v>
      </c>
      <c r="D14" s="38">
        <f>1*I15</f>
        <v>650</v>
      </c>
      <c r="E14" s="38" t="s">
        <v>250</v>
      </c>
      <c r="F14" s="42">
        <f>100*I15</f>
        <v>65000</v>
      </c>
      <c r="G14" s="43"/>
      <c r="H14" s="99" t="s">
        <v>584</v>
      </c>
      <c r="I14" s="45">
        <f t="array" ref="I14">match(TRUE,ISBLANK(F14:F26),0)-1</f>
        <v>2</v>
      </c>
      <c r="J14" s="100" t="s">
        <v>420</v>
      </c>
      <c r="K14" s="100" t="s">
        <v>585</v>
      </c>
      <c r="L14" s="38"/>
      <c r="M14" s="38"/>
      <c r="N14" s="38"/>
      <c r="O14" s="38"/>
      <c r="P14" s="38"/>
      <c r="Q14" s="38"/>
      <c r="R14" s="101"/>
      <c r="S14" s="101"/>
      <c r="T14" s="101"/>
      <c r="U14" s="45"/>
      <c r="V14" s="45"/>
      <c r="W14" s="45"/>
      <c r="X14" s="45"/>
      <c r="Y14" s="45"/>
      <c r="Z14" s="45"/>
      <c r="AA14" s="45"/>
      <c r="AB14" s="45"/>
      <c r="AC14" s="45"/>
      <c r="AD14" s="45"/>
      <c r="AE14" s="45"/>
      <c r="AF14" s="45"/>
      <c r="AG14" s="79"/>
      <c r="AH14" s="45"/>
      <c r="AI14" s="45"/>
      <c r="AJ14" s="45"/>
      <c r="AK14" s="45"/>
      <c r="AL14" s="45"/>
      <c r="AM14" s="45"/>
      <c r="AN14" s="45"/>
      <c r="AO14" s="45"/>
      <c r="AP14" s="45"/>
      <c r="AQ14" s="45"/>
      <c r="AR14" s="45"/>
      <c r="AS14" s="45"/>
      <c r="AT14" s="79"/>
      <c r="AU14" s="45"/>
      <c r="AV14" s="45"/>
      <c r="AW14" s="45"/>
      <c r="AX14" s="45"/>
      <c r="AY14" s="45"/>
      <c r="AZ14" s="45"/>
      <c r="BA14" s="45"/>
      <c r="BB14" s="45">
        <f>BB13*AZ13</f>
        <v>156</v>
      </c>
      <c r="BC14" s="45"/>
      <c r="BD14" s="45"/>
      <c r="BE14" s="45"/>
      <c r="BF14" s="45"/>
      <c r="BG14" s="45"/>
      <c r="BH14" s="45"/>
      <c r="BI14" s="46"/>
      <c r="BK14" s="22"/>
      <c r="BS14" s="6" t="s">
        <v>130</v>
      </c>
      <c r="BT14" s="6">
        <v>0.0</v>
      </c>
      <c r="BU14" s="6">
        <f>VLOOKUP(BS14,'Item List'!$A$2:$D$300,2,FALSE)</f>
        <v>3</v>
      </c>
      <c r="BV14" s="6">
        <f>VLOOKUP(BS14,'Item List'!$A$2:$D$300,3,FALSE)</f>
        <v>5</v>
      </c>
      <c r="BW14" s="6">
        <f>VLOOKUP(BS14,'Item List'!$A$2:$D$300,4,FALSE)</f>
        <v>2</v>
      </c>
      <c r="CA14" s="6">
        <f t="shared" si="6"/>
        <v>45000</v>
      </c>
      <c r="CB14" s="6">
        <f t="shared" si="7"/>
        <v>1</v>
      </c>
      <c r="CC14" s="102">
        <f t="shared" si="8"/>
        <v>62.5</v>
      </c>
      <c r="CD14" s="102">
        <f t="shared" si="9"/>
        <v>15254.23729</v>
      </c>
      <c r="CE14" s="102">
        <f t="shared" si="10"/>
        <v>1000</v>
      </c>
      <c r="CG14" s="5">
        <f>BT46</f>
        <v>7</v>
      </c>
      <c r="CH14" s="5">
        <f>BT57</f>
        <v>12</v>
      </c>
    </row>
    <row r="15">
      <c r="B15" s="40"/>
      <c r="C15" s="41"/>
      <c r="D15" s="38"/>
      <c r="E15" s="38" t="s">
        <v>29</v>
      </c>
      <c r="F15" s="42">
        <f>0.1*I15</f>
        <v>65</v>
      </c>
      <c r="G15" s="43"/>
      <c r="H15" s="56" t="s">
        <v>502</v>
      </c>
      <c r="I15" s="57">
        <v>650.0</v>
      </c>
      <c r="J15" s="100" t="s">
        <v>424</v>
      </c>
      <c r="K15" s="100">
        <v>0.0</v>
      </c>
      <c r="L15" s="45"/>
      <c r="M15" s="45"/>
      <c r="N15" s="45"/>
      <c r="O15" s="45"/>
      <c r="P15" s="45"/>
      <c r="Q15" s="45"/>
      <c r="R15" s="45"/>
      <c r="S15" s="101"/>
      <c r="T15" s="101"/>
      <c r="U15" s="45"/>
      <c r="V15" s="45"/>
      <c r="W15" s="45"/>
      <c r="X15" s="45"/>
      <c r="Y15" s="45"/>
      <c r="Z15" s="45"/>
      <c r="AA15" s="45"/>
      <c r="AB15" s="45"/>
      <c r="AC15" s="45"/>
      <c r="AD15" s="45"/>
      <c r="AE15" s="45"/>
      <c r="AF15" s="45"/>
      <c r="AG15" s="79"/>
      <c r="AH15" s="45"/>
      <c r="AI15" s="45"/>
      <c r="AJ15" s="45"/>
      <c r="AK15" s="45"/>
      <c r="AL15" s="45"/>
      <c r="AM15" s="45"/>
      <c r="AN15" s="45"/>
      <c r="AO15" s="45"/>
      <c r="AP15" s="45"/>
      <c r="AQ15" s="45"/>
      <c r="AR15" s="45"/>
      <c r="AS15" s="45"/>
      <c r="AT15" s="79"/>
      <c r="AU15" s="45"/>
      <c r="AV15" s="45"/>
      <c r="AW15" s="45"/>
      <c r="AX15" s="45"/>
      <c r="AY15" s="45"/>
      <c r="AZ15" s="45"/>
      <c r="BA15" s="45"/>
      <c r="BB15" s="45"/>
      <c r="BC15" s="45"/>
      <c r="BD15" s="45"/>
      <c r="BE15" s="45"/>
      <c r="BF15" s="45"/>
      <c r="BG15" s="45"/>
      <c r="BH15" s="45"/>
      <c r="BI15" s="46"/>
      <c r="BK15" s="22"/>
      <c r="BS15" s="6" t="s">
        <v>131</v>
      </c>
      <c r="BT15" s="6">
        <v>45000.0</v>
      </c>
      <c r="BU15" s="6">
        <f>VLOOKUP(BS15,'Item List'!$A$2:$D$300,2,FALSE)</f>
        <v>1</v>
      </c>
      <c r="BV15" s="6">
        <f>VLOOKUP(BS15,'Item List'!$A$2:$D$300,3,FALSE)</f>
        <v>3</v>
      </c>
      <c r="BW15" s="6">
        <f>VLOOKUP(BS15,'Item List'!$A$2:$D$300,4,FALSE)</f>
        <v>2</v>
      </c>
      <c r="CA15" s="6">
        <f t="shared" si="6"/>
        <v>11400</v>
      </c>
      <c r="CB15" s="6">
        <f t="shared" si="7"/>
        <v>0.2533333333</v>
      </c>
      <c r="CC15" s="102">
        <f t="shared" si="8"/>
        <v>15.83333333</v>
      </c>
      <c r="CD15" s="102">
        <f t="shared" si="9"/>
        <v>3864.40678</v>
      </c>
      <c r="CE15" s="102">
        <f t="shared" si="10"/>
        <v>253.3333333</v>
      </c>
      <c r="CG15" s="98" t="s">
        <v>598</v>
      </c>
      <c r="CH15" s="98" t="s">
        <v>598</v>
      </c>
    </row>
    <row r="16">
      <c r="B16" s="50"/>
      <c r="C16" s="51"/>
      <c r="D16" s="52"/>
      <c r="E16" s="52"/>
      <c r="F16" s="52"/>
      <c r="G16" s="43"/>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43"/>
      <c r="AH16" s="52"/>
      <c r="AI16" s="52"/>
      <c r="AJ16" s="52"/>
      <c r="AK16" s="52"/>
      <c r="AL16" s="52"/>
      <c r="AM16" s="52"/>
      <c r="AN16" s="52"/>
      <c r="AO16" s="52"/>
      <c r="AP16" s="52"/>
      <c r="AQ16" s="52"/>
      <c r="AR16" s="52"/>
      <c r="AS16" s="52"/>
      <c r="AT16" s="43"/>
      <c r="AU16" s="52"/>
      <c r="AV16" s="52"/>
      <c r="AW16" s="52"/>
      <c r="AX16" s="52"/>
      <c r="AY16" s="52"/>
      <c r="AZ16" s="52"/>
      <c r="BA16" s="52"/>
      <c r="BB16" s="52"/>
      <c r="BC16" s="52"/>
      <c r="BD16" s="52"/>
      <c r="BE16" s="52"/>
      <c r="BF16" s="52"/>
      <c r="BG16" s="52"/>
      <c r="BH16" s="52"/>
      <c r="BI16" s="53"/>
      <c r="BK16" s="22"/>
      <c r="BS16" s="140" t="s">
        <v>132</v>
      </c>
      <c r="BT16" s="140">
        <v>-77500.0</v>
      </c>
      <c r="BU16" s="6">
        <f>VLOOKUP(BS16,'Item List'!$A$2:$D$300,2,FALSE)</f>
        <v>1</v>
      </c>
      <c r="BV16" s="6">
        <f>VLOOKUP(BS16,'Item List'!$A$2:$D$300,3,FALSE)</f>
        <v>4</v>
      </c>
      <c r="BW16" s="6">
        <f>VLOOKUP(BS16,'Item List'!$A$2:$D$300,4,FALSE)</f>
        <v>1</v>
      </c>
      <c r="CA16" s="6">
        <f t="shared" si="6"/>
        <v>11400</v>
      </c>
      <c r="CB16" s="6">
        <f t="shared" si="7"/>
        <v>0.2533333333</v>
      </c>
      <c r="CC16" s="102">
        <f t="shared" si="8"/>
        <v>15.83333333</v>
      </c>
      <c r="CD16" s="102">
        <f t="shared" si="9"/>
        <v>3864.40678</v>
      </c>
      <c r="CE16" s="102">
        <f t="shared" si="10"/>
        <v>253.3333333</v>
      </c>
      <c r="CG16" s="5">
        <f>SUM(BZ22:BZ28)</f>
        <v>1031888</v>
      </c>
      <c r="CH16" s="5">
        <f>SUM(CD22:CD28)</f>
        <v>21860000</v>
      </c>
    </row>
    <row r="17">
      <c r="B17" s="31" t="s">
        <v>699</v>
      </c>
      <c r="C17" s="32"/>
      <c r="D17" s="33"/>
      <c r="E17" s="33"/>
      <c r="F17" s="34"/>
      <c r="G17" s="35"/>
      <c r="H17" s="55" t="s">
        <v>328</v>
      </c>
      <c r="I17" s="38" t="str">
        <f>VLOOKUP(H17,'Machine List'!$A$1:$I$300,9,FALSE)</f>
        <v>1T</v>
      </c>
      <c r="J17" s="38">
        <f>IF(VLOOKUP(H17,'Machine List'!$A$1:$I$300,5,FALSE)="Multi",IF(VLOOKUP(H17,'Machine List'!$A$1:$I$300,6,FALSE)="Yes",AI17*3*10^AB17,AI17*(2*3)*10^(AB17-1)),0)</f>
        <v>600</v>
      </c>
      <c r="K17" s="38">
        <f>J17+IF(ISNUMBER(I17),I17,
  SWITCH(
      I17,
      "1T",1*10^AB17,
      "2T",2*10^AB17,
      "3T",3*10^AB17,
      "4T",4*10^AB17,
      "4000+500(7O-5)",4000+500*(7*I18-5),
      "13500 + 16C",13500+16*VLOOKUP(J19,'Machine Helper Sheet'!$G$1:$K$16,5,FALSE),
      1
  )
)</f>
        <v>1600</v>
      </c>
      <c r="L17" s="38">
        <f>IF(VLOOKUP(H17,'Machine List'!$A$1:$I$300,5,FALSE)="Multi",IF(VLOOKUP(H17,'Machine List'!$A$1:$I$300,6,FALSE)="Yes",AW17*3*10^AV17,AW17*(2*3)*10^(AV17-1)),0)</f>
        <v>600000</v>
      </c>
      <c r="M17" s="38">
        <f>L17+IF(ISNUMBER(I17),I17,
  SWITCH(
      I17,
      "1T",1*10^AV17,
      "2T",2*10^AV17,
      "3T",3*10^AV17,
      "4T",4*10^AV17,
      "4000+500(7O-5)",4000+500*(7*I18-5),
      1
  )
)</f>
        <v>1600000</v>
      </c>
      <c r="N17" s="38">
        <f>VLOOKUP(H17,'Machine List'!$A$1:$I$300,8,FALSE)</f>
        <v>1405511</v>
      </c>
      <c r="O17" s="38">
        <f>IF(ISNUMBER(N17),N17,10^AB17)</f>
        <v>1405511</v>
      </c>
      <c r="P17" s="38">
        <f>IF(ISNUMBER(N17),N17,10^AV17)</f>
        <v>1405511</v>
      </c>
      <c r="Q17" s="38">
        <f>VLOOKUP(H17,'Machine List'!$A$1:$B$138,2,FALSE)</f>
        <v>12</v>
      </c>
      <c r="R17" s="38" t="s">
        <v>277</v>
      </c>
      <c r="S17" s="45">
        <f>IF(ISNUMBER(Q17),Q17,
  SWITCH(
      Q17,
      "1",1,
      "2T",AB17*2,
      "4T",AB17*4,
      "6T",AB17*6,
      "8T",AB17*8,
      "10T",AB17*10,
      "12T",AB17*12,
      "14T",AB17*14,
      "16T",AB17*16,
      "24T",AB17*24,
      "2(T+1)",2*(AB17+1),
      "1T*C",AB17*J19,
      "2*P",L19*2,
      1
  )
)</f>
        <v>12</v>
      </c>
      <c r="T17" s="38" t="s">
        <v>277</v>
      </c>
      <c r="U17" s="38">
        <f>IF(OR(T17="No",T17=""),S17,T17)</f>
        <v>12</v>
      </c>
      <c r="V17" s="38">
        <f>IF(ISNUMBER(Q17),Q17,
  SWITCH(
      Q17,
      "1",1,
      "2T",AV17*2,
      "4T",AV17*4,
      "6T",AV17*6,
      "8T",AV17*8,
      "10T",AV17*10,
      "12T",AV17*12,
      "14T",AV17*14,
      "16T",AV17*16,
      "24T",AV17*24,
      "2(T+1)",2*(AV17+1),
      "1T*C",AV17*J19,
      "2*P",L19*2,
      1
  )
)</f>
        <v>12</v>
      </c>
      <c r="W17" s="38" t="str">
        <f>T17</f>
        <v>No</v>
      </c>
      <c r="X17" s="38">
        <f>IF(OR(W17="No",W17=""),V17,W17)</f>
        <v>12</v>
      </c>
      <c r="Y17" s="38">
        <f>VLOOKUP(H17,'Machine List'!$A$1:$C$138,3,FALSE)</f>
        <v>3.5</v>
      </c>
      <c r="Z17" s="38">
        <f>VLOOKUP(H17,'Machine List'!$A$1:$D$138,4,FALSE)</f>
        <v>1</v>
      </c>
      <c r="AA17" s="38" t="s">
        <v>397</v>
      </c>
      <c r="AB17" s="38">
        <f>VLOOKUP(AA17,'Item Helper Sheet'!$A$2:$B$16,2,FALSE)</f>
        <v>3</v>
      </c>
      <c r="AC17" s="38">
        <v>256.0</v>
      </c>
      <c r="AD17" s="38">
        <f>2*20</f>
        <v>40</v>
      </c>
      <c r="AE17" s="38">
        <f>AD17*I19</f>
        <v>4560</v>
      </c>
      <c r="AF17" s="38">
        <f>AC17*AE17</f>
        <v>1167360</v>
      </c>
      <c r="AG17" s="75"/>
      <c r="AH17" s="38" t="str">
        <f>AA17</f>
        <v>03 - HV</v>
      </c>
      <c r="AI17" s="38">
        <v>1.0</v>
      </c>
      <c r="AJ17" s="38">
        <v>1.0</v>
      </c>
      <c r="AK17" s="38">
        <f>AJ17*8*4^AB17</f>
        <v>512</v>
      </c>
      <c r="AL17" s="38">
        <f>MIN(ROUNDDOWN(AK17/AN17,0),U17)</f>
        <v>2</v>
      </c>
      <c r="AM17" s="38">
        <f>AL17*AI17</f>
        <v>2</v>
      </c>
      <c r="AN17" s="38">
        <f>ROUNDUP(AC17*VLOOKUP(H17,'Machine List'!$A$2:$D$219,4,FALSE),0)</f>
        <v>256</v>
      </c>
      <c r="AO17" s="38">
        <f>AN17*AM17</f>
        <v>512</v>
      </c>
      <c r="AP17" s="38">
        <f>ROUNDUP(AD17*I19,0)</f>
        <v>4560</v>
      </c>
      <c r="AQ17" s="38">
        <f>IF(ISNUMBER(Y17),ROUNDUP(AP17/Y17,0),
  SWITCH(
      Y17,
      "1+0.5C",ROUNDUP(AP17/(1+0.5*VLOOKUP(J19,#REF!,2,FALSE)),0),
      ROUNDUP(AP17/1,0)
  )
)</f>
        <v>1303</v>
      </c>
      <c r="AR17" s="38">
        <f>ROUNDUP(AQ17/AM17,0)</f>
        <v>652</v>
      </c>
      <c r="AS17" s="38">
        <f>AO17*AR17</f>
        <v>333824</v>
      </c>
      <c r="AT17" s="75"/>
      <c r="AU17" s="38" t="s">
        <v>408</v>
      </c>
      <c r="AV17" s="38">
        <f>VLOOKUP(AU17,'Item Helper Sheet'!$A$2:$B$16,2,FALSE)</f>
        <v>6</v>
      </c>
      <c r="AW17" s="38">
        <v>1.0</v>
      </c>
      <c r="AX17" s="38">
        <v>1.0</v>
      </c>
      <c r="AY17" s="38">
        <f>AX17*8*4^AV17</f>
        <v>32768</v>
      </c>
      <c r="AZ17" s="38">
        <f>MIN(ROUNDDOWN(AY17/AN17,0),X17)</f>
        <v>12</v>
      </c>
      <c r="BA17" s="38">
        <f>AZ17*AW17</f>
        <v>12</v>
      </c>
      <c r="BB17" s="38">
        <f>AN17</f>
        <v>256</v>
      </c>
      <c r="BC17" s="38">
        <f>MIN(AV17-AB17,IF(AY17&gt;=BB18*4,
IF(AY17&gt;=BB18*4^2,
IF(AY17&gt;=BB18*4^3,
IF(AY17&gt;=BB18*4^4,
IF(AY17&gt;=BB18*4^5,
IF(AY17&gt;=BB18*4^6,
IF(AY17&gt;=BB18*4^7,
IF(AY17&gt;=BB18*4^8,
IF(AY17&gt;=BB18*4^9,
IF(AY17&gt;=BB18*4^10,
9),
8),
7),
6),
5),
4),
3),
2),
1),
0))</f>
        <v>1</v>
      </c>
      <c r="BD17" s="38">
        <f>BB17*AZ17*4^BC17</f>
        <v>12288</v>
      </c>
      <c r="BE17" s="38">
        <f>BD17*AW17</f>
        <v>12288</v>
      </c>
      <c r="BF17" s="45">
        <f>ROUNDUP(IF(R17="Yes",AP17/(2^((BC17)*2)),AP17/(2^(BC17))),0)</f>
        <v>2280</v>
      </c>
      <c r="BG17" s="45">
        <f>IF(ISNUMBER(Y17),ROUNDUP(BF17/Y17,0),
  SWITCH(
      Y17,
      "1+0.5C",ROUNDUP(BF17/(1+0.5*VLOOKUP(J19,'Machine Helper Sheet'!$G$1:$K$16,2,FALSE)),0),
      ROUNDUP(BF17/1,0)
  )
)</f>
        <v>652</v>
      </c>
      <c r="BH17" s="45">
        <f>ROUNDUP(BG17/BA17,0)</f>
        <v>55</v>
      </c>
      <c r="BI17" s="46">
        <f>BH17*BE17</f>
        <v>675840</v>
      </c>
      <c r="BK17" s="22"/>
      <c r="BS17" s="6" t="s">
        <v>142</v>
      </c>
      <c r="BT17" s="6">
        <v>-180000.0</v>
      </c>
      <c r="BU17" s="6">
        <f>VLOOKUP(BS17,'Item List'!$A$2:$D$300,2,FALSE)</f>
        <v>1</v>
      </c>
      <c r="BV17" s="6">
        <f>VLOOKUP(BS17,'Item List'!$A$2:$D$300,3,FALSE)</f>
        <v>5</v>
      </c>
      <c r="BW17" s="6">
        <f>VLOOKUP(BS17,'Item List'!$A$2:$D$300,4,FALSE)</f>
        <v>1</v>
      </c>
      <c r="CA17" s="6">
        <f t="shared" si="6"/>
        <v>45000</v>
      </c>
      <c r="CB17" s="6">
        <f t="shared" si="7"/>
        <v>1</v>
      </c>
      <c r="CC17" s="102">
        <f t="shared" si="8"/>
        <v>62.5</v>
      </c>
      <c r="CD17" s="102">
        <f t="shared" si="9"/>
        <v>15254.23729</v>
      </c>
      <c r="CE17" s="102">
        <f t="shared" si="10"/>
        <v>1000</v>
      </c>
      <c r="CG17" s="98" t="s">
        <v>600</v>
      </c>
      <c r="CH17" s="98" t="s">
        <v>600</v>
      </c>
    </row>
    <row r="18">
      <c r="B18" s="40"/>
      <c r="C18" s="41" t="s">
        <v>250</v>
      </c>
      <c r="D18" s="38">
        <f>1000*I19</f>
        <v>114000</v>
      </c>
      <c r="E18" s="38" t="s">
        <v>52</v>
      </c>
      <c r="F18" s="42">
        <f>250*I19</f>
        <v>28500</v>
      </c>
      <c r="G18" s="43"/>
      <c r="H18" s="99" t="s">
        <v>584</v>
      </c>
      <c r="I18" s="45">
        <f t="array" ref="I18">match(TRUE,ISBLANK(F18:F30),0)-1</f>
        <v>5</v>
      </c>
      <c r="J18" s="100" t="s">
        <v>420</v>
      </c>
      <c r="K18" s="100" t="s">
        <v>585</v>
      </c>
      <c r="L18" s="38"/>
      <c r="M18" s="38"/>
      <c r="N18" s="38"/>
      <c r="O18" s="38"/>
      <c r="P18" s="38"/>
      <c r="Q18" s="38"/>
      <c r="R18" s="101"/>
      <c r="S18" s="101"/>
      <c r="T18" s="101"/>
      <c r="U18" s="45"/>
      <c r="V18" s="45"/>
      <c r="W18" s="45"/>
      <c r="X18" s="45"/>
      <c r="Y18" s="45"/>
      <c r="Z18" s="45"/>
      <c r="AA18" s="45"/>
      <c r="AB18" s="45"/>
      <c r="AC18" s="45"/>
      <c r="AD18" s="45"/>
      <c r="AE18" s="45"/>
      <c r="AF18" s="45"/>
      <c r="AG18" s="79"/>
      <c r="AH18" s="45"/>
      <c r="AI18" s="45"/>
      <c r="AJ18" s="45"/>
      <c r="AK18" s="45"/>
      <c r="AL18" s="45"/>
      <c r="AM18" s="45"/>
      <c r="AN18" s="45"/>
      <c r="AO18" s="45"/>
      <c r="AP18" s="45"/>
      <c r="AQ18" s="45"/>
      <c r="AR18" s="45"/>
      <c r="AS18" s="45"/>
      <c r="AT18" s="79"/>
      <c r="AU18" s="45"/>
      <c r="AV18" s="45"/>
      <c r="AW18" s="45"/>
      <c r="AX18" s="45"/>
      <c r="AY18" s="45"/>
      <c r="AZ18" s="45"/>
      <c r="BA18" s="45"/>
      <c r="BB18" s="45">
        <f>BB17*AZ17</f>
        <v>3072</v>
      </c>
      <c r="BC18" s="45"/>
      <c r="BD18" s="45"/>
      <c r="BE18" s="45"/>
      <c r="BF18" s="45"/>
      <c r="BG18" s="45"/>
      <c r="BH18" s="45"/>
      <c r="BI18" s="46"/>
      <c r="BK18" s="22"/>
      <c r="BS18" s="6" t="s">
        <v>147</v>
      </c>
      <c r="BT18" s="6">
        <v>11400.0</v>
      </c>
      <c r="BU18" s="6">
        <f>VLOOKUP(BS18,'Item List'!$A$2:$D$300,2,FALSE)</f>
        <v>1</v>
      </c>
      <c r="BV18" s="6">
        <f>VLOOKUP(BS18,'Item List'!$A$2:$D$300,3,FALSE)</f>
        <v>5</v>
      </c>
      <c r="BW18" s="6">
        <f>VLOOKUP(BS18,'Item List'!$A$2:$D$300,4,FALSE)</f>
        <v>2</v>
      </c>
      <c r="CA18" s="6" t="str">
        <f t="shared" si="6"/>
        <v/>
      </c>
      <c r="CC18" s="102"/>
      <c r="CD18" s="102"/>
      <c r="CE18" s="102"/>
      <c r="CG18" s="5">
        <f>CA30</f>
        <v>1405511</v>
      </c>
      <c r="CH18" s="5">
        <f>CE30</f>
        <v>1405511</v>
      </c>
    </row>
    <row r="19">
      <c r="B19" s="40"/>
      <c r="C19" s="41"/>
      <c r="D19" s="38"/>
      <c r="E19" s="38" t="s">
        <v>147</v>
      </c>
      <c r="F19" s="42">
        <f>100*I19</f>
        <v>11400</v>
      </c>
      <c r="G19" s="43"/>
      <c r="H19" s="56" t="s">
        <v>502</v>
      </c>
      <c r="I19" s="49">
        <v>114.0</v>
      </c>
      <c r="J19" s="100" t="s">
        <v>424</v>
      </c>
      <c r="K19" s="100">
        <v>0.0</v>
      </c>
      <c r="L19" s="45"/>
      <c r="M19" s="45"/>
      <c r="N19" s="45"/>
      <c r="O19" s="45"/>
      <c r="P19" s="45"/>
      <c r="Q19" s="45"/>
      <c r="R19" s="45"/>
      <c r="S19" s="101"/>
      <c r="T19" s="101"/>
      <c r="U19" s="45"/>
      <c r="V19" s="45"/>
      <c r="W19" s="45"/>
      <c r="X19" s="45"/>
      <c r="Y19" s="45"/>
      <c r="Z19" s="45"/>
      <c r="AA19" s="45"/>
      <c r="AB19" s="45"/>
      <c r="AC19" s="45"/>
      <c r="AD19" s="45"/>
      <c r="AE19" s="45"/>
      <c r="AF19" s="45"/>
      <c r="AG19" s="79"/>
      <c r="AH19" s="45"/>
      <c r="AI19" s="45"/>
      <c r="AJ19" s="45"/>
      <c r="AK19" s="45"/>
      <c r="AL19" s="45"/>
      <c r="AM19" s="45"/>
      <c r="AN19" s="45"/>
      <c r="AO19" s="45"/>
      <c r="AP19" s="45"/>
      <c r="AQ19" s="45"/>
      <c r="AR19" s="45"/>
      <c r="AS19" s="45"/>
      <c r="AT19" s="79"/>
      <c r="AU19" s="45"/>
      <c r="AV19" s="45"/>
      <c r="AW19" s="45"/>
      <c r="AX19" s="45"/>
      <c r="AY19" s="45"/>
      <c r="AZ19" s="45"/>
      <c r="BA19" s="45"/>
      <c r="BB19" s="45"/>
      <c r="BC19" s="45"/>
      <c r="BD19" s="45"/>
      <c r="BE19" s="45"/>
      <c r="BF19" s="45"/>
      <c r="BG19" s="45"/>
      <c r="BH19" s="45"/>
      <c r="BI19" s="46"/>
      <c r="BK19" s="22"/>
      <c r="BS19" s="6" t="s">
        <v>227</v>
      </c>
      <c r="BT19" s="6">
        <v>-9000.0</v>
      </c>
      <c r="BU19" s="6">
        <f>VLOOKUP(BS19,'Item List'!$A$2:$D$300,2,FALSE)</f>
        <v>1</v>
      </c>
      <c r="BV19" s="6">
        <f>VLOOKUP(BS19,'Item List'!$A$2:$D$300,3,FALSE)</f>
        <v>4</v>
      </c>
      <c r="BW19" s="6">
        <f>VLOOKUP(BS19,'Item List'!$A$2:$D$300,4,FALSE)</f>
        <v>1</v>
      </c>
      <c r="CA19" s="6" t="str">
        <f t="shared" si="6"/>
        <v/>
      </c>
      <c r="CC19" s="102"/>
      <c r="CD19" s="102"/>
      <c r="CE19" s="102"/>
    </row>
    <row r="20">
      <c r="B20" s="40"/>
      <c r="C20" s="41"/>
      <c r="D20" s="38"/>
      <c r="E20" s="38" t="s">
        <v>30</v>
      </c>
      <c r="F20" s="42">
        <f>400*I19</f>
        <v>45600</v>
      </c>
      <c r="G20" s="43"/>
      <c r="H20" s="44"/>
      <c r="I20" s="45"/>
      <c r="J20" s="45"/>
      <c r="K20" s="45"/>
      <c r="L20" s="45"/>
      <c r="M20" s="45"/>
      <c r="N20" s="45"/>
      <c r="O20" s="45"/>
      <c r="P20" s="45"/>
      <c r="Q20" s="45"/>
      <c r="R20" s="45"/>
      <c r="S20" s="101"/>
      <c r="T20" s="101"/>
      <c r="U20" s="45"/>
      <c r="V20" s="45"/>
      <c r="W20" s="45"/>
      <c r="X20" s="45"/>
      <c r="Y20" s="45"/>
      <c r="Z20" s="45"/>
      <c r="AA20" s="45"/>
      <c r="AB20" s="45"/>
      <c r="AC20" s="45"/>
      <c r="AD20" s="45"/>
      <c r="AE20" s="45"/>
      <c r="AF20" s="45"/>
      <c r="AG20" s="79"/>
      <c r="AH20" s="45"/>
      <c r="AI20" s="45"/>
      <c r="AJ20" s="45"/>
      <c r="AK20" s="45"/>
      <c r="AL20" s="45"/>
      <c r="AM20" s="45"/>
      <c r="AN20" s="45"/>
      <c r="AO20" s="45"/>
      <c r="AP20" s="45"/>
      <c r="AQ20" s="45"/>
      <c r="AR20" s="45"/>
      <c r="AS20" s="45"/>
      <c r="AT20" s="79"/>
      <c r="AU20" s="45"/>
      <c r="AV20" s="45"/>
      <c r="AW20" s="45"/>
      <c r="AX20" s="45"/>
      <c r="AY20" s="45"/>
      <c r="AZ20" s="45"/>
      <c r="BA20" s="45"/>
      <c r="BB20" s="45"/>
      <c r="BC20" s="45"/>
      <c r="BD20" s="45"/>
      <c r="BE20" s="45"/>
      <c r="BF20" s="45"/>
      <c r="BG20" s="45"/>
      <c r="BH20" s="45"/>
      <c r="BI20" s="46"/>
      <c r="BK20" s="22"/>
      <c r="BS20" s="6" t="s">
        <v>238</v>
      </c>
      <c r="BT20" s="6">
        <v>11400.0</v>
      </c>
      <c r="BU20" s="6">
        <f>VLOOKUP(BS20,'Item List'!$A$2:$D$300,2,FALSE)</f>
        <v>1</v>
      </c>
      <c r="BV20" s="6">
        <f>VLOOKUP(BS20,'Item List'!$A$2:$D$300,3,FALSE)</f>
        <v>5</v>
      </c>
      <c r="BW20" s="6">
        <f>VLOOKUP(BS20,'Item List'!$A$2:$D$300,4,FALSE)</f>
        <v>2</v>
      </c>
      <c r="CA20" s="6" t="str">
        <f t="shared" si="6"/>
        <v/>
      </c>
      <c r="CC20" s="102"/>
      <c r="CD20" s="102"/>
      <c r="CE20" s="102"/>
      <c r="CG20" s="98" t="s">
        <v>602</v>
      </c>
      <c r="CH20" s="98" t="s">
        <v>583</v>
      </c>
      <c r="CI20" s="98" t="s">
        <v>603</v>
      </c>
      <c r="CJ20" s="98" t="s">
        <v>604</v>
      </c>
    </row>
    <row r="21">
      <c r="B21" s="40"/>
      <c r="C21" s="41"/>
      <c r="D21" s="38"/>
      <c r="E21" s="38" t="s">
        <v>238</v>
      </c>
      <c r="F21" s="42">
        <f>100*I19</f>
        <v>11400</v>
      </c>
      <c r="G21" s="43"/>
      <c r="H21" s="44"/>
      <c r="I21" s="45"/>
      <c r="J21" s="45"/>
      <c r="K21" s="45"/>
      <c r="L21" s="45"/>
      <c r="M21" s="45"/>
      <c r="N21" s="45"/>
      <c r="O21" s="45"/>
      <c r="P21" s="45"/>
      <c r="Q21" s="45"/>
      <c r="R21" s="45"/>
      <c r="S21" s="101"/>
      <c r="T21" s="101"/>
      <c r="U21" s="45"/>
      <c r="V21" s="45"/>
      <c r="W21" s="45"/>
      <c r="X21" s="45"/>
      <c r="Y21" s="45"/>
      <c r="Z21" s="45"/>
      <c r="AA21" s="45"/>
      <c r="AB21" s="45"/>
      <c r="AC21" s="45"/>
      <c r="AD21" s="45"/>
      <c r="AE21" s="45"/>
      <c r="AF21" s="45"/>
      <c r="AG21" s="79"/>
      <c r="AH21" s="45"/>
      <c r="AI21" s="45"/>
      <c r="AJ21" s="45"/>
      <c r="AK21" s="45"/>
      <c r="AL21" s="45"/>
      <c r="AM21" s="45"/>
      <c r="AN21" s="45"/>
      <c r="AO21" s="45"/>
      <c r="AP21" s="45"/>
      <c r="AQ21" s="45"/>
      <c r="AR21" s="45"/>
      <c r="AS21" s="45"/>
      <c r="AT21" s="79"/>
      <c r="AU21" s="45"/>
      <c r="AV21" s="45"/>
      <c r="AW21" s="45"/>
      <c r="AX21" s="45"/>
      <c r="AY21" s="45"/>
      <c r="AZ21" s="45"/>
      <c r="BA21" s="45"/>
      <c r="BB21" s="45"/>
      <c r="BC21" s="45"/>
      <c r="BD21" s="45"/>
      <c r="BE21" s="45"/>
      <c r="BF21" s="45"/>
      <c r="BG21" s="45"/>
      <c r="BH21" s="45"/>
      <c r="BI21" s="46"/>
      <c r="BK21" s="22"/>
      <c r="BS21" s="6" t="s">
        <v>248</v>
      </c>
      <c r="BT21" s="6">
        <v>45000.0</v>
      </c>
      <c r="BU21" s="6">
        <f>VLOOKUP(BS21,'Item List'!$A$2:$D$300,2,FALSE)</f>
        <v>0</v>
      </c>
      <c r="BV21" s="6">
        <f>VLOOKUP(BS21,'Item List'!$A$2:$D$300,3,FALSE)</f>
        <v>5</v>
      </c>
      <c r="BW21" s="6">
        <f>VLOOKUP(BS21,'Item List'!$A$2:$D$300,4,FALSE)</f>
        <v>0</v>
      </c>
      <c r="BY21" s="6" t="s">
        <v>457</v>
      </c>
      <c r="BZ21" s="6" t="s">
        <v>607</v>
      </c>
      <c r="CA21" s="6" t="s">
        <v>545</v>
      </c>
      <c r="CC21" s="6" t="s">
        <v>457</v>
      </c>
      <c r="CD21" s="6" t="s">
        <v>620</v>
      </c>
      <c r="CE21" s="6" t="s">
        <v>546</v>
      </c>
      <c r="CG21" s="5" t="str">
        <f t="shared" ref="CG21:CH21" si="11">CG6</f>
        <v>Nitrobenzene</v>
      </c>
      <c r="CH21" s="5">
        <f t="shared" si="11"/>
        <v>45000</v>
      </c>
      <c r="CI21" s="4">
        <v>1600.0</v>
      </c>
      <c r="CJ21" s="109">
        <v>1.7</v>
      </c>
    </row>
    <row r="22">
      <c r="B22" s="40"/>
      <c r="C22" s="41"/>
      <c r="D22" s="38"/>
      <c r="E22" s="38" t="s">
        <v>10</v>
      </c>
      <c r="F22" s="42">
        <f>150*I19</f>
        <v>17100</v>
      </c>
      <c r="G22" s="43"/>
      <c r="H22" s="44"/>
      <c r="I22" s="45"/>
      <c r="J22" s="45"/>
      <c r="K22" s="45"/>
      <c r="L22" s="45"/>
      <c r="M22" s="45"/>
      <c r="N22" s="45"/>
      <c r="O22" s="45"/>
      <c r="P22" s="45"/>
      <c r="Q22" s="45"/>
      <c r="R22" s="45"/>
      <c r="S22" s="101"/>
      <c r="T22" s="101"/>
      <c r="U22" s="45"/>
      <c r="V22" s="45"/>
      <c r="W22" s="45"/>
      <c r="X22" s="45"/>
      <c r="Y22" s="45"/>
      <c r="Z22" s="45"/>
      <c r="AA22" s="45"/>
      <c r="AB22" s="45"/>
      <c r="AC22" s="45"/>
      <c r="AD22" s="45"/>
      <c r="AE22" s="45"/>
      <c r="AF22" s="45"/>
      <c r="AG22" s="79"/>
      <c r="AH22" s="45"/>
      <c r="AI22" s="45"/>
      <c r="AJ22" s="45"/>
      <c r="AK22" s="45"/>
      <c r="AL22" s="45"/>
      <c r="AM22" s="45"/>
      <c r="AN22" s="45"/>
      <c r="AO22" s="45"/>
      <c r="AP22" s="45"/>
      <c r="AQ22" s="45"/>
      <c r="AR22" s="45"/>
      <c r="AS22" s="45"/>
      <c r="AT22" s="79"/>
      <c r="AU22" s="45"/>
      <c r="AV22" s="45"/>
      <c r="AW22" s="45"/>
      <c r="AX22" s="45"/>
      <c r="AY22" s="45"/>
      <c r="AZ22" s="45"/>
      <c r="BA22" s="45"/>
      <c r="BB22" s="45"/>
      <c r="BC22" s="45"/>
      <c r="BD22" s="45"/>
      <c r="BE22" s="45"/>
      <c r="BF22" s="45"/>
      <c r="BG22" s="45"/>
      <c r="BH22" s="45"/>
      <c r="BI22" s="46"/>
      <c r="BK22" s="22"/>
      <c r="BS22" s="140" t="s">
        <v>249</v>
      </c>
      <c r="BT22" s="140">
        <v>0.0</v>
      </c>
      <c r="BU22" s="6">
        <f>VLOOKUP(BS22,'Item List'!$A$2:$D$300,2,FALSE)</f>
        <v>1</v>
      </c>
      <c r="BV22" s="6">
        <f>VLOOKUP(BS22,'Item List'!$A$2:$D$300,3,FALSE)</f>
        <v>3</v>
      </c>
      <c r="BW22" s="6">
        <f>VLOOKUP(BS22,'Item List'!$A$2:$D$300,4,FALSE)</f>
        <v>2</v>
      </c>
      <c r="BY22" s="6" t="s">
        <v>696</v>
      </c>
      <c r="BZ22" s="6">
        <v>16.0</v>
      </c>
      <c r="CA22" s="6">
        <v>10.0</v>
      </c>
      <c r="CC22" s="6" t="s">
        <v>696</v>
      </c>
      <c r="CD22" s="6">
        <v>1600000.0</v>
      </c>
      <c r="CE22" s="6">
        <v>1000000.0</v>
      </c>
      <c r="CF22" s="102"/>
      <c r="CJ22" s="5"/>
    </row>
    <row r="23">
      <c r="B23" s="50"/>
      <c r="C23" s="51"/>
      <c r="D23" s="52"/>
      <c r="E23" s="52"/>
      <c r="F23" s="52"/>
      <c r="G23" s="43"/>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43"/>
      <c r="AH23" s="52"/>
      <c r="AI23" s="52"/>
      <c r="AJ23" s="52"/>
      <c r="AK23" s="52"/>
      <c r="AL23" s="52"/>
      <c r="AM23" s="52"/>
      <c r="AN23" s="52"/>
      <c r="AO23" s="52"/>
      <c r="AP23" s="52"/>
      <c r="AQ23" s="52"/>
      <c r="AR23" s="52"/>
      <c r="AS23" s="52"/>
      <c r="AT23" s="43"/>
      <c r="AU23" s="52"/>
      <c r="AV23" s="52"/>
      <c r="AW23" s="52"/>
      <c r="AX23" s="52"/>
      <c r="AY23" s="52"/>
      <c r="AZ23" s="52"/>
      <c r="BA23" s="52"/>
      <c r="BB23" s="52"/>
      <c r="BC23" s="52"/>
      <c r="BD23" s="52"/>
      <c r="BE23" s="52"/>
      <c r="BF23" s="52"/>
      <c r="BG23" s="52"/>
      <c r="BH23" s="52"/>
      <c r="BI23" s="53"/>
      <c r="BK23" s="22"/>
      <c r="BS23" s="6" t="s">
        <v>250</v>
      </c>
      <c r="BT23" s="140">
        <v>-250.0</v>
      </c>
      <c r="BU23" s="6">
        <f>VLOOKUP(BS23,'Item List'!$A$2:$D$300,2,FALSE)</f>
        <v>1</v>
      </c>
      <c r="BV23" s="6">
        <f>VLOOKUP(BS23,'Item List'!$A$2:$D$300,3,FALSE)</f>
        <v>3</v>
      </c>
      <c r="BW23" s="6">
        <f>VLOOKUP(BS23,'Item List'!$A$2:$D$300,4,FALSE)</f>
        <v>2</v>
      </c>
      <c r="BY23" s="140" t="s">
        <v>697</v>
      </c>
      <c r="BZ23" s="6">
        <v>20060.0</v>
      </c>
      <c r="CA23" s="140">
        <v>1405511.0</v>
      </c>
      <c r="CC23" s="140" t="s">
        <v>697</v>
      </c>
      <c r="CD23" s="6">
        <v>2440000.0</v>
      </c>
      <c r="CE23" s="140">
        <v>1405511.0</v>
      </c>
      <c r="CG23" s="98" t="s">
        <v>608</v>
      </c>
      <c r="CH23" s="98" t="s">
        <v>609</v>
      </c>
      <c r="CI23" s="98" t="s">
        <v>610</v>
      </c>
      <c r="CJ23" s="5"/>
    </row>
    <row r="24">
      <c r="B24" s="31" t="s">
        <v>700</v>
      </c>
      <c r="C24" s="54"/>
      <c r="D24" s="45"/>
      <c r="E24" s="45"/>
      <c r="F24" s="47"/>
      <c r="G24" s="35"/>
      <c r="H24" s="55" t="s">
        <v>349</v>
      </c>
      <c r="I24" s="38">
        <f>VLOOKUP(H24,'Machine List'!$A$1:$I$300,9,FALSE)</f>
        <v>4000</v>
      </c>
      <c r="J24" s="38">
        <f>IF(VLOOKUP(H24,'Machine List'!$A$1:$I$300,5,FALSE)="Multi",IF(VLOOKUP(H24,'Machine List'!$A$1:$I$300,6,FALSE)="Yes",AI24*3*10^AB24,AI24*(2*3)*10^(AB24-1)),0)</f>
        <v>600</v>
      </c>
      <c r="K24" s="38">
        <f>J24+IF(ISNUMBER(I24),I24,
  SWITCH(
      I24,
      "1T",1*10^AB24,
      "2T",2*10^AB24,
      "3T",3*10^AB24,
      "4T",4*10^AB24,
      "4000+500(7O-5)",4000+500*(7*I25-5),
      "13500 + 16C",13500+16*VLOOKUP(J26,'Machine Helper Sheet'!$G$1:$K$16,5,FALSE),
      1
  )
)</f>
        <v>4600</v>
      </c>
      <c r="L24" s="38">
        <f>IF(VLOOKUP(H24,'Machine List'!$A$1:$I$300,5,FALSE)="Multi",IF(VLOOKUP(H24,'Machine List'!$A$1:$I$300,6,FALSE)="Yes",AW24*3*10^AV24,AW24*(2*3)*10^(AV24-1)),0)</f>
        <v>2400000</v>
      </c>
      <c r="M24" s="38">
        <f>L24+IF(ISNUMBER(I24),I24,
  SWITCH(
      I24,
      "1T",1*10^AV24,
      "2T",2*10^AV24,
      "3T",3*10^AV24,
      "4T",4*10^AV24,
      "4000+500(7O-5)",4000+500*(7*I26-5),
      1
  )
)</f>
        <v>2404000</v>
      </c>
      <c r="N24" s="38" t="str">
        <f>VLOOKUP(H24,'Machine List'!$A$1:$I$300,8,FALSE)</f>
        <v>Tier</v>
      </c>
      <c r="O24" s="38">
        <f>IF(ISNUMBER(N24),N24,10^AB24)</f>
        <v>1000</v>
      </c>
      <c r="P24" s="38">
        <f>IF(ISNUMBER(N24),N24,10^AV24)</f>
        <v>1000000</v>
      </c>
      <c r="Q24" s="38">
        <f>VLOOKUP(H24,'Machine List'!$A$1:$B$138,2,FALSE)</f>
        <v>1</v>
      </c>
      <c r="R24" s="38" t="s">
        <v>594</v>
      </c>
      <c r="S24" s="45">
        <f>IF(ISNUMBER(Q24),Q24,
  SWITCH(
      Q24,
      "1",1,
      "2T",AB24*2,
      "4T",AB24*4,
      "6T",AB24*6,
      "8T",AB24*8,
      "10T",AB24*10,
      "12T",AB24*12,
      "14T",AB24*14,
      "16T",AB24*16,
      "24T",AB24*24,
      "2(T+1)",2*(AB24+1),
      "1T*C",AB24*J26,
      "2*P",L26*2,
      1
  )
)</f>
        <v>1</v>
      </c>
      <c r="T24" s="38" t="s">
        <v>277</v>
      </c>
      <c r="U24" s="38">
        <f>IF(OR(T24="No",T24=""),S24,T24)</f>
        <v>1</v>
      </c>
      <c r="V24" s="38">
        <f>IF(ISNUMBER(Q24),Q24,
  SWITCH(
      Q24,
      "1",1,
      "2T",AV24*2,
      "4T",AV24*4,
      "6T",AV24*6,
      "8T",AV24*8,
      "10T",AV24*10,
      "12T",AV24*12,
      "14T",AV24*14,
      "16T",AV24*16,
      "24T",AV24*24,
      "2(T+1)",2*(AV24+1),
      "1T*C",AV24*J26,
      "2*P",L26*2,
      1
  )
)</f>
        <v>1</v>
      </c>
      <c r="W24" s="38" t="str">
        <f>T24</f>
        <v>No</v>
      </c>
      <c r="X24" s="38">
        <f>IF(OR(W24="No",W24=""),V24,W24)</f>
        <v>1</v>
      </c>
      <c r="Y24" s="38">
        <f>VLOOKUP(H24,'Machine List'!$A$1:$C$138,3,FALSE)</f>
        <v>1</v>
      </c>
      <c r="Z24" s="38">
        <f>VLOOKUP(H24,'Machine List'!$A$1:$D$138,4,FALSE)</f>
        <v>1</v>
      </c>
      <c r="AA24" s="38" t="s">
        <v>397</v>
      </c>
      <c r="AB24" s="38">
        <f>VLOOKUP(AA24,'Item Helper Sheet'!$A$2:$B$16,2,FALSE)</f>
        <v>3</v>
      </c>
      <c r="AC24" s="38">
        <v>384.0</v>
      </c>
      <c r="AD24" s="38">
        <f>16*20</f>
        <v>320</v>
      </c>
      <c r="AE24" s="38">
        <f>AD24*I26</f>
        <v>14400</v>
      </c>
      <c r="AF24" s="38">
        <f>AC24*AE24</f>
        <v>5529600</v>
      </c>
      <c r="AG24" s="75"/>
      <c r="AH24" s="38" t="str">
        <f>AA24</f>
        <v>03 - HV</v>
      </c>
      <c r="AI24" s="38">
        <v>1.0</v>
      </c>
      <c r="AJ24" s="38">
        <v>1.0</v>
      </c>
      <c r="AK24" s="38">
        <f>AJ24*8*4^AB24</f>
        <v>512</v>
      </c>
      <c r="AL24" s="38">
        <f>MIN(ROUNDDOWN(AK24/AN24,0),U24)</f>
        <v>1</v>
      </c>
      <c r="AM24" s="38">
        <f>IF(OR(T24="No",T24=""),AI24*S24,AI24*T24)</f>
        <v>1</v>
      </c>
      <c r="AN24" s="38">
        <f>ROUNDUP(AC24*VLOOKUP(H24,'Machine List'!$A$2:$D$219,4,FALSE),0)</f>
        <v>384</v>
      </c>
      <c r="AO24" s="38">
        <f>AN24*AM24</f>
        <v>384</v>
      </c>
      <c r="AP24" s="38">
        <f>ROUNDUP(AD24*I26,0)</f>
        <v>14400</v>
      </c>
      <c r="AQ24" s="38">
        <f>IF(ISNUMBER(Y24),ROUNDUP(AP24/Y24,0),
  SWITCH(
      Y24,
      "1+0.5C",ROUNDUP(AP24/(1+0.5*VLOOKUP(J26,#REF!,2,FALSE)),0),
      ROUNDUP(AP24/1,0)
  )
)</f>
        <v>14400</v>
      </c>
      <c r="AR24" s="38">
        <f>ROUNDUP(AQ24/AM24,0)</f>
        <v>14400</v>
      </c>
      <c r="AS24" s="38">
        <f>AO24*AR24</f>
        <v>5529600</v>
      </c>
      <c r="AT24" s="75"/>
      <c r="AU24" s="38" t="s">
        <v>408</v>
      </c>
      <c r="AV24" s="38">
        <f>VLOOKUP(AU24,'Item Helper Sheet'!$A$2:$B$16,2,FALSE)</f>
        <v>6</v>
      </c>
      <c r="AW24" s="38">
        <v>4.0</v>
      </c>
      <c r="AX24" s="38">
        <v>1.0</v>
      </c>
      <c r="AY24" s="38">
        <f>AX24*8*4^AV24</f>
        <v>32768</v>
      </c>
      <c r="AZ24" s="38">
        <f>MIN(ROUNDDOWN(AY24/AN24,0),X24)</f>
        <v>1</v>
      </c>
      <c r="BA24" s="38">
        <f>AZ24*AW24</f>
        <v>4</v>
      </c>
      <c r="BB24" s="38">
        <f>AN24</f>
        <v>384</v>
      </c>
      <c r="BC24" s="38">
        <f>MIN(AV24-AB24,IF(AY24&gt;=BB25*4,
IF(AY24&gt;=BB25*4^2,
IF(AY24&gt;=BB25*4^3,
IF(AY24&gt;=BB25*4^4,
IF(AY24&gt;=BB25*4^5,
IF(AY24&gt;=BB25*4^6,
IF(AY24&gt;=BB25*4^7,
IF(AY24&gt;=BB25*4^8,
IF(AY24&gt;=BB25*4^9,
IF(AY24&gt;=BB25*4^10,
9),
8),
7),
6),
5),
4),
3),
2),
1),
0))</f>
        <v>3</v>
      </c>
      <c r="BD24" s="38">
        <f>BB24*AZ24*4^BC24</f>
        <v>24576</v>
      </c>
      <c r="BE24" s="38">
        <f>BD24*AW24</f>
        <v>98304</v>
      </c>
      <c r="BF24" s="45">
        <f>ROUNDUP(IF(R24="Yes",AP24/(2^((BC24)*2)),AP24/(2^(BC24))),0)</f>
        <v>225</v>
      </c>
      <c r="BG24" s="45">
        <f>IF(ISNUMBER(Y24),ROUNDUP(BF24/Y24,0),
  SWITCH(
      Y24,
      "1+0.5C",ROUNDUP(BF24/(1+0.5*VLOOKUP(J26,'Machine Helper Sheet'!$G$1:$K$16,2,FALSE)),0),
      ROUNDUP(BF24/1,0)
  )
)</f>
        <v>225</v>
      </c>
      <c r="BH24" s="45">
        <f>ROUNDUP(BG24/BA24,0)</f>
        <v>57</v>
      </c>
      <c r="BI24" s="46">
        <f>BH24*BE24</f>
        <v>5603328</v>
      </c>
      <c r="BK24" s="22"/>
      <c r="BY24" s="6" t="s">
        <v>698</v>
      </c>
      <c r="BZ24" s="6">
        <v>1000006.0</v>
      </c>
      <c r="CA24" s="6">
        <v>1405511.0</v>
      </c>
      <c r="CC24" s="6" t="s">
        <v>698</v>
      </c>
      <c r="CD24" s="6">
        <v>1600000.0</v>
      </c>
      <c r="CE24" s="6">
        <v>1405511.0</v>
      </c>
      <c r="CG24" s="5">
        <f>CH21*CI21*CJ21</f>
        <v>122400000</v>
      </c>
      <c r="CH24" s="5">
        <f>BO34</f>
        <v>12496128</v>
      </c>
      <c r="CI24" s="110">
        <f>1-(CH24/CG24)</f>
        <v>0.897907451</v>
      </c>
      <c r="CJ24" s="5"/>
    </row>
    <row r="25">
      <c r="B25" s="40"/>
      <c r="C25" s="41" t="s">
        <v>132</v>
      </c>
      <c r="D25" s="38">
        <f>1000*I26</f>
        <v>45000</v>
      </c>
      <c r="E25" s="38" t="s">
        <v>20</v>
      </c>
      <c r="F25" s="42">
        <f>1000*I26</f>
        <v>45000</v>
      </c>
      <c r="G25" s="43"/>
      <c r="H25" s="99" t="s">
        <v>584</v>
      </c>
      <c r="I25" s="45">
        <f t="array" ref="I25">match(TRUE,ISBLANK(F25:F37),0)-1</f>
        <v>1</v>
      </c>
      <c r="J25" s="100" t="s">
        <v>420</v>
      </c>
      <c r="K25" s="100" t="s">
        <v>585</v>
      </c>
      <c r="L25" s="38"/>
      <c r="M25" s="38"/>
      <c r="N25" s="38"/>
      <c r="O25" s="38"/>
      <c r="P25" s="38"/>
      <c r="Q25" s="38"/>
      <c r="R25" s="101"/>
      <c r="S25" s="101"/>
      <c r="T25" s="101"/>
      <c r="U25" s="45"/>
      <c r="V25" s="45"/>
      <c r="W25" s="45"/>
      <c r="X25" s="45"/>
      <c r="Y25" s="45"/>
      <c r="Z25" s="45"/>
      <c r="AA25" s="45"/>
      <c r="AB25" s="45"/>
      <c r="AC25" s="45"/>
      <c r="AD25" s="45"/>
      <c r="AE25" s="45"/>
      <c r="AF25" s="45"/>
      <c r="AG25" s="79"/>
      <c r="AH25" s="45"/>
      <c r="AI25" s="45"/>
      <c r="AJ25" s="45"/>
      <c r="AK25" s="45"/>
      <c r="AL25" s="45"/>
      <c r="AM25" s="45"/>
      <c r="AN25" s="45"/>
      <c r="AO25" s="45"/>
      <c r="AP25" s="45"/>
      <c r="AQ25" s="45"/>
      <c r="AR25" s="45"/>
      <c r="AS25" s="45"/>
      <c r="AT25" s="79"/>
      <c r="AU25" s="45"/>
      <c r="AV25" s="45"/>
      <c r="AW25" s="45"/>
      <c r="AX25" s="45"/>
      <c r="AY25" s="45"/>
      <c r="AZ25" s="45"/>
      <c r="BA25" s="45"/>
      <c r="BB25" s="45">
        <f>BB24*AZ24</f>
        <v>384</v>
      </c>
      <c r="BC25" s="45"/>
      <c r="BD25" s="45"/>
      <c r="BE25" s="45"/>
      <c r="BF25" s="45"/>
      <c r="BG25" s="45"/>
      <c r="BH25" s="45"/>
      <c r="BI25" s="46"/>
      <c r="BK25" s="22"/>
      <c r="BY25" s="6" t="s">
        <v>699</v>
      </c>
      <c r="BZ25" s="6">
        <v>1600.0</v>
      </c>
      <c r="CA25" s="6">
        <v>1405511.0</v>
      </c>
      <c r="CC25" s="6" t="s">
        <v>699</v>
      </c>
      <c r="CD25" s="6">
        <v>1600000.0</v>
      </c>
      <c r="CE25" s="6">
        <v>1405511.0</v>
      </c>
      <c r="CJ25" s="5"/>
    </row>
    <row r="26">
      <c r="B26" s="40"/>
      <c r="C26" s="41" t="s">
        <v>87</v>
      </c>
      <c r="D26" s="38">
        <f>3000*I26</f>
        <v>135000</v>
      </c>
      <c r="E26" s="38"/>
      <c r="F26" s="42"/>
      <c r="G26" s="43"/>
      <c r="H26" s="56" t="s">
        <v>502</v>
      </c>
      <c r="I26" s="57">
        <v>45.0</v>
      </c>
      <c r="J26" s="100" t="s">
        <v>424</v>
      </c>
      <c r="K26" s="100">
        <v>0.0</v>
      </c>
      <c r="L26" s="45"/>
      <c r="M26" s="45"/>
      <c r="N26" s="45"/>
      <c r="O26" s="45"/>
      <c r="P26" s="45"/>
      <c r="Q26" s="45"/>
      <c r="R26" s="45"/>
      <c r="S26" s="101"/>
      <c r="T26" s="101"/>
      <c r="U26" s="45"/>
      <c r="V26" s="45"/>
      <c r="W26" s="45"/>
      <c r="X26" s="45"/>
      <c r="Y26" s="45"/>
      <c r="Z26" s="45"/>
      <c r="AA26" s="45"/>
      <c r="AB26" s="45"/>
      <c r="AC26" s="45"/>
      <c r="AD26" s="45"/>
      <c r="AE26" s="45"/>
      <c r="AF26" s="45"/>
      <c r="AG26" s="79"/>
      <c r="AH26" s="45"/>
      <c r="AI26" s="45"/>
      <c r="AJ26" s="45"/>
      <c r="AK26" s="45"/>
      <c r="AL26" s="45"/>
      <c r="AM26" s="45"/>
      <c r="AN26" s="45"/>
      <c r="AO26" s="45"/>
      <c r="AP26" s="45"/>
      <c r="AQ26" s="45"/>
      <c r="AR26" s="45"/>
      <c r="AS26" s="45"/>
      <c r="AT26" s="79"/>
      <c r="AU26" s="45"/>
      <c r="AV26" s="45"/>
      <c r="AW26" s="45"/>
      <c r="AX26" s="45"/>
      <c r="AY26" s="45"/>
      <c r="AZ26" s="45"/>
      <c r="BA26" s="45"/>
      <c r="BB26" s="45"/>
      <c r="BC26" s="45"/>
      <c r="BD26" s="45"/>
      <c r="BE26" s="45"/>
      <c r="BF26" s="45"/>
      <c r="BG26" s="45"/>
      <c r="BH26" s="45"/>
      <c r="BI26" s="46"/>
      <c r="BK26" s="22"/>
      <c r="BM26" s="6" t="s">
        <v>457</v>
      </c>
      <c r="BN26" s="6" t="s">
        <v>467</v>
      </c>
      <c r="BO26" s="6" t="s">
        <v>471</v>
      </c>
      <c r="BP26" s="6" t="s">
        <v>457</v>
      </c>
      <c r="BQ26" s="6" t="s">
        <v>466</v>
      </c>
      <c r="BR26" s="6" t="s">
        <v>470</v>
      </c>
      <c r="BS26" s="6" t="s">
        <v>457</v>
      </c>
      <c r="BT26" s="6" t="s">
        <v>701</v>
      </c>
      <c r="BU26" s="6" t="s">
        <v>605</v>
      </c>
      <c r="BV26" s="6" t="s">
        <v>645</v>
      </c>
      <c r="BY26" s="6" t="s">
        <v>700</v>
      </c>
      <c r="BZ26" s="6">
        <v>4600.0</v>
      </c>
      <c r="CA26" s="6">
        <v>1000.0</v>
      </c>
      <c r="CC26" s="6" t="s">
        <v>700</v>
      </c>
      <c r="CD26" s="6">
        <v>9616000.0</v>
      </c>
      <c r="CE26" s="6">
        <v>1000000.0</v>
      </c>
      <c r="CG26" s="98" t="s">
        <v>612</v>
      </c>
      <c r="CH26" s="98" t="s">
        <v>613</v>
      </c>
      <c r="CI26" s="98" t="s">
        <v>614</v>
      </c>
    </row>
    <row r="27">
      <c r="B27" s="50"/>
      <c r="C27" s="51"/>
      <c r="D27" s="52"/>
      <c r="E27" s="52"/>
      <c r="F27" s="52"/>
      <c r="G27" s="43"/>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43"/>
      <c r="AH27" s="52"/>
      <c r="AI27" s="52"/>
      <c r="AJ27" s="52"/>
      <c r="AK27" s="52"/>
      <c r="AL27" s="52"/>
      <c r="AM27" s="52"/>
      <c r="AN27" s="52"/>
      <c r="AO27" s="52"/>
      <c r="AP27" s="52"/>
      <c r="AQ27" s="52"/>
      <c r="AR27" s="52"/>
      <c r="AS27" s="52"/>
      <c r="AT27" s="43"/>
      <c r="AU27" s="52"/>
      <c r="AV27" s="52"/>
      <c r="AW27" s="52"/>
      <c r="AX27" s="52"/>
      <c r="AY27" s="52"/>
      <c r="AZ27" s="52"/>
      <c r="BA27" s="52"/>
      <c r="BB27" s="52"/>
      <c r="BC27" s="52"/>
      <c r="BD27" s="52"/>
      <c r="BE27" s="52"/>
      <c r="BF27" s="52"/>
      <c r="BG27" s="52"/>
      <c r="BH27" s="52"/>
      <c r="BI27" s="53"/>
      <c r="BK27" s="22"/>
      <c r="BM27" s="6" t="s">
        <v>696</v>
      </c>
      <c r="BN27" s="6">
        <v>1200.0</v>
      </c>
      <c r="BO27" s="6">
        <v>1228800.0</v>
      </c>
      <c r="BP27" s="6" t="s">
        <v>696</v>
      </c>
      <c r="BQ27" s="6">
        <v>40.0</v>
      </c>
      <c r="BR27" s="6">
        <v>40.0</v>
      </c>
      <c r="BS27" s="6" t="s">
        <v>696</v>
      </c>
      <c r="BT27" s="6">
        <v>1.0</v>
      </c>
      <c r="BU27" s="6">
        <v>6.0</v>
      </c>
      <c r="BV27" s="6">
        <v>1.0</v>
      </c>
      <c r="BY27" s="6" t="s">
        <v>702</v>
      </c>
      <c r="BZ27" s="6">
        <v>4006.0</v>
      </c>
      <c r="CA27" s="6">
        <v>10.0</v>
      </c>
      <c r="CC27" s="6" t="s">
        <v>702</v>
      </c>
      <c r="CD27" s="6">
        <v>604000.0</v>
      </c>
      <c r="CE27" s="6">
        <v>1000000.0</v>
      </c>
      <c r="CG27" s="5">
        <f>CG24-CH24</f>
        <v>109903872</v>
      </c>
      <c r="CH27" s="5">
        <f>BR35</f>
        <v>59</v>
      </c>
      <c r="CI27" s="5">
        <f>CG27/CH27</f>
        <v>1862777.492</v>
      </c>
    </row>
    <row r="28">
      <c r="B28" s="31" t="s">
        <v>702</v>
      </c>
      <c r="C28" s="54"/>
      <c r="D28" s="45"/>
      <c r="E28" s="45"/>
      <c r="F28" s="47"/>
      <c r="G28" s="35"/>
      <c r="H28" s="55" t="s">
        <v>349</v>
      </c>
      <c r="I28" s="38">
        <f>VLOOKUP(H28,'Machine List'!$A$1:$I$300,9,FALSE)</f>
        <v>4000</v>
      </c>
      <c r="J28" s="38">
        <f>IF(VLOOKUP(H28,'Machine List'!$A$1:$I$300,5,FALSE)="Multi",IF(VLOOKUP(H28,'Machine List'!$A$1:$I$300,6,FALSE)="Yes",AI28*3*10^AB28,AI28*(2*3)*10^(AB28-1)),0)</f>
        <v>6</v>
      </c>
      <c r="K28" s="38">
        <f>J28+IF(ISNUMBER(I28),I28,
  SWITCH(
      I28,
      "1T",1*10^AB28,
      "2T",2*10^AB28,
      "3T",3*10^AB28,
      "4T",4*10^AB28,
      "4000+500(7O-5)",4000+500*(7*I29-5),
      "13500 + 16C",13500+16*VLOOKUP(J30,'Machine Helper Sheet'!$G$1:$K$16,5,FALSE),
      1
  )
)</f>
        <v>4006</v>
      </c>
      <c r="L28" s="38">
        <f>IF(VLOOKUP(H28,'Machine List'!$A$1:$I$300,5,FALSE)="Multi",IF(VLOOKUP(H28,'Machine List'!$A$1:$I$300,6,FALSE)="Yes",AW28*3*10^AV28,AW28*(2*3)*10^(AV28-1)),0)</f>
        <v>600000</v>
      </c>
      <c r="M28" s="38">
        <f>L28+IF(ISNUMBER(I28),I28,
  SWITCH(
      I28,
      "1T",1*10^AV28,
      "2T",2*10^AV28,
      "3T",3*10^AV28,
      "4T",4*10^AV28,
      "4000+500(7O-5)",4000+500*(7*I30-5),
      1
  )
)</f>
        <v>604000</v>
      </c>
      <c r="N28" s="38" t="str">
        <f>VLOOKUP(H28,'Machine List'!$A$1:$I$300,8,FALSE)</f>
        <v>Tier</v>
      </c>
      <c r="O28" s="38">
        <f>IF(ISNUMBER(N28),N28,10^AB28)</f>
        <v>10</v>
      </c>
      <c r="P28" s="38">
        <f>IF(ISNUMBER(N28),N28,10^AV28)</f>
        <v>1000000</v>
      </c>
      <c r="Q28" s="38">
        <f>VLOOKUP(H28,'Machine List'!$A$1:$B$138,2,FALSE)</f>
        <v>1</v>
      </c>
      <c r="R28" s="38" t="s">
        <v>594</v>
      </c>
      <c r="S28" s="45">
        <f>IF(ISNUMBER(Q28),Q28,
  SWITCH(
      Q28,
      "1",1,
      "2T",AB28*2,
      "4T",AB28*4,
      "6T",AB28*6,
      "8T",AB28*8,
      "10T",AB28*10,
      "12T",AB28*12,
      "14T",AB28*14,
      "16T",AB28*16,
      "24T",AB28*24,
      "2(T+1)",2*(AB28+1),
      "1T*C",AB28*J30,
      "2*P",L30*2,
      1
  )
)</f>
        <v>1</v>
      </c>
      <c r="T28" s="38" t="s">
        <v>277</v>
      </c>
      <c r="U28" s="38">
        <f>IF(OR(T28="No",T28=""),S28,T28)</f>
        <v>1</v>
      </c>
      <c r="V28" s="38">
        <f>IF(ISNUMBER(Q28),Q28,
  SWITCH(
      Q28,
      "1",1,
      "2T",AV28*2,
      "4T",AV28*4,
      "6T",AV28*6,
      "8T",AV28*8,
      "10T",AV28*10,
      "12T",AV28*12,
      "14T",AV28*14,
      "16T",AV28*16,
      "24T",AV28*24,
      "2(T+1)",2*(AV28+1),
      "1T*C",AV28*J30,
      "2*P",L30*2,
      1
  )
)</f>
        <v>1</v>
      </c>
      <c r="W28" s="38" t="str">
        <f>T28</f>
        <v>No</v>
      </c>
      <c r="X28" s="38">
        <f>IF(OR(W28="No",W28=""),V28,W28)</f>
        <v>1</v>
      </c>
      <c r="Y28" s="38">
        <f>VLOOKUP(H28,'Machine List'!$A$1:$C$138,3,FALSE)</f>
        <v>1</v>
      </c>
      <c r="Z28" s="38">
        <f>VLOOKUP(H28,'Machine List'!$A$1:$D$138,4,FALSE)</f>
        <v>1</v>
      </c>
      <c r="AA28" s="38" t="s">
        <v>390</v>
      </c>
      <c r="AB28" s="38">
        <f>VLOOKUP(AA28,'Item Helper Sheet'!$A$2:$B$16,2,FALSE)</f>
        <v>1</v>
      </c>
      <c r="AC28" s="38">
        <v>30.0</v>
      </c>
      <c r="AD28" s="38">
        <f>16*20</f>
        <v>320</v>
      </c>
      <c r="AE28" s="38">
        <f>AD28*I30</f>
        <v>14400</v>
      </c>
      <c r="AF28" s="38">
        <f>AC28*AE28</f>
        <v>432000</v>
      </c>
      <c r="AG28" s="75"/>
      <c r="AH28" s="38" t="str">
        <f>AA28</f>
        <v>01 - LV</v>
      </c>
      <c r="AI28" s="38">
        <v>1.0</v>
      </c>
      <c r="AJ28" s="38">
        <v>1.0</v>
      </c>
      <c r="AK28" s="38">
        <f>AJ28*8*4^AB28</f>
        <v>32</v>
      </c>
      <c r="AL28" s="38">
        <f>MIN(ROUNDDOWN(AK28/AN28,0),U28)</f>
        <v>1</v>
      </c>
      <c r="AM28" s="38">
        <f>IF(OR(T28="No",T28=""),AI28*S28,AI28*T28)</f>
        <v>1</v>
      </c>
      <c r="AN28" s="38">
        <f>ROUNDUP(AC28*VLOOKUP(H28,'Machine List'!$A$2:$D$219,4,FALSE),0)</f>
        <v>30</v>
      </c>
      <c r="AO28" s="38">
        <f>AN28*AM28</f>
        <v>30</v>
      </c>
      <c r="AP28" s="38">
        <f>ROUNDUP(AD28*I30,0)</f>
        <v>14400</v>
      </c>
      <c r="AQ28" s="38">
        <f>IF(ISNUMBER(Y28),ROUNDUP(AP28/Y28,0),
  SWITCH(
      Y28,
      "1+0.5C",ROUNDUP(AP28/(1+0.5*VLOOKUP(J30,#REF!,2,FALSE)),0),
      ROUNDUP(AP28/1,0)
  )
)</f>
        <v>14400</v>
      </c>
      <c r="AR28" s="38">
        <f>ROUNDUP(AQ28/AM28,0)</f>
        <v>14400</v>
      </c>
      <c r="AS28" s="38">
        <f>AO28*AR28</f>
        <v>432000</v>
      </c>
      <c r="AT28" s="75"/>
      <c r="AU28" s="38" t="s">
        <v>408</v>
      </c>
      <c r="AV28" s="38">
        <f>VLOOKUP(AU28,'Item Helper Sheet'!$A$2:$B$16,2,FALSE)</f>
        <v>6</v>
      </c>
      <c r="AW28" s="38">
        <v>1.0</v>
      </c>
      <c r="AX28" s="38">
        <v>1.0</v>
      </c>
      <c r="AY28" s="38">
        <f>AX28*8*4^AV28</f>
        <v>32768</v>
      </c>
      <c r="AZ28" s="38">
        <f>MIN(ROUNDDOWN(AY28/AN28,0),X28)</f>
        <v>1</v>
      </c>
      <c r="BA28" s="38">
        <f>AZ28*AW28</f>
        <v>1</v>
      </c>
      <c r="BB28" s="38">
        <f>AN28</f>
        <v>30</v>
      </c>
      <c r="BC28" s="38">
        <f>MIN(AV28-AB28,IF(AY28&gt;=BB29*4,
IF(AY28&gt;=BB29*4^2,
IF(AY28&gt;=BB29*4^3,
IF(AY28&gt;=BB29*4^4,
IF(AY28&gt;=BB29*4^5,
IF(AY28&gt;=BB29*4^6,
IF(AY28&gt;=BB29*4^7,
IF(AY28&gt;=BB29*4^8,
IF(AY28&gt;=BB29*4^9,
IF(AY28&gt;=BB29*4^10,
9),
8),
7),
6),
5),
4),
3),
2),
1),
0))</f>
        <v>5</v>
      </c>
      <c r="BD28" s="38">
        <f>BB28*AZ28*4^BC28</f>
        <v>30720</v>
      </c>
      <c r="BE28" s="38">
        <f>BD28*AW28</f>
        <v>30720</v>
      </c>
      <c r="BF28" s="45">
        <f>ROUNDUP(IF(R28="Yes",AP28/(2^((BC28)*2)),AP28/(2^(BC28))),0)</f>
        <v>15</v>
      </c>
      <c r="BG28" s="45">
        <f>IF(ISNUMBER(Y28),ROUNDUP(BF28/Y28,0),
  SWITCH(
      Y28,
      "1+0.5C",ROUNDUP(BF28/(1+0.5*VLOOKUP(J30,'Machine Helper Sheet'!$G$1:$K$16,2,FALSE)),0),
      ROUNDUP(BF28/1,0)
  )
)</f>
        <v>15</v>
      </c>
      <c r="BH28" s="45">
        <f>ROUNDUP(BG28/BA28,0)</f>
        <v>15</v>
      </c>
      <c r="BI28" s="46">
        <f>BH28*BE28</f>
        <v>460800</v>
      </c>
      <c r="BK28" s="22"/>
      <c r="BM28" s="140" t="s">
        <v>697</v>
      </c>
      <c r="BN28" s="140">
        <v>798720.0</v>
      </c>
      <c r="BO28" s="140">
        <v>2433024.0</v>
      </c>
      <c r="BP28" s="140" t="s">
        <v>697</v>
      </c>
      <c r="BQ28" s="140">
        <v>347.0</v>
      </c>
      <c r="BR28" s="140">
        <v>44.0</v>
      </c>
      <c r="BS28" s="140" t="s">
        <v>697</v>
      </c>
      <c r="BT28" s="140">
        <v>2.0</v>
      </c>
      <c r="BU28" s="140">
        <v>6.0</v>
      </c>
      <c r="BV28" s="140">
        <v>48.0</v>
      </c>
      <c r="BY28" s="6" t="s">
        <v>703</v>
      </c>
      <c r="BZ28" s="102">
        <v>1600.0</v>
      </c>
      <c r="CA28" s="6">
        <v>1000.0</v>
      </c>
      <c r="CC28" s="6" t="s">
        <v>703</v>
      </c>
      <c r="CD28" s="102">
        <v>4400000.0</v>
      </c>
      <c r="CE28" s="6">
        <v>1000000.0</v>
      </c>
    </row>
    <row r="29">
      <c r="B29" s="40"/>
      <c r="C29" s="41" t="s">
        <v>20</v>
      </c>
      <c r="D29" s="38">
        <f>1000*I30</f>
        <v>45000</v>
      </c>
      <c r="E29" s="38" t="s">
        <v>130</v>
      </c>
      <c r="F29" s="42">
        <f>1000*I30</f>
        <v>45000</v>
      </c>
      <c r="G29" s="43"/>
      <c r="H29" s="99" t="s">
        <v>584</v>
      </c>
      <c r="I29" s="45">
        <f t="array" ref="I29">match(TRUE,ISBLANK(F29:F41),0)-1</f>
        <v>2</v>
      </c>
      <c r="J29" s="100" t="s">
        <v>420</v>
      </c>
      <c r="K29" s="100" t="s">
        <v>585</v>
      </c>
      <c r="L29" s="38"/>
      <c r="M29" s="38"/>
      <c r="N29" s="38"/>
      <c r="O29" s="38"/>
      <c r="P29" s="38"/>
      <c r="Q29" s="38"/>
      <c r="R29" s="101"/>
      <c r="S29" s="101"/>
      <c r="T29" s="101"/>
      <c r="U29" s="45"/>
      <c r="V29" s="45"/>
      <c r="W29" s="45"/>
      <c r="X29" s="45"/>
      <c r="Y29" s="45"/>
      <c r="Z29" s="45"/>
      <c r="AA29" s="45"/>
      <c r="AB29" s="45"/>
      <c r="AC29" s="45"/>
      <c r="AD29" s="45"/>
      <c r="AE29" s="45"/>
      <c r="AF29" s="45"/>
      <c r="AG29" s="79"/>
      <c r="AH29" s="45"/>
      <c r="AI29" s="45"/>
      <c r="AJ29" s="45"/>
      <c r="AK29" s="45"/>
      <c r="AL29" s="45"/>
      <c r="AM29" s="45"/>
      <c r="AN29" s="45"/>
      <c r="AO29" s="45"/>
      <c r="AP29" s="45"/>
      <c r="AQ29" s="45"/>
      <c r="AR29" s="45"/>
      <c r="AS29" s="45"/>
      <c r="AT29" s="79"/>
      <c r="AU29" s="45"/>
      <c r="AV29" s="45"/>
      <c r="AW29" s="45"/>
      <c r="AX29" s="45"/>
      <c r="AY29" s="45"/>
      <c r="AZ29" s="45"/>
      <c r="BA29" s="45"/>
      <c r="BB29" s="45">
        <f>BB28*AZ28</f>
        <v>30</v>
      </c>
      <c r="BC29" s="45"/>
      <c r="BD29" s="45"/>
      <c r="BE29" s="45"/>
      <c r="BF29" s="45"/>
      <c r="BG29" s="45"/>
      <c r="BH29" s="45"/>
      <c r="BI29" s="46"/>
      <c r="BK29" s="22"/>
      <c r="BM29" s="6" t="s">
        <v>698</v>
      </c>
      <c r="BN29" s="6">
        <v>312000.0</v>
      </c>
      <c r="BO29" s="6">
        <v>589056.0</v>
      </c>
      <c r="BP29" s="6" t="s">
        <v>698</v>
      </c>
      <c r="BQ29" s="6">
        <v>2786.0</v>
      </c>
      <c r="BR29" s="6">
        <v>59.0</v>
      </c>
      <c r="BS29" s="6" t="s">
        <v>698</v>
      </c>
      <c r="BT29" s="6">
        <v>1.0</v>
      </c>
      <c r="BU29" s="6">
        <v>6.0</v>
      </c>
      <c r="BV29" s="6">
        <v>12.0</v>
      </c>
    </row>
    <row r="30">
      <c r="B30" s="40"/>
      <c r="C30" s="41" t="s">
        <v>142</v>
      </c>
      <c r="D30" s="38">
        <f>4000*I30</f>
        <v>180000</v>
      </c>
      <c r="E30" s="38" t="s">
        <v>248</v>
      </c>
      <c r="F30" s="42">
        <f>1000*I30</f>
        <v>45000</v>
      </c>
      <c r="G30" s="43"/>
      <c r="H30" s="56" t="s">
        <v>502</v>
      </c>
      <c r="I30" s="57">
        <v>45.0</v>
      </c>
      <c r="J30" s="100" t="s">
        <v>424</v>
      </c>
      <c r="K30" s="100">
        <v>0.0</v>
      </c>
      <c r="L30" s="45"/>
      <c r="M30" s="45"/>
      <c r="N30" s="45"/>
      <c r="O30" s="45"/>
      <c r="P30" s="45"/>
      <c r="Q30" s="45"/>
      <c r="R30" s="45"/>
      <c r="S30" s="101"/>
      <c r="T30" s="101"/>
      <c r="U30" s="45"/>
      <c r="V30" s="45"/>
      <c r="W30" s="45"/>
      <c r="X30" s="45"/>
      <c r="Y30" s="45"/>
      <c r="Z30" s="45"/>
      <c r="AA30" s="45"/>
      <c r="AB30" s="45"/>
      <c r="AC30" s="45"/>
      <c r="AD30" s="45"/>
      <c r="AE30" s="45"/>
      <c r="AF30" s="45"/>
      <c r="AG30" s="79"/>
      <c r="AH30" s="45"/>
      <c r="AI30" s="45"/>
      <c r="AJ30" s="45"/>
      <c r="AK30" s="45"/>
      <c r="AL30" s="45"/>
      <c r="AM30" s="45"/>
      <c r="AN30" s="45"/>
      <c r="AO30" s="45"/>
      <c r="AP30" s="45"/>
      <c r="AQ30" s="45"/>
      <c r="AR30" s="45"/>
      <c r="AS30" s="45"/>
      <c r="AT30" s="79"/>
      <c r="AU30" s="45"/>
      <c r="AV30" s="45"/>
      <c r="AW30" s="45"/>
      <c r="AX30" s="45"/>
      <c r="AY30" s="45"/>
      <c r="AZ30" s="45"/>
      <c r="BA30" s="45"/>
      <c r="BB30" s="45"/>
      <c r="BC30" s="45"/>
      <c r="BD30" s="45"/>
      <c r="BE30" s="45"/>
      <c r="BF30" s="45"/>
      <c r="BG30" s="45"/>
      <c r="BH30" s="45"/>
      <c r="BI30" s="46"/>
      <c r="BK30" s="22"/>
      <c r="BM30" s="6" t="s">
        <v>699</v>
      </c>
      <c r="BN30" s="6">
        <v>1167360.0</v>
      </c>
      <c r="BO30" s="6">
        <v>675840.0</v>
      </c>
      <c r="BP30" s="6" t="s">
        <v>699</v>
      </c>
      <c r="BQ30" s="6">
        <v>652.0</v>
      </c>
      <c r="BR30" s="6">
        <v>55.0</v>
      </c>
      <c r="BS30" s="6" t="s">
        <v>699</v>
      </c>
      <c r="BT30" s="6">
        <v>3.0</v>
      </c>
      <c r="BU30" s="6">
        <v>6.0</v>
      </c>
      <c r="BV30" s="6">
        <v>12.0</v>
      </c>
    </row>
    <row r="31">
      <c r="B31" s="50"/>
      <c r="C31" s="51"/>
      <c r="D31" s="52"/>
      <c r="E31" s="52"/>
      <c r="F31" s="52"/>
      <c r="G31" s="43"/>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43"/>
      <c r="AH31" s="52"/>
      <c r="AI31" s="52"/>
      <c r="AJ31" s="52"/>
      <c r="AK31" s="52"/>
      <c r="AL31" s="52"/>
      <c r="AM31" s="52"/>
      <c r="AN31" s="52"/>
      <c r="AO31" s="52"/>
      <c r="AP31" s="52"/>
      <c r="AQ31" s="52"/>
      <c r="AR31" s="52"/>
      <c r="AS31" s="52"/>
      <c r="AT31" s="43"/>
      <c r="AU31" s="52"/>
      <c r="AV31" s="52"/>
      <c r="AW31" s="52"/>
      <c r="AX31" s="52"/>
      <c r="AY31" s="52"/>
      <c r="AZ31" s="52"/>
      <c r="BA31" s="52"/>
      <c r="BB31" s="52"/>
      <c r="BC31" s="52"/>
      <c r="BD31" s="52"/>
      <c r="BE31" s="52"/>
      <c r="BF31" s="52"/>
      <c r="BG31" s="52"/>
      <c r="BH31" s="52"/>
      <c r="BI31" s="53"/>
      <c r="BK31" s="22"/>
      <c r="BM31" s="6" t="s">
        <v>700</v>
      </c>
      <c r="BN31" s="6">
        <v>5529600.0</v>
      </c>
      <c r="BO31" s="6">
        <v>5603328.0</v>
      </c>
      <c r="BP31" s="6" t="s">
        <v>700</v>
      </c>
      <c r="BQ31" s="6">
        <v>14400.0</v>
      </c>
      <c r="BR31" s="6">
        <v>57.0</v>
      </c>
      <c r="BS31" s="6" t="s">
        <v>700</v>
      </c>
      <c r="BT31" s="6">
        <v>3.0</v>
      </c>
      <c r="BU31" s="6">
        <v>6.0</v>
      </c>
      <c r="BV31" s="6">
        <v>4.0</v>
      </c>
    </row>
    <row r="32">
      <c r="B32" s="31" t="s">
        <v>703</v>
      </c>
      <c r="C32" s="54"/>
      <c r="D32" s="45"/>
      <c r="E32" s="45"/>
      <c r="F32" s="47"/>
      <c r="G32" s="35"/>
      <c r="H32" s="55" t="s">
        <v>376</v>
      </c>
      <c r="I32" s="38" t="str">
        <f>VLOOKUP(H32,'Machine List'!$A$1:$I$300,9,FALSE)</f>
        <v>1T</v>
      </c>
      <c r="J32" s="38">
        <f>IF(VLOOKUP(H32,'Machine List'!$A$1:$I$300,5,FALSE)="Multi",IF(VLOOKUP(H32,'Machine List'!$A$1:$I$300,6,FALSE)="Yes",AI32*3*10^AB32,AI32*(2*3)*10^(AB32-1)),0)</f>
        <v>600</v>
      </c>
      <c r="K32" s="38">
        <f>J32+IF(ISNUMBER(I32),I32,
  SWITCH(
      I32,
      "1T",1*10^AB32,
      "2T",2*10^AB32,
      "3T",3*10^AB32,
      "4T",4*10^AB32,
      "4000+500(7O-5)",4000+500*(7*I33-5),
      "13500 + 16C",13500+16*VLOOKUP(J34,'Machine Helper Sheet'!$G$1:$K$16,5,FALSE),
      1
  )
)</f>
        <v>1600</v>
      </c>
      <c r="L32" s="38">
        <f>IF(VLOOKUP(H32,'Machine List'!$A$1:$I$300,5,FALSE)="Multi",IF(VLOOKUP(H32,'Machine List'!$A$1:$I$300,6,FALSE)="Yes",AW32*3*10^AV32,AW32*(2*3)*10^(AV32-1)),0)</f>
        <v>1200000</v>
      </c>
      <c r="M32" s="38">
        <f>L32+IF(ISNUMBER(I32),I32,
  SWITCH(
      I32,
      "1T",1*10^AV32,
      "2T",2*10^AV32,
      "3T",3*10^AV32,
      "4T",4*10^AV32,
      "4000+500(7O-5)",4000+500*(7*I33-5),
      1
  )
)</f>
        <v>2200000</v>
      </c>
      <c r="N32" s="38" t="str">
        <f>VLOOKUP(H32,'Machine List'!$A$1:$I$300,8,FALSE)</f>
        <v>Tier</v>
      </c>
      <c r="O32" s="38">
        <f>IF(ISNUMBER(N32),N32,10^AB32)</f>
        <v>1000</v>
      </c>
      <c r="P32" s="38">
        <f>IF(ISNUMBER(N32),N32,10^AV32)</f>
        <v>1000000</v>
      </c>
      <c r="Q32" s="38" t="str">
        <f>VLOOKUP(H32,'Machine List'!$A$1:$B$138,2,FALSE)</f>
        <v>2*P</v>
      </c>
      <c r="R32" s="38" t="s">
        <v>277</v>
      </c>
      <c r="S32" s="45">
        <f>IF(ISNUMBER(Q32),Q32,
  SWITCH(
      Q32,
      "1",1,
      "2T",AB32*2,
      "4T",AB32*4,
      "6T",AB32*6,
      "8T",AB32*8,
      "10T",AB32*10,
      "12T",AB32*12,
      "14T",AB32*14,
      "16T",AB32*16,
      "24T",AB32*24,
      "2(T+1)",2*(AB32+1),
      "1T*C",AB32*J34,
      "2*P",L34*2,
      1
  )
)</f>
        <v>8</v>
      </c>
      <c r="T32" s="38" t="s">
        <v>277</v>
      </c>
      <c r="U32" s="38">
        <f>IF(OR(T32="No",T32=""),S32,T32)</f>
        <v>8</v>
      </c>
      <c r="V32" s="38">
        <f>IF(ISNUMBER(Q32),Q32,
  SWITCH(
      Q32,
      "1",1,
      "2T",AV32*2,
      "4T",AV32*4,
      "6T",AV32*6,
      "8T",AV32*8,
      "10T",AV32*10,
      "12T",AV32*12,
      "14T",AV32*14,
      "16T",AV32*16,
      "24T",AV32*24,
      "2(T+1)",2*(AV32+1),
      "1T*C",AV32*J34,
      "2*P",L34*2,
      1
  )
)</f>
        <v>8</v>
      </c>
      <c r="W32" s="38" t="str">
        <f>T32</f>
        <v>No</v>
      </c>
      <c r="X32" s="38">
        <f>IF(OR(W32="No",W32=""),V32,W32)</f>
        <v>8</v>
      </c>
      <c r="Y32" s="38" t="str">
        <f>VLOOKUP(H32,'Machine List'!$A$1:$C$138,3,FALSE)</f>
        <v>1+0.5C</v>
      </c>
      <c r="Z32" s="38">
        <f>VLOOKUP(H32,'Machine List'!$A$1:$D$138,4,FALSE)</f>
        <v>1</v>
      </c>
      <c r="AA32" s="38" t="s">
        <v>397</v>
      </c>
      <c r="AB32" s="38">
        <f>VLOOKUP(AA32,'Item Helper Sheet'!$A$2:$B$16,2,FALSE)</f>
        <v>3</v>
      </c>
      <c r="AC32" s="38">
        <v>480.0</v>
      </c>
      <c r="AD32" s="38">
        <f>30*20</f>
        <v>600</v>
      </c>
      <c r="AE32" s="38">
        <f>AD32*I34</f>
        <v>5400</v>
      </c>
      <c r="AF32" s="38">
        <f>AC32*AE32</f>
        <v>2592000</v>
      </c>
      <c r="AG32" s="75"/>
      <c r="AH32" s="38" t="str">
        <f>AA32</f>
        <v>03 - HV</v>
      </c>
      <c r="AI32" s="38">
        <v>1.0</v>
      </c>
      <c r="AJ32" s="38">
        <v>1.0</v>
      </c>
      <c r="AK32" s="38">
        <f>AJ32*8*4^AB32</f>
        <v>512</v>
      </c>
      <c r="AL32" s="38">
        <f>MIN(ROUNDDOWN(AK32/AN32,0),U32)</f>
        <v>1</v>
      </c>
      <c r="AM32" s="38">
        <f>IF(OR(T32="No",T32=""),AI32*S32,AI32*T32)</f>
        <v>8</v>
      </c>
      <c r="AN32" s="38">
        <f>ROUNDUP(AC32*VLOOKUP(H32,'Machine List'!$A$2:$D$219,4,FALSE),0)</f>
        <v>480</v>
      </c>
      <c r="AO32" s="38">
        <f>AN32*AM32</f>
        <v>3840</v>
      </c>
      <c r="AP32" s="38">
        <f>ROUNDUP(AD32*I34,0)</f>
        <v>5400</v>
      </c>
      <c r="AQ32" s="38">
        <f>IF(ISNUMBER(Y32),ROUNDUP(AP32/Y32,0),
  SWITCH(
      Y32,
      "1+0.5C",ROUNDUP(AP32/(1+0.5*VLOOKUP(J34,'Machine Helper Sheet'!$G$1:$K$16,2,FALSE)),0),
      ROUNDUP(AP32/1,0)
  )
)</f>
        <v>1543</v>
      </c>
      <c r="AR32" s="38">
        <f>ROUNDUP(AQ32/AM32,0)</f>
        <v>193</v>
      </c>
      <c r="AS32" s="38">
        <f>AO32*AR32</f>
        <v>741120</v>
      </c>
      <c r="AT32" s="75"/>
      <c r="AU32" s="38" t="s">
        <v>408</v>
      </c>
      <c r="AV32" s="38">
        <f>VLOOKUP(AU32,'Item Helper Sheet'!$A$2:$B$16,2,FALSE)</f>
        <v>6</v>
      </c>
      <c r="AW32" s="38">
        <v>2.0</v>
      </c>
      <c r="AX32" s="38">
        <v>1.0</v>
      </c>
      <c r="AY32" s="38">
        <f>AX32*8*4^AV32</f>
        <v>32768</v>
      </c>
      <c r="AZ32" s="38">
        <f>MIN(ROUNDDOWN(AY32/AN32,0),X32)</f>
        <v>8</v>
      </c>
      <c r="BA32" s="38">
        <f>AZ32*AW32</f>
        <v>16</v>
      </c>
      <c r="BB32" s="38">
        <f>AN32</f>
        <v>480</v>
      </c>
      <c r="BC32" s="38">
        <f>MIN(AV32-AB32,IF(AY32&gt;=BB33*4,
IF(AY32&gt;=BB33*4^2,
IF(AY32&gt;=BB33*4^3,
IF(AY32&gt;=BB33*4^4,
IF(AY32&gt;=BB33*4^5,
IF(AY32&gt;=BB33*4^6,
IF(AY32&gt;=BB33*4^7,
IF(AY32&gt;=BB33*4^8,
IF(AY32&gt;=BB33*4^9,
IF(AY32&gt;=BB33*4^10,
9),
8),
7),
6),
5),
4),
3),
2),
1),
0))</f>
        <v>1</v>
      </c>
      <c r="BD32" s="38">
        <f>BB32*AZ32*4^BC32</f>
        <v>15360</v>
      </c>
      <c r="BE32" s="38">
        <f>BD32*AW32</f>
        <v>30720</v>
      </c>
      <c r="BF32" s="45">
        <f>ROUNDUP(IF(R32="Yes",AP32/(2^((BC32)*2)),AP32/(2^(BC32))),0)</f>
        <v>2700</v>
      </c>
      <c r="BG32" s="45">
        <f>IF(ISNUMBER(Y32),ROUNDUP(BF32/Y32,0),
  SWITCH(
      Y32,
      "1+0.5C",ROUNDUP(BF32/(1+0.5*VLOOKUP(J34,'Machine Helper Sheet'!$G$1:$K$16,2,FALSE)),0),
      ROUNDUP(BF32/1,0)
  )
)</f>
        <v>772</v>
      </c>
      <c r="BH32" s="45">
        <f>ROUNDUP(BG32/BA32,0)</f>
        <v>49</v>
      </c>
      <c r="BI32" s="46">
        <f>BH32*BE32</f>
        <v>1505280</v>
      </c>
      <c r="BK32" s="22"/>
      <c r="BM32" s="6" t="s">
        <v>702</v>
      </c>
      <c r="BN32" s="6">
        <v>432000.0</v>
      </c>
      <c r="BO32" s="6">
        <v>460800.0</v>
      </c>
      <c r="BP32" s="6" t="s">
        <v>702</v>
      </c>
      <c r="BQ32" s="6">
        <v>14400.0</v>
      </c>
      <c r="BR32" s="6">
        <v>15.0</v>
      </c>
      <c r="BS32" s="6" t="s">
        <v>702</v>
      </c>
      <c r="BT32" s="6">
        <v>1.0</v>
      </c>
      <c r="BU32" s="6">
        <v>6.0</v>
      </c>
      <c r="BV32" s="6">
        <v>1.0</v>
      </c>
    </row>
    <row r="33">
      <c r="B33" s="40"/>
      <c r="C33" s="41" t="s">
        <v>30</v>
      </c>
      <c r="D33" s="38">
        <f>5000*I34</f>
        <v>45000</v>
      </c>
      <c r="E33" s="38" t="s">
        <v>131</v>
      </c>
      <c r="F33" s="42">
        <f>5000*I34</f>
        <v>45000</v>
      </c>
      <c r="G33" s="43"/>
      <c r="H33" s="99" t="s">
        <v>584</v>
      </c>
      <c r="I33" s="45">
        <f t="array" ref="I33">match(TRUE,ISBLANK(F33:F45),0)-1</f>
        <v>1</v>
      </c>
      <c r="J33" s="100" t="s">
        <v>420</v>
      </c>
      <c r="K33" s="100" t="s">
        <v>585</v>
      </c>
      <c r="L33" s="100" t="s">
        <v>704</v>
      </c>
      <c r="M33" s="38"/>
      <c r="N33" s="38"/>
      <c r="O33" s="38"/>
      <c r="P33" s="38"/>
      <c r="Q33" s="38"/>
      <c r="R33" s="101"/>
      <c r="S33" s="101"/>
      <c r="T33" s="101"/>
      <c r="U33" s="45"/>
      <c r="V33" s="45"/>
      <c r="W33" s="45"/>
      <c r="X33" s="45"/>
      <c r="Y33" s="45"/>
      <c r="Z33" s="45"/>
      <c r="AA33" s="45"/>
      <c r="AB33" s="45"/>
      <c r="AC33" s="45"/>
      <c r="AD33" s="45"/>
      <c r="AE33" s="45"/>
      <c r="AF33" s="45"/>
      <c r="AG33" s="79"/>
      <c r="AH33" s="45"/>
      <c r="AI33" s="45"/>
      <c r="AJ33" s="45"/>
      <c r="AK33" s="45"/>
      <c r="AL33" s="45"/>
      <c r="AM33" s="45"/>
      <c r="AN33" s="45"/>
      <c r="AO33" s="45"/>
      <c r="AP33" s="45"/>
      <c r="AQ33" s="45"/>
      <c r="AR33" s="45"/>
      <c r="AS33" s="45"/>
      <c r="AT33" s="79"/>
      <c r="AU33" s="45"/>
      <c r="AV33" s="45"/>
      <c r="AW33" s="45"/>
      <c r="AX33" s="45"/>
      <c r="AY33" s="45"/>
      <c r="AZ33" s="45"/>
      <c r="BA33" s="45"/>
      <c r="BB33" s="45">
        <f>BB32*AZ32</f>
        <v>3840</v>
      </c>
      <c r="BC33" s="45"/>
      <c r="BD33" s="45"/>
      <c r="BE33" s="45"/>
      <c r="BF33" s="45"/>
      <c r="BG33" s="45"/>
      <c r="BH33" s="45"/>
      <c r="BI33" s="46"/>
      <c r="BK33" s="22"/>
      <c r="BM33" s="6" t="s">
        <v>703</v>
      </c>
      <c r="BN33" s="6">
        <v>2592000.0</v>
      </c>
      <c r="BO33" s="6">
        <v>1505280.0</v>
      </c>
      <c r="BP33" s="6" t="s">
        <v>703</v>
      </c>
      <c r="BQ33" s="6">
        <v>193.0</v>
      </c>
      <c r="BR33" s="6">
        <v>49.0</v>
      </c>
      <c r="BS33" s="6" t="s">
        <v>703</v>
      </c>
      <c r="BT33" s="6">
        <v>3.0</v>
      </c>
      <c r="BU33" s="6">
        <v>6.0</v>
      </c>
      <c r="BV33" s="6">
        <v>16.0</v>
      </c>
    </row>
    <row r="34">
      <c r="B34" s="40"/>
      <c r="C34" s="41" t="s">
        <v>227</v>
      </c>
      <c r="D34" s="38">
        <f>1000*I34</f>
        <v>9000</v>
      </c>
      <c r="E34" s="38"/>
      <c r="F34" s="42"/>
      <c r="G34" s="43"/>
      <c r="H34" s="56" t="s">
        <v>502</v>
      </c>
      <c r="I34" s="49">
        <v>9.0</v>
      </c>
      <c r="J34" s="100" t="s">
        <v>436</v>
      </c>
      <c r="K34" s="100">
        <v>0.0</v>
      </c>
      <c r="L34" s="100">
        <v>4.0</v>
      </c>
      <c r="M34" s="45"/>
      <c r="N34" s="45"/>
      <c r="O34" s="45"/>
      <c r="P34" s="45"/>
      <c r="Q34" s="45"/>
      <c r="R34" s="45"/>
      <c r="S34" s="101"/>
      <c r="T34" s="101"/>
      <c r="U34" s="45"/>
      <c r="V34" s="45"/>
      <c r="W34" s="45"/>
      <c r="X34" s="45"/>
      <c r="Y34" s="45"/>
      <c r="Z34" s="45"/>
      <c r="AA34" s="45"/>
      <c r="AB34" s="45"/>
      <c r="AC34" s="45"/>
      <c r="AD34" s="45"/>
      <c r="AE34" s="45"/>
      <c r="AF34" s="45"/>
      <c r="AG34" s="79"/>
      <c r="AH34" s="45"/>
      <c r="AI34" s="45"/>
      <c r="AJ34" s="45"/>
      <c r="AK34" s="45"/>
      <c r="AL34" s="45"/>
      <c r="AM34" s="45"/>
      <c r="AN34" s="45"/>
      <c r="AO34" s="45"/>
      <c r="AP34" s="45"/>
      <c r="AQ34" s="45"/>
      <c r="AR34" s="45"/>
      <c r="AS34" s="45"/>
      <c r="AT34" s="79"/>
      <c r="AU34" s="45"/>
      <c r="AV34" s="45"/>
      <c r="AW34" s="45"/>
      <c r="AX34" s="45"/>
      <c r="AY34" s="45"/>
      <c r="AZ34" s="45"/>
      <c r="BA34" s="45"/>
      <c r="BB34" s="45"/>
      <c r="BC34" s="45"/>
      <c r="BD34" s="45"/>
      <c r="BE34" s="45"/>
      <c r="BF34" s="45"/>
      <c r="BG34" s="45"/>
      <c r="BH34" s="45"/>
      <c r="BI34" s="46"/>
      <c r="BK34" s="22"/>
      <c r="BM34" s="6" t="s">
        <v>487</v>
      </c>
      <c r="BN34" s="6">
        <v>1.083288E7</v>
      </c>
      <c r="BO34" s="6">
        <v>1.2496128E7</v>
      </c>
    </row>
    <row r="35">
      <c r="B35" s="40"/>
      <c r="C35" s="41" t="s">
        <v>130</v>
      </c>
      <c r="D35" s="38">
        <f>5000*I34</f>
        <v>45000</v>
      </c>
      <c r="E35" s="38"/>
      <c r="F35" s="42"/>
      <c r="G35" s="43"/>
      <c r="H35" s="44"/>
      <c r="I35" s="45"/>
      <c r="J35" s="45"/>
      <c r="K35" s="45"/>
      <c r="L35" s="45"/>
      <c r="M35" s="45"/>
      <c r="N35" s="45"/>
      <c r="O35" s="45"/>
      <c r="P35" s="45"/>
      <c r="Q35" s="45"/>
      <c r="R35" s="45"/>
      <c r="S35" s="101"/>
      <c r="T35" s="101"/>
      <c r="U35" s="45"/>
      <c r="V35" s="45"/>
      <c r="W35" s="45"/>
      <c r="X35" s="45"/>
      <c r="Y35" s="45"/>
      <c r="Z35" s="45"/>
      <c r="AA35" s="45"/>
      <c r="AB35" s="45"/>
      <c r="AC35" s="45"/>
      <c r="AD35" s="45"/>
      <c r="AE35" s="45"/>
      <c r="AF35" s="45"/>
      <c r="AG35" s="79"/>
      <c r="AH35" s="45"/>
      <c r="AI35" s="45"/>
      <c r="AJ35" s="45"/>
      <c r="AK35" s="45"/>
      <c r="AL35" s="45"/>
      <c r="AM35" s="45"/>
      <c r="AN35" s="45"/>
      <c r="AO35" s="45"/>
      <c r="AP35" s="45"/>
      <c r="AQ35" s="45"/>
      <c r="AR35" s="45"/>
      <c r="AS35" s="45"/>
      <c r="AT35" s="79"/>
      <c r="AU35" s="45"/>
      <c r="AV35" s="45"/>
      <c r="AW35" s="45"/>
      <c r="AX35" s="45"/>
      <c r="AY35" s="45"/>
      <c r="AZ35" s="45"/>
      <c r="BA35" s="45"/>
      <c r="BB35" s="45"/>
      <c r="BC35" s="45"/>
      <c r="BD35" s="45"/>
      <c r="BE35" s="45"/>
      <c r="BF35" s="45"/>
      <c r="BG35" s="45"/>
      <c r="BH35" s="45"/>
      <c r="BI35" s="46"/>
      <c r="BK35" s="22"/>
    </row>
    <row r="36">
      <c r="B36" s="40"/>
      <c r="C36" s="41" t="s">
        <v>56</v>
      </c>
      <c r="D36" s="133">
        <f>10000*I34</f>
        <v>90000</v>
      </c>
      <c r="E36" s="38"/>
      <c r="F36" s="42"/>
      <c r="G36" s="43"/>
      <c r="H36" s="44"/>
      <c r="I36" s="45"/>
      <c r="J36" s="45"/>
      <c r="K36" s="45"/>
      <c r="L36" s="45"/>
      <c r="M36" s="45"/>
      <c r="N36" s="45"/>
      <c r="O36" s="45"/>
      <c r="P36" s="45"/>
      <c r="Q36" s="45"/>
      <c r="R36" s="45"/>
      <c r="S36" s="101"/>
      <c r="T36" s="101"/>
      <c r="U36" s="45"/>
      <c r="V36" s="45"/>
      <c r="W36" s="45"/>
      <c r="X36" s="45"/>
      <c r="Y36" s="45"/>
      <c r="Z36" s="45"/>
      <c r="AA36" s="45"/>
      <c r="AB36" s="45"/>
      <c r="AC36" s="45"/>
      <c r="AD36" s="45"/>
      <c r="AE36" s="45"/>
      <c r="AF36" s="45"/>
      <c r="AG36" s="79"/>
      <c r="AH36" s="45"/>
      <c r="AI36" s="45"/>
      <c r="AJ36" s="45"/>
      <c r="AK36" s="45"/>
      <c r="AL36" s="45"/>
      <c r="AM36" s="45"/>
      <c r="AN36" s="45"/>
      <c r="AO36" s="45"/>
      <c r="AP36" s="45"/>
      <c r="AQ36" s="45"/>
      <c r="AR36" s="45"/>
      <c r="AS36" s="45"/>
      <c r="AT36" s="79"/>
      <c r="AU36" s="45"/>
      <c r="AV36" s="45"/>
      <c r="AW36" s="45"/>
      <c r="AX36" s="45"/>
      <c r="AY36" s="45"/>
      <c r="AZ36" s="45"/>
      <c r="BA36" s="45"/>
      <c r="BB36" s="45"/>
      <c r="BC36" s="45"/>
      <c r="BD36" s="45"/>
      <c r="BE36" s="45"/>
      <c r="BF36" s="45"/>
      <c r="BG36" s="45"/>
      <c r="BH36" s="45"/>
      <c r="BI36" s="46"/>
      <c r="BK36" s="22"/>
    </row>
    <row r="37">
      <c r="B37" s="50"/>
      <c r="C37" s="51"/>
      <c r="D37" s="134"/>
      <c r="E37" s="52"/>
      <c r="F37" s="52"/>
      <c r="G37" s="112"/>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2"/>
      <c r="AH37" s="113"/>
      <c r="AI37" s="113"/>
      <c r="AJ37" s="113"/>
      <c r="AK37" s="113"/>
      <c r="AL37" s="113"/>
      <c r="AM37" s="113"/>
      <c r="AN37" s="113"/>
      <c r="AO37" s="113"/>
      <c r="AP37" s="113"/>
      <c r="AQ37" s="113"/>
      <c r="AR37" s="113"/>
      <c r="AS37" s="113"/>
      <c r="AT37" s="112"/>
      <c r="AU37" s="113"/>
      <c r="AV37" s="113"/>
      <c r="AW37" s="113"/>
      <c r="AX37" s="113"/>
      <c r="AY37" s="113"/>
      <c r="AZ37" s="113"/>
      <c r="BA37" s="113"/>
      <c r="BB37" s="113"/>
      <c r="BC37" s="113"/>
      <c r="BD37" s="113"/>
      <c r="BE37" s="113"/>
      <c r="BF37" s="113"/>
      <c r="BG37" s="113"/>
      <c r="BH37" s="113"/>
      <c r="BI37" s="114"/>
      <c r="BK37" s="22"/>
      <c r="BM37" s="6" t="s">
        <v>475</v>
      </c>
      <c r="BN37" s="6" t="s">
        <v>462</v>
      </c>
      <c r="BO37" s="6"/>
      <c r="BP37" s="6"/>
      <c r="BQ37" s="6"/>
      <c r="BR37" s="6"/>
      <c r="BS37" s="6"/>
      <c r="BT37" s="6"/>
      <c r="BV37" s="6" t="s">
        <v>619</v>
      </c>
      <c r="BW37" s="6" t="s">
        <v>495</v>
      </c>
      <c r="BX37" s="6"/>
      <c r="BY37" s="6"/>
      <c r="BZ37" s="6"/>
      <c r="CB37" s="6" t="s">
        <v>560</v>
      </c>
      <c r="CC37" s="6" t="s">
        <v>694</v>
      </c>
      <c r="CD37" s="6"/>
      <c r="CE37" s="6"/>
      <c r="CF37" s="6"/>
    </row>
    <row r="38">
      <c r="BK38" s="22"/>
      <c r="BM38" s="6" t="s">
        <v>457</v>
      </c>
      <c r="BN38" s="6" t="s">
        <v>376</v>
      </c>
      <c r="BO38" s="6" t="s">
        <v>314</v>
      </c>
      <c r="BP38" s="140" t="s">
        <v>325</v>
      </c>
      <c r="BQ38" s="6" t="s">
        <v>328</v>
      </c>
      <c r="BR38" s="6" t="s">
        <v>349</v>
      </c>
      <c r="BS38" s="6" t="s">
        <v>371</v>
      </c>
      <c r="BT38" s="6" t="s">
        <v>487</v>
      </c>
      <c r="BV38" s="6" t="s">
        <v>462</v>
      </c>
      <c r="BW38" s="6" t="s">
        <v>390</v>
      </c>
      <c r="BX38" s="140" t="s">
        <v>393</v>
      </c>
      <c r="BY38" s="6" t="s">
        <v>397</v>
      </c>
      <c r="BZ38" s="6" t="s">
        <v>487</v>
      </c>
      <c r="CB38" s="6" t="s">
        <v>462</v>
      </c>
      <c r="CC38" s="6">
        <v>1.0</v>
      </c>
      <c r="CD38" s="6">
        <v>3.5</v>
      </c>
      <c r="CE38" s="6" t="s">
        <v>378</v>
      </c>
      <c r="CF38" s="6" t="s">
        <v>487</v>
      </c>
    </row>
    <row r="39">
      <c r="C39" s="4" t="s">
        <v>248</v>
      </c>
      <c r="E39" s="4" t="s">
        <v>227</v>
      </c>
      <c r="BK39" s="22"/>
      <c r="BM39" s="6" t="s">
        <v>696</v>
      </c>
      <c r="BN39" s="6"/>
      <c r="BO39" s="6"/>
      <c r="BP39" s="6"/>
      <c r="BQ39" s="6"/>
      <c r="BR39" s="6"/>
      <c r="BS39" s="6">
        <v>1.0</v>
      </c>
      <c r="BT39" s="6">
        <v>1.0</v>
      </c>
      <c r="BV39" s="6" t="s">
        <v>376</v>
      </c>
      <c r="BW39" s="6"/>
      <c r="BX39" s="6"/>
      <c r="BY39" s="6">
        <v>1.0</v>
      </c>
      <c r="BZ39" s="6">
        <v>1.0</v>
      </c>
      <c r="CB39" s="6" t="s">
        <v>376</v>
      </c>
      <c r="CC39" s="6"/>
      <c r="CD39" s="6"/>
      <c r="CE39" s="6">
        <v>512.0</v>
      </c>
      <c r="CF39" s="6">
        <v>512.0</v>
      </c>
    </row>
    <row r="40">
      <c r="C40" s="4" t="s">
        <v>10</v>
      </c>
      <c r="E40" s="4" t="s">
        <v>56</v>
      </c>
      <c r="BK40" s="22"/>
      <c r="BM40" s="140" t="s">
        <v>697</v>
      </c>
      <c r="BN40" s="6"/>
      <c r="BO40" s="6"/>
      <c r="BP40" s="140">
        <v>1.0</v>
      </c>
      <c r="BQ40" s="6"/>
      <c r="BR40" s="6"/>
      <c r="BS40" s="6"/>
      <c r="BT40" s="140">
        <v>1.0</v>
      </c>
      <c r="BV40" s="6" t="s">
        <v>314</v>
      </c>
      <c r="BW40" s="6">
        <v>1.0</v>
      </c>
      <c r="BX40" s="6"/>
      <c r="BY40" s="6"/>
      <c r="BZ40" s="6">
        <v>1.0</v>
      </c>
      <c r="CB40" s="6" t="s">
        <v>314</v>
      </c>
      <c r="CC40" s="6"/>
      <c r="CD40" s="6">
        <v>32.0</v>
      </c>
      <c r="CE40" s="6"/>
      <c r="CF40" s="6">
        <v>32.0</v>
      </c>
    </row>
    <row r="41">
      <c r="C41" s="4" t="s">
        <v>52</v>
      </c>
      <c r="E41" s="4" t="s">
        <v>132</v>
      </c>
      <c r="BK41" s="22"/>
      <c r="BM41" s="6" t="s">
        <v>698</v>
      </c>
      <c r="BN41" s="6"/>
      <c r="BO41" s="6">
        <v>1.0</v>
      </c>
      <c r="BP41" s="6"/>
      <c r="BQ41" s="6"/>
      <c r="BR41" s="6"/>
      <c r="BS41" s="6"/>
      <c r="BT41" s="6">
        <v>1.0</v>
      </c>
      <c r="BV41" s="140" t="s">
        <v>325</v>
      </c>
      <c r="BW41" s="6"/>
      <c r="BX41" s="6">
        <v>1.0</v>
      </c>
      <c r="BY41" s="6"/>
      <c r="BZ41" s="6">
        <v>1.0</v>
      </c>
      <c r="CB41" s="140" t="s">
        <v>325</v>
      </c>
      <c r="CC41" s="140">
        <v>128.0</v>
      </c>
      <c r="CD41" s="6"/>
      <c r="CE41" s="6"/>
      <c r="CF41" s="140">
        <v>128.0</v>
      </c>
    </row>
    <row r="42">
      <c r="C42" s="4" t="s">
        <v>147</v>
      </c>
      <c r="E42" s="4" t="s">
        <v>87</v>
      </c>
      <c r="BK42" s="22"/>
      <c r="BM42" s="6" t="s">
        <v>699</v>
      </c>
      <c r="BN42" s="6"/>
      <c r="BO42" s="6"/>
      <c r="BP42" s="6"/>
      <c r="BQ42" s="6">
        <v>1.0</v>
      </c>
      <c r="BR42" s="6"/>
      <c r="BS42" s="6"/>
      <c r="BT42" s="6">
        <v>1.0</v>
      </c>
      <c r="BV42" s="6" t="s">
        <v>328</v>
      </c>
      <c r="BW42" s="6"/>
      <c r="BX42" s="6"/>
      <c r="BY42" s="6">
        <v>1.0</v>
      </c>
      <c r="BZ42" s="6">
        <v>1.0</v>
      </c>
      <c r="CB42" s="6" t="s">
        <v>328</v>
      </c>
      <c r="CC42" s="6"/>
      <c r="CD42" s="6">
        <v>512.0</v>
      </c>
      <c r="CE42" s="6"/>
      <c r="CF42" s="6">
        <v>512.0</v>
      </c>
    </row>
    <row r="43">
      <c r="C43" s="4" t="s">
        <v>238</v>
      </c>
      <c r="E43" s="4" t="s">
        <v>142</v>
      </c>
      <c r="BK43" s="22"/>
      <c r="BM43" s="6" t="s">
        <v>700</v>
      </c>
      <c r="BN43" s="6"/>
      <c r="BO43" s="6"/>
      <c r="BP43" s="6"/>
      <c r="BQ43" s="6"/>
      <c r="BR43" s="6">
        <v>1.0</v>
      </c>
      <c r="BS43" s="6"/>
      <c r="BT43" s="6">
        <v>1.0</v>
      </c>
      <c r="BV43" s="6" t="s">
        <v>349</v>
      </c>
      <c r="BW43" s="6">
        <v>1.0</v>
      </c>
      <c r="BX43" s="6"/>
      <c r="BY43" s="6">
        <v>1.0</v>
      </c>
      <c r="BZ43" s="6">
        <v>2.0</v>
      </c>
      <c r="CB43" s="6" t="s">
        <v>349</v>
      </c>
      <c r="CC43" s="6">
        <v>544.0</v>
      </c>
      <c r="CD43" s="6"/>
      <c r="CE43" s="6"/>
      <c r="CF43" s="6">
        <v>544.0</v>
      </c>
    </row>
    <row r="44">
      <c r="C44" s="4" t="s">
        <v>29</v>
      </c>
      <c r="BK44" s="22"/>
      <c r="BM44" s="6" t="s">
        <v>702</v>
      </c>
      <c r="BN44" s="6"/>
      <c r="BO44" s="6"/>
      <c r="BP44" s="6"/>
      <c r="BQ44" s="6"/>
      <c r="BR44" s="6">
        <v>1.0</v>
      </c>
      <c r="BS44" s="6"/>
      <c r="BT44" s="6">
        <v>1.0</v>
      </c>
      <c r="BV44" s="6" t="s">
        <v>371</v>
      </c>
      <c r="BW44" s="6">
        <v>1.0</v>
      </c>
      <c r="BX44" s="6"/>
      <c r="BY44" s="6"/>
      <c r="BZ44" s="6">
        <v>1.0</v>
      </c>
      <c r="CB44" s="6" t="s">
        <v>371</v>
      </c>
      <c r="CC44" s="6">
        <v>32.0</v>
      </c>
      <c r="CD44" s="6"/>
      <c r="CE44" s="6"/>
      <c r="CF44" s="6">
        <v>32.0</v>
      </c>
    </row>
    <row r="45">
      <c r="C45" s="4" t="s">
        <v>131</v>
      </c>
      <c r="BK45" s="22"/>
      <c r="BM45" s="6" t="s">
        <v>703</v>
      </c>
      <c r="BN45" s="6">
        <v>1.0</v>
      </c>
      <c r="BO45" s="6"/>
      <c r="BP45" s="6"/>
      <c r="BQ45" s="6"/>
      <c r="BR45" s="6"/>
      <c r="BS45" s="6"/>
      <c r="BT45" s="6">
        <v>1.0</v>
      </c>
      <c r="BV45" s="6" t="s">
        <v>487</v>
      </c>
      <c r="BW45" s="6">
        <v>3.0</v>
      </c>
      <c r="BX45" s="6">
        <v>1.0</v>
      </c>
      <c r="BY45" s="6">
        <v>3.0</v>
      </c>
      <c r="BZ45" s="6">
        <v>7.0</v>
      </c>
      <c r="CB45" s="6" t="s">
        <v>487</v>
      </c>
      <c r="CC45" s="6">
        <v>704.0</v>
      </c>
      <c r="CD45" s="6">
        <v>544.0</v>
      </c>
      <c r="CE45" s="6">
        <v>512.0</v>
      </c>
      <c r="CF45" s="6">
        <v>1760.0</v>
      </c>
    </row>
    <row r="46">
      <c r="BK46" s="22"/>
      <c r="BM46" s="6" t="s">
        <v>487</v>
      </c>
      <c r="BN46" s="6">
        <v>1.0</v>
      </c>
      <c r="BO46" s="6">
        <v>1.0</v>
      </c>
      <c r="BP46" s="140">
        <v>1.0</v>
      </c>
      <c r="BQ46" s="6">
        <v>1.0</v>
      </c>
      <c r="BR46" s="6">
        <v>2.0</v>
      </c>
      <c r="BS46" s="6">
        <v>1.0</v>
      </c>
      <c r="BT46" s="6">
        <v>7.0</v>
      </c>
    </row>
    <row r="47">
      <c r="BK47" s="22"/>
    </row>
    <row r="48">
      <c r="BK48" s="22"/>
      <c r="BM48" s="6" t="s">
        <v>622</v>
      </c>
      <c r="BN48" s="6" t="s">
        <v>462</v>
      </c>
      <c r="BO48" s="6"/>
      <c r="BP48" s="6"/>
      <c r="BQ48" s="6"/>
      <c r="BR48" s="6"/>
      <c r="BS48" s="6"/>
      <c r="BT48" s="6"/>
      <c r="BV48" s="6" t="s">
        <v>705</v>
      </c>
      <c r="BW48" s="6" t="s">
        <v>468</v>
      </c>
      <c r="BX48" s="6"/>
      <c r="CB48" s="6" t="s">
        <v>571</v>
      </c>
      <c r="CC48" s="6" t="s">
        <v>694</v>
      </c>
      <c r="CD48" s="6"/>
      <c r="CE48" s="6"/>
      <c r="CF48" s="6"/>
    </row>
    <row r="49">
      <c r="BK49" s="22"/>
      <c r="BM49" s="6" t="s">
        <v>457</v>
      </c>
      <c r="BN49" s="6" t="s">
        <v>376</v>
      </c>
      <c r="BO49" s="6" t="s">
        <v>314</v>
      </c>
      <c r="BP49" s="140" t="s">
        <v>325</v>
      </c>
      <c r="BQ49" s="6" t="s">
        <v>328</v>
      </c>
      <c r="BR49" s="6" t="s">
        <v>349</v>
      </c>
      <c r="BS49" s="6" t="s">
        <v>371</v>
      </c>
      <c r="BT49" s="6" t="s">
        <v>487</v>
      </c>
      <c r="BV49" s="6" t="s">
        <v>462</v>
      </c>
      <c r="BW49" s="6" t="s">
        <v>408</v>
      </c>
      <c r="BX49" s="6" t="s">
        <v>487</v>
      </c>
      <c r="CB49" s="6" t="s">
        <v>462</v>
      </c>
      <c r="CC49" s="6">
        <v>1.0</v>
      </c>
      <c r="CD49" s="6">
        <v>3.5</v>
      </c>
      <c r="CE49" s="6" t="s">
        <v>378</v>
      </c>
      <c r="CF49" s="6" t="s">
        <v>487</v>
      </c>
    </row>
    <row r="50">
      <c r="BK50" s="22"/>
      <c r="BM50" s="6" t="s">
        <v>696</v>
      </c>
      <c r="BN50" s="6"/>
      <c r="BO50" s="6"/>
      <c r="BP50" s="6"/>
      <c r="BQ50" s="6"/>
      <c r="BR50" s="6"/>
      <c r="BS50" s="6">
        <v>1.0</v>
      </c>
      <c r="BT50" s="6">
        <v>1.0</v>
      </c>
      <c r="BV50" s="6" t="s">
        <v>376</v>
      </c>
      <c r="BW50" s="6">
        <v>1.0</v>
      </c>
      <c r="BX50" s="6">
        <v>1.0</v>
      </c>
      <c r="CB50" s="6" t="s">
        <v>376</v>
      </c>
      <c r="CC50" s="6"/>
      <c r="CD50" s="6"/>
      <c r="CE50" s="6">
        <v>32768.0</v>
      </c>
      <c r="CF50" s="6">
        <v>32768.0</v>
      </c>
    </row>
    <row r="51">
      <c r="BK51" s="22"/>
      <c r="BM51" s="140" t="s">
        <v>697</v>
      </c>
      <c r="BN51" s="6"/>
      <c r="BO51" s="6"/>
      <c r="BP51" s="140">
        <v>2.0</v>
      </c>
      <c r="BQ51" s="6"/>
      <c r="BR51" s="6"/>
      <c r="BS51" s="6"/>
      <c r="BT51" s="140">
        <v>2.0</v>
      </c>
      <c r="BV51" s="6" t="s">
        <v>314</v>
      </c>
      <c r="BW51" s="6">
        <v>1.0</v>
      </c>
      <c r="BX51" s="6">
        <v>1.0</v>
      </c>
      <c r="CB51" s="6" t="s">
        <v>314</v>
      </c>
      <c r="CC51" s="6"/>
      <c r="CD51" s="6">
        <v>32768.0</v>
      </c>
      <c r="CE51" s="6"/>
      <c r="CF51" s="6">
        <v>32768.0</v>
      </c>
    </row>
    <row r="52">
      <c r="BK52" s="22"/>
      <c r="BM52" s="6" t="s">
        <v>698</v>
      </c>
      <c r="BN52" s="6"/>
      <c r="BO52" s="6">
        <v>1.0</v>
      </c>
      <c r="BP52" s="6"/>
      <c r="BQ52" s="6"/>
      <c r="BR52" s="6"/>
      <c r="BS52" s="6"/>
      <c r="BT52" s="6">
        <v>1.0</v>
      </c>
      <c r="BV52" s="140" t="s">
        <v>325</v>
      </c>
      <c r="BW52" s="6">
        <v>1.0</v>
      </c>
      <c r="BX52" s="6">
        <v>1.0</v>
      </c>
      <c r="CB52" s="140" t="s">
        <v>325</v>
      </c>
      <c r="CC52" s="140">
        <v>32768.0</v>
      </c>
      <c r="CD52" s="6"/>
      <c r="CE52" s="6"/>
      <c r="CF52" s="140">
        <v>32768.0</v>
      </c>
    </row>
    <row r="53">
      <c r="BK53" s="22"/>
      <c r="BM53" s="6" t="s">
        <v>699</v>
      </c>
      <c r="BN53" s="6"/>
      <c r="BO53" s="6"/>
      <c r="BP53" s="6"/>
      <c r="BQ53" s="6">
        <v>1.0</v>
      </c>
      <c r="BR53" s="6"/>
      <c r="BS53" s="6"/>
      <c r="BT53" s="6">
        <v>1.0</v>
      </c>
      <c r="BV53" s="6" t="s">
        <v>328</v>
      </c>
      <c r="BW53" s="6">
        <v>1.0</v>
      </c>
      <c r="BX53" s="6">
        <v>1.0</v>
      </c>
      <c r="CB53" s="6" t="s">
        <v>328</v>
      </c>
      <c r="CC53" s="6"/>
      <c r="CD53" s="6">
        <v>32768.0</v>
      </c>
      <c r="CE53" s="6"/>
      <c r="CF53" s="6">
        <v>32768.0</v>
      </c>
    </row>
    <row r="54">
      <c r="BK54" s="22"/>
      <c r="BM54" s="6" t="s">
        <v>700</v>
      </c>
      <c r="BN54" s="6"/>
      <c r="BO54" s="6"/>
      <c r="BP54" s="6"/>
      <c r="BQ54" s="6"/>
      <c r="BR54" s="6">
        <v>4.0</v>
      </c>
      <c r="BS54" s="6"/>
      <c r="BT54" s="6">
        <v>4.0</v>
      </c>
      <c r="BV54" s="6" t="s">
        <v>349</v>
      </c>
      <c r="BW54" s="6">
        <v>2.0</v>
      </c>
      <c r="BX54" s="6">
        <v>2.0</v>
      </c>
      <c r="CB54" s="6" t="s">
        <v>349</v>
      </c>
      <c r="CC54" s="6">
        <v>65536.0</v>
      </c>
      <c r="CD54" s="6"/>
      <c r="CE54" s="6"/>
      <c r="CF54" s="6">
        <v>65536.0</v>
      </c>
    </row>
    <row r="55">
      <c r="BK55" s="22"/>
      <c r="BM55" s="6" t="s">
        <v>702</v>
      </c>
      <c r="BN55" s="6"/>
      <c r="BO55" s="6"/>
      <c r="BP55" s="6"/>
      <c r="BQ55" s="6"/>
      <c r="BR55" s="6">
        <v>1.0</v>
      </c>
      <c r="BS55" s="6"/>
      <c r="BT55" s="6">
        <v>1.0</v>
      </c>
      <c r="BV55" s="6" t="s">
        <v>371</v>
      </c>
      <c r="BW55" s="6">
        <v>1.0</v>
      </c>
      <c r="BX55" s="6">
        <v>1.0</v>
      </c>
      <c r="CB55" s="6" t="s">
        <v>371</v>
      </c>
      <c r="CC55" s="6">
        <v>32768.0</v>
      </c>
      <c r="CD55" s="6"/>
      <c r="CE55" s="6"/>
      <c r="CF55" s="6">
        <v>32768.0</v>
      </c>
    </row>
    <row r="56">
      <c r="BK56" s="22"/>
      <c r="BM56" s="6" t="s">
        <v>703</v>
      </c>
      <c r="BN56" s="6">
        <v>2.0</v>
      </c>
      <c r="BO56" s="6"/>
      <c r="BP56" s="6"/>
      <c r="BQ56" s="6"/>
      <c r="BR56" s="6"/>
      <c r="BS56" s="6"/>
      <c r="BT56" s="6">
        <v>2.0</v>
      </c>
      <c r="BV56" s="6" t="s">
        <v>487</v>
      </c>
      <c r="BW56" s="6">
        <v>7.0</v>
      </c>
      <c r="BX56" s="6">
        <v>7.0</v>
      </c>
      <c r="CB56" s="6" t="s">
        <v>487</v>
      </c>
      <c r="CC56" s="6">
        <v>131072.0</v>
      </c>
      <c r="CD56" s="6">
        <v>65536.0</v>
      </c>
      <c r="CE56" s="6">
        <v>32768.0</v>
      </c>
      <c r="CF56" s="6">
        <v>229376.0</v>
      </c>
    </row>
    <row r="57">
      <c r="BK57" s="22"/>
      <c r="BM57" s="6" t="s">
        <v>487</v>
      </c>
      <c r="BN57" s="6">
        <v>2.0</v>
      </c>
      <c r="BO57" s="6">
        <v>1.0</v>
      </c>
      <c r="BP57" s="140">
        <v>2.0</v>
      </c>
      <c r="BQ57" s="6">
        <v>1.0</v>
      </c>
      <c r="BR57" s="6">
        <v>5.0</v>
      </c>
      <c r="BS57" s="6">
        <v>1.0</v>
      </c>
      <c r="BT57" s="6">
        <v>12.0</v>
      </c>
    </row>
    <row r="58">
      <c r="BK58" s="22"/>
    </row>
    <row r="59">
      <c r="BK59" s="22"/>
    </row>
    <row r="60">
      <c r="BK60" s="22"/>
    </row>
    <row r="61">
      <c r="BK61" s="22"/>
    </row>
    <row r="62">
      <c r="BK62" s="22"/>
    </row>
    <row r="63">
      <c r="BK63" s="22"/>
    </row>
    <row r="64">
      <c r="BK64" s="22"/>
    </row>
    <row r="65">
      <c r="BK65" s="22"/>
    </row>
    <row r="66">
      <c r="BK66" s="22"/>
    </row>
    <row r="67">
      <c r="BK67" s="22"/>
    </row>
    <row r="68">
      <c r="BK68" s="22"/>
    </row>
    <row r="69">
      <c r="BK69" s="22"/>
    </row>
    <row r="70">
      <c r="BK70" s="22"/>
    </row>
    <row r="71">
      <c r="BK71" s="22"/>
    </row>
    <row r="72">
      <c r="BK72" s="22"/>
    </row>
    <row r="73">
      <c r="BK73" s="22"/>
    </row>
    <row r="74">
      <c r="BK74" s="22"/>
    </row>
    <row r="75">
      <c r="BK75" s="22"/>
    </row>
    <row r="76">
      <c r="BK76" s="22"/>
    </row>
    <row r="77">
      <c r="BK77" s="22"/>
    </row>
    <row r="78">
      <c r="BK78" s="22"/>
    </row>
    <row r="79">
      <c r="BK79" s="22"/>
    </row>
    <row r="80">
      <c r="BK80" s="22"/>
    </row>
    <row r="81">
      <c r="BK81" s="22"/>
    </row>
    <row r="82">
      <c r="BK82" s="22"/>
    </row>
    <row r="83">
      <c r="BK83" s="22"/>
    </row>
    <row r="84">
      <c r="BK84" s="22"/>
    </row>
    <row r="85">
      <c r="BK85" s="22"/>
    </row>
    <row r="86">
      <c r="BK86" s="22"/>
    </row>
    <row r="87">
      <c r="BK87" s="22"/>
    </row>
    <row r="88">
      <c r="BK88" s="22"/>
    </row>
    <row r="89">
      <c r="BK89" s="22"/>
    </row>
    <row r="90">
      <c r="BK90" s="22"/>
    </row>
    <row r="91">
      <c r="BK91" s="22"/>
    </row>
    <row r="92">
      <c r="BK92" s="22"/>
    </row>
    <row r="93">
      <c r="BK93" s="22"/>
    </row>
    <row r="94">
      <c r="BK94" s="22"/>
    </row>
    <row r="95">
      <c r="BK95" s="22"/>
    </row>
    <row r="96">
      <c r="BK96" s="22"/>
    </row>
    <row r="97">
      <c r="BK97" s="22"/>
    </row>
    <row r="98">
      <c r="BK98" s="22"/>
    </row>
    <row r="99">
      <c r="BK99" s="22"/>
    </row>
    <row r="100">
      <c r="BK100" s="22"/>
    </row>
    <row r="101">
      <c r="BK101" s="22"/>
    </row>
    <row r="102">
      <c r="BK102" s="22"/>
    </row>
    <row r="103">
      <c r="BK103" s="22"/>
    </row>
    <row r="104">
      <c r="BK104" s="22"/>
    </row>
    <row r="105">
      <c r="BK105" s="22"/>
    </row>
    <row r="106">
      <c r="BK106" s="22"/>
    </row>
    <row r="107">
      <c r="BK107" s="22"/>
    </row>
    <row r="108">
      <c r="BK108" s="22"/>
    </row>
    <row r="109">
      <c r="BK109" s="22"/>
    </row>
    <row r="110">
      <c r="BK110" s="22"/>
    </row>
    <row r="111">
      <c r="BK111" s="22"/>
    </row>
  </sheetData>
  <mergeCells count="4">
    <mergeCell ref="A1:U1"/>
    <mergeCell ref="BL1:CH1"/>
    <mergeCell ref="A2:U2"/>
    <mergeCell ref="BL2:CH2"/>
  </mergeCells>
  <dataValidations>
    <dataValidation type="list" allowBlank="1" sqref="J7 J11 J15 J19 J26 J30 J34">
      <formula1>'Machine Helper Sheet'!$G$2:$G$16</formula1>
    </dataValidation>
    <dataValidation type="list" allowBlank="1" showErrorMessage="1" sqref="AA5 AU5 AA9 AU9 AA13 AU13 AA17 AU17 AA24 AU24 AA28 AU28 AA32 AU32">
      <formula1>'Item Helper Sheet'!$A$2:$A$16</formula1>
    </dataValidation>
    <dataValidation type="list" allowBlank="1" showErrorMessage="1" sqref="H5 H9 H13 H17 H24 H28 H32">
      <formula1>'Machine List'!$A$2:$A$107</formula1>
    </dataValidation>
    <dataValidation type="list" allowBlank="1" sqref="E6 CG6 C10:C11 E10:E11 C14 E14:E15 C18 E18:E22 E25 C25:C26 C29:C30 E29:E30 E33 C33:C36 E39:E43 C39:C45">
      <formula1>'Item List'!$A$2:$A$300</formula1>
    </dataValidation>
    <dataValidation type="list" allowBlank="1" showErrorMessage="1" sqref="R5 R9 R13 R17 R24 R28 R32">
      <formula1>"Yes,No"</formula1>
    </dataValidation>
  </dataValidations>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2.25"/>
    <col customWidth="1" min="3" max="3" width="29.13"/>
    <col customWidth="1" min="5" max="5" width="29.13"/>
    <col customWidth="1" min="8" max="8" width="19.25"/>
    <col customWidth="1" min="9" max="61" width="9.5"/>
    <col customWidth="1" min="62" max="62" width="2.25"/>
    <col customWidth="1" min="64" max="64" width="2.38"/>
    <col customWidth="1" min="65" max="65" width="24.25"/>
    <col customWidth="1" min="68" max="68" width="24.25"/>
    <col customWidth="1" min="71" max="71" width="24.25"/>
    <col customWidth="1" min="72" max="72" width="15.63"/>
    <col customWidth="1" min="77" max="77" width="20.0"/>
    <col customWidth="1" min="78" max="78" width="23.13"/>
    <col customWidth="1" min="81" max="81" width="20.0"/>
    <col customWidth="1" min="85" max="85" width="16.5"/>
    <col customWidth="1" min="86" max="86" width="18.25"/>
    <col customWidth="1" min="87" max="87" width="14.38"/>
    <col customWidth="1" min="88" max="88" width="17.25"/>
    <col customWidth="1" min="89" max="89" width="15.88"/>
  </cols>
  <sheetData>
    <row r="1">
      <c r="A1" s="9" t="s">
        <v>706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3"/>
      <c r="BK1" s="12" t="s">
        <v>490</v>
      </c>
      <c r="BL1" s="9" t="s">
        <v>706</v>
      </c>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3"/>
      <c r="CM1" s="126"/>
      <c r="CN1" s="126"/>
      <c r="CO1" s="126"/>
      <c r="CP1" s="126"/>
      <c r="CQ1" s="126"/>
      <c r="CR1" s="126"/>
      <c r="CS1" s="126"/>
      <c r="CT1" s="126"/>
      <c r="CU1" s="126"/>
      <c r="CV1" s="126"/>
      <c r="CW1" s="126"/>
    </row>
    <row r="2">
      <c r="A2" s="15" t="s">
        <v>707</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8"/>
      <c r="BK2" s="12" t="s">
        <v>492</v>
      </c>
      <c r="BL2" s="15" t="s">
        <v>707</v>
      </c>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8"/>
      <c r="CM2" s="127"/>
      <c r="CN2" s="127"/>
      <c r="CO2" s="127"/>
      <c r="CP2" s="127"/>
      <c r="CQ2" s="127"/>
      <c r="CR2" s="127"/>
      <c r="CS2" s="127"/>
      <c r="CT2" s="127"/>
      <c r="CU2" s="127"/>
      <c r="CV2" s="127"/>
      <c r="CW2" s="127"/>
    </row>
    <row r="3">
      <c r="BK3" s="22"/>
    </row>
    <row r="4">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0" t="s">
        <v>694</v>
      </c>
      <c r="Z4" s="90" t="s">
        <v>695</v>
      </c>
      <c r="AA4" s="92" t="s">
        <v>495</v>
      </c>
      <c r="AB4" s="90" t="s">
        <v>421</v>
      </c>
      <c r="AC4" s="92" t="s">
        <v>553</v>
      </c>
      <c r="AD4" s="90" t="s">
        <v>554</v>
      </c>
      <c r="AE4" s="92" t="s">
        <v>555</v>
      </c>
      <c r="AF4" s="93" t="s">
        <v>467</v>
      </c>
      <c r="AG4" s="90"/>
      <c r="AH4" s="90" t="s">
        <v>556</v>
      </c>
      <c r="AI4" s="94" t="s">
        <v>475</v>
      </c>
      <c r="AJ4" s="90" t="s">
        <v>557</v>
      </c>
      <c r="AK4" s="90" t="s">
        <v>558</v>
      </c>
      <c r="AL4" s="90" t="s">
        <v>559</v>
      </c>
      <c r="AM4" s="92" t="s">
        <v>560</v>
      </c>
      <c r="AN4" s="90" t="s">
        <v>561</v>
      </c>
      <c r="AO4" s="90" t="s">
        <v>562</v>
      </c>
      <c r="AP4" s="92" t="s">
        <v>563</v>
      </c>
      <c r="AQ4" s="90" t="s">
        <v>564</v>
      </c>
      <c r="AR4" s="90" t="s">
        <v>565</v>
      </c>
      <c r="AS4" s="95" t="s">
        <v>566</v>
      </c>
      <c r="AT4" s="90"/>
      <c r="AU4" s="90" t="s">
        <v>468</v>
      </c>
      <c r="AV4" s="92" t="s">
        <v>496</v>
      </c>
      <c r="AW4" s="94" t="s">
        <v>567</v>
      </c>
      <c r="AX4" s="90" t="s">
        <v>568</v>
      </c>
      <c r="AY4" s="90" t="s">
        <v>569</v>
      </c>
      <c r="AZ4" s="90" t="s">
        <v>570</v>
      </c>
      <c r="BA4" s="92" t="s">
        <v>571</v>
      </c>
      <c r="BB4" s="90" t="s">
        <v>572</v>
      </c>
      <c r="BC4" s="90" t="s">
        <v>573</v>
      </c>
      <c r="BD4" s="90" t="s">
        <v>574</v>
      </c>
      <c r="BE4" s="90" t="s">
        <v>575</v>
      </c>
      <c r="BF4" s="92" t="s">
        <v>576</v>
      </c>
      <c r="BG4" s="92" t="s">
        <v>577</v>
      </c>
      <c r="BH4" s="92" t="s">
        <v>578</v>
      </c>
      <c r="BI4" s="96" t="s">
        <v>471</v>
      </c>
      <c r="BK4" s="22"/>
    </row>
    <row r="5">
      <c r="B5" s="31" t="s">
        <v>708</v>
      </c>
      <c r="C5" s="54"/>
      <c r="D5" s="45"/>
      <c r="E5" s="45"/>
      <c r="F5" s="47"/>
      <c r="G5" s="35"/>
      <c r="H5" s="55" t="s">
        <v>349</v>
      </c>
      <c r="I5" s="38">
        <f>VLOOKUP(H5,'Machine List'!$A$1:$I$300,9,FALSE)</f>
        <v>4000</v>
      </c>
      <c r="J5" s="38">
        <f>IF(VLOOKUP(H5,'Machine List'!$A$1:$I$300,5,FALSE)="Multi",IF(VLOOKUP(H5,'Machine List'!$A$1:$I$300,6,FALSE)="Yes",AI5*3*10^AB5,AI5*(2*3)*10^(AB5-1)),0)</f>
        <v>6</v>
      </c>
      <c r="K5" s="38">
        <f>J5+IF(ISNUMBER(I5),I5,
  SWITCH(
      I5,
      "1T",1*10^AB5,
      "2T",2*10^AB5,
      "3T",3*10^AB5,
      "4T",4*10^AB5,
      "4000+500(7O-5)",4000+500*(7*I6-5),
      "13500 + 16C",13500+16*VLOOKUP(J7,'Machine Helper Sheet'!$G$1:$K$16,5,FALSE),
      1
  )
)</f>
        <v>4006</v>
      </c>
      <c r="L5" s="38">
        <f>IF(VLOOKUP(H5,'Machine List'!$A$1:$I$300,5,FALSE)="Multi",IF(VLOOKUP(H5,'Machine List'!$A$1:$I$300,6,FALSE)="Yes",AW5*3*10^AV5,AW5*(2*3)*10^(AV5-1)),0)</f>
        <v>6000</v>
      </c>
      <c r="M5" s="38">
        <f>L5+IF(ISNUMBER(I5),I5,
  SWITCH(
      I5,
      "1T",1*10^AV5,
      "2T",2*10^AV5,
      "3T",3*10^AV5,
      "4T",4*10^AV5,
      "4000+500(7O-5)",4000+500*(7*I6-5),
      1
  )
)</f>
        <v>10000</v>
      </c>
      <c r="N5" s="38" t="str">
        <f>VLOOKUP(H5,'Machine List'!$A$1:$I$300,8,FALSE)</f>
        <v>Tier</v>
      </c>
      <c r="O5" s="38">
        <f>IF(ISNUMBER(N5),N5,10^AB5)</f>
        <v>10</v>
      </c>
      <c r="P5" s="38">
        <f>IF(ISNUMBER(N5),N5,10^AV5)</f>
        <v>10000</v>
      </c>
      <c r="Q5" s="38">
        <f>VLOOKUP(H5,'Machine List'!$A$1:$B$138,2,FALSE)</f>
        <v>1</v>
      </c>
      <c r="R5" s="38" t="s">
        <v>594</v>
      </c>
      <c r="S5" s="45">
        <f>IF(ISNUMBER(Q5),Q5,
  SWITCH(
      Q5,
      "1",1,
      "2T",AB5*2,
      "4T",AB5*4,
      "6T",AB5*6,
      "8T",AB5*8,
      "10T",AB5*10,
      "12T",AB5*12,
      "14T",AB5*14,
      "16T",AB5*16,
      "24T",AB5*24,
      "2(T+1)",2*(AB5+1),
      "1T*C",AB5*J7,
      "2*P",L7*2,
      1
  )
)</f>
        <v>1</v>
      </c>
      <c r="T5" s="38" t="s">
        <v>277</v>
      </c>
      <c r="U5" s="38">
        <f>IF(OR(T5="No",T5=""),S5,T5)</f>
        <v>1</v>
      </c>
      <c r="V5" s="38">
        <f>IF(ISNUMBER(Q5),Q5,
  SWITCH(
      Q5,
      "1",1,
      "2T",AV5*2,
      "4T",AV5*4,
      "6T",AV5*6,
      "8T",AV5*8,
      "10T",AV5*10,
      "12T",AV5*12,
      "14T",AV5*14,
      "16T",AV5*16,
      "24T",AV5*24,
      "2(T+1)",2*(AV5+1),
      "1T*C",AV5*J7,
      "2*P",L7*2,
      1
  )
)</f>
        <v>1</v>
      </c>
      <c r="W5" s="38" t="str">
        <f>T5</f>
        <v>No</v>
      </c>
      <c r="X5" s="38">
        <f>IF(OR(W5="No",W5=""),V5,W5)</f>
        <v>1</v>
      </c>
      <c r="Y5" s="38">
        <f>VLOOKUP(H5,'Machine List'!$A$1:$C$138,3,FALSE)</f>
        <v>1</v>
      </c>
      <c r="Z5" s="38">
        <f>VLOOKUP(H5,'Machine List'!$A$1:$D$138,4,FALSE)</f>
        <v>1</v>
      </c>
      <c r="AA5" s="38" t="s">
        <v>390</v>
      </c>
      <c r="AB5" s="38">
        <f>VLOOKUP(AA5,'Item Helper Sheet'!$A$2:$B$16,2,FALSE)</f>
        <v>1</v>
      </c>
      <c r="AC5" s="38">
        <v>30.0</v>
      </c>
      <c r="AD5" s="38">
        <f>4*20</f>
        <v>80</v>
      </c>
      <c r="AE5" s="38">
        <f>AD5*I7</f>
        <v>1120</v>
      </c>
      <c r="AF5" s="38">
        <f>AC5*AE5</f>
        <v>33600</v>
      </c>
      <c r="AG5" s="75"/>
      <c r="AH5" s="38" t="str">
        <f>AA5</f>
        <v>01 - LV</v>
      </c>
      <c r="AI5" s="38">
        <v>1.0</v>
      </c>
      <c r="AJ5" s="38">
        <v>1.0</v>
      </c>
      <c r="AK5" s="38">
        <f>AJ5*8*4^AB5</f>
        <v>32</v>
      </c>
      <c r="AL5" s="38">
        <f>MIN(ROUNDDOWN(AK5/AN5,0),U5)</f>
        <v>1</v>
      </c>
      <c r="AM5" s="38">
        <f>IF(OR(T5="No",T5=""),AI5*S5,AI5*T5)</f>
        <v>1</v>
      </c>
      <c r="AN5" s="38">
        <f>ROUNDUP(AC5*VLOOKUP(H5,'Machine List'!$A$2:$D$219,4,FALSE),0)</f>
        <v>30</v>
      </c>
      <c r="AO5" s="38">
        <f>AN5*AM5</f>
        <v>30</v>
      </c>
      <c r="AP5" s="38">
        <f>ROUNDUP(AD5*I7,0)</f>
        <v>1120</v>
      </c>
      <c r="AQ5" s="38">
        <f>IF(ISNUMBER(Y5),ROUNDUP(AP5/Y5,0),
  SWITCH(
      Y5,
      "1+0.5C",ROUNDUP(AP5/(1+0.5*VLOOKUP(J7,'Machine Helper Sheet'!$G$1:$K$16,2,FALSE)),0),
      ROUNDUP(AP5/1,0)
  )
)</f>
        <v>1120</v>
      </c>
      <c r="AR5" s="38">
        <f>ROUNDUP(AQ5/AM5,0)</f>
        <v>1120</v>
      </c>
      <c r="AS5" s="38">
        <f>AO5*AR5</f>
        <v>33600</v>
      </c>
      <c r="AT5" s="75"/>
      <c r="AU5" s="38" t="s">
        <v>401</v>
      </c>
      <c r="AV5" s="38">
        <f>VLOOKUP(AU5,'Item Helper Sheet'!$A$2:$B$16,2,FALSE)</f>
        <v>4</v>
      </c>
      <c r="AW5" s="38">
        <f>AI5</f>
        <v>1</v>
      </c>
      <c r="AX5" s="38">
        <v>1.0</v>
      </c>
      <c r="AY5" s="38">
        <f>AX5*8*4^AV5</f>
        <v>2048</v>
      </c>
      <c r="AZ5" s="38">
        <f>MIN(ROUNDDOWN(AY5/AN5,0),X5)</f>
        <v>1</v>
      </c>
      <c r="BA5" s="38">
        <f>AZ5*AW5</f>
        <v>1</v>
      </c>
      <c r="BB5" s="38">
        <f>AN5</f>
        <v>30</v>
      </c>
      <c r="BC5" s="38">
        <f>MIN(AV5-AB5,IF(AY5&gt;=BB6*4,
IF(AY5&gt;=BB6*4^2,
IF(AY5&gt;=BB6*4^3,
IF(AY5&gt;=BB6*4^4,
IF(AY5&gt;=BB6*4^5,
IF(AY5&gt;=BB6*4^6,
IF(AY5&gt;=BB6*4^7,
IF(AY5&gt;=BB6*4^8,
IF(AY5&gt;=BB6*4^9,
IF(AY5&gt;=BB6*4^10,
9),
8),
7),
6),
5),
4),
3),
2),
1),
0))</f>
        <v>3</v>
      </c>
      <c r="BD5" s="38">
        <f>BB5*AZ5*4^BC5</f>
        <v>1920</v>
      </c>
      <c r="BE5" s="38">
        <f>BD5*AW5</f>
        <v>1920</v>
      </c>
      <c r="BF5" s="45">
        <f>ROUNDUP(IF(R5="Yes",AP5/(2^((BC5)*2)),AP5/(2^(BC5))),0)</f>
        <v>18</v>
      </c>
      <c r="BG5" s="45">
        <f>IF(ISNUMBER(Y5),ROUNDUP(BF5/Y5,0),
  SWITCH(
      Y5,
      "1+0.5C",ROUNDUP(BF5/(1+0.5*VLOOKUP(J7,'Machine Helper Sheet'!$G$1:$K$16,2,FALSE)),0),
      ROUNDUP(BF5/1,0)
  )
)</f>
        <v>18</v>
      </c>
      <c r="BH5" s="45">
        <f>ROUNDUP(BG5/BA5,0)</f>
        <v>18</v>
      </c>
      <c r="BI5" s="46">
        <f>BH5*BE5</f>
        <v>34560</v>
      </c>
      <c r="BK5" s="22"/>
      <c r="BS5" s="6" t="s">
        <v>458</v>
      </c>
      <c r="BT5" s="6" t="s">
        <v>497</v>
      </c>
      <c r="BU5" s="7" t="s">
        <v>281</v>
      </c>
      <c r="BV5" s="7" t="s">
        <v>8</v>
      </c>
      <c r="BW5" s="1" t="s">
        <v>9</v>
      </c>
      <c r="BY5" s="6" t="e">
        <v>#REF!</v>
      </c>
      <c r="CA5" s="97" t="s">
        <v>513</v>
      </c>
      <c r="CB5" s="97" t="s">
        <v>514</v>
      </c>
      <c r="CC5" s="97" t="s">
        <v>580</v>
      </c>
      <c r="CD5" s="97" t="s">
        <v>581</v>
      </c>
      <c r="CE5" s="97" t="s">
        <v>582</v>
      </c>
      <c r="CG5" s="98" t="s">
        <v>503</v>
      </c>
      <c r="CH5" s="98" t="s">
        <v>583</v>
      </c>
      <c r="CI5" s="98" t="s">
        <v>498</v>
      </c>
      <c r="CJ5" s="98" t="s">
        <v>504</v>
      </c>
      <c r="CK5" s="98" t="s">
        <v>509</v>
      </c>
    </row>
    <row r="6">
      <c r="B6" s="40"/>
      <c r="C6" s="41" t="s">
        <v>31</v>
      </c>
      <c r="D6" s="38">
        <f>1*I7</f>
        <v>14</v>
      </c>
      <c r="E6" s="38" t="s">
        <v>35</v>
      </c>
      <c r="F6" s="42">
        <f>432*I7</f>
        <v>6048</v>
      </c>
      <c r="G6" s="43"/>
      <c r="H6" s="99" t="s">
        <v>584</v>
      </c>
      <c r="I6" s="45">
        <f t="array" ref="I6">match(TRUE,ISBLANK(F6:F17),0)-1</f>
        <v>1</v>
      </c>
      <c r="J6" s="100" t="s">
        <v>420</v>
      </c>
      <c r="K6" s="100" t="s">
        <v>585</v>
      </c>
      <c r="L6" s="100" t="s">
        <v>704</v>
      </c>
      <c r="M6" s="38"/>
      <c r="N6" s="38"/>
      <c r="O6" s="38"/>
      <c r="P6" s="38"/>
      <c r="Q6" s="38"/>
      <c r="R6" s="101"/>
      <c r="S6" s="101"/>
      <c r="T6" s="101"/>
      <c r="U6" s="45"/>
      <c r="V6" s="45"/>
      <c r="W6" s="45"/>
      <c r="X6" s="45"/>
      <c r="Y6" s="45"/>
      <c r="Z6" s="45"/>
      <c r="AA6" s="45"/>
      <c r="AB6" s="45"/>
      <c r="AC6" s="45"/>
      <c r="AD6" s="45"/>
      <c r="AE6" s="45"/>
      <c r="AF6" s="45"/>
      <c r="AG6" s="79"/>
      <c r="AH6" s="45"/>
      <c r="AI6" s="45"/>
      <c r="AJ6" s="45"/>
      <c r="AK6" s="45"/>
      <c r="AL6" s="45"/>
      <c r="AM6" s="45"/>
      <c r="AN6" s="45"/>
      <c r="AO6" s="45"/>
      <c r="AP6" s="45"/>
      <c r="AQ6" s="45"/>
      <c r="AR6" s="45"/>
      <c r="AS6" s="45"/>
      <c r="AT6" s="79"/>
      <c r="AU6" s="45"/>
      <c r="AV6" s="45"/>
      <c r="AW6" s="45"/>
      <c r="AX6" s="45"/>
      <c r="AY6" s="45"/>
      <c r="AZ6" s="45"/>
      <c r="BA6" s="45"/>
      <c r="BB6" s="45">
        <f>BB5*AZ5</f>
        <v>30</v>
      </c>
      <c r="BC6" s="45"/>
      <c r="BD6" s="45"/>
      <c r="BE6" s="45"/>
      <c r="BF6" s="45"/>
      <c r="BG6" s="45"/>
      <c r="BH6" s="45"/>
      <c r="BI6" s="46"/>
      <c r="BK6" s="22"/>
      <c r="BS6" s="6"/>
      <c r="BT6" s="140">
        <v>720.0</v>
      </c>
      <c r="BU6" s="6" t="str">
        <f>VLOOKUP(BS6,'Item List'!$A$2:$D$300,2,FALSE)</f>
        <v>#N/A</v>
      </c>
      <c r="BV6" s="6" t="str">
        <f>VLOOKUP(BS6,'Item List'!$A$2:$D$300,3,FALSE)</f>
        <v>#N/A</v>
      </c>
      <c r="BW6" s="6" t="str">
        <f>VLOOKUP(BS6,'Item List'!$A$2:$D$300,4,FALSE)</f>
        <v>#N/A</v>
      </c>
      <c r="BY6" s="6"/>
      <c r="CA6" s="6" t="str">
        <f>VLOOKUP(BY6,LFTR!$BM$6:$BN$24,2)</f>
        <v>#N/A</v>
      </c>
      <c r="CB6" s="6" t="str">
        <f>CA6/LFTR!$CH$21</f>
        <v>#N/A</v>
      </c>
      <c r="CC6" s="102" t="str">
        <f>1/(LFTR!$CI$8/CB6)</f>
        <v>#N/A</v>
      </c>
      <c r="CD6" s="102" t="str">
        <f>1/(LFTR!$CJ$8/CB6)</f>
        <v>#N/A</v>
      </c>
      <c r="CE6" s="102" t="str">
        <f>1/(LFTR!$CK$8/CB6)</f>
        <v>#N/A</v>
      </c>
      <c r="CG6" s="38" t="s">
        <v>100</v>
      </c>
      <c r="CH6" s="5">
        <f>VLOOKUP(CG6,BP5:BQ25,2,FALSE)</f>
        <v>12000</v>
      </c>
      <c r="CI6" s="5">
        <f>CH21/BQ68*20</f>
        <v>0.5555555556</v>
      </c>
      <c r="CJ6" s="103">
        <f>CH21/BR68*20</f>
        <v>1</v>
      </c>
      <c r="CK6" s="4">
        <v>1000.0</v>
      </c>
    </row>
    <row r="7">
      <c r="B7" s="40"/>
      <c r="C7" s="41" t="s">
        <v>87</v>
      </c>
      <c r="D7" s="38">
        <f>2000*I7</f>
        <v>28000</v>
      </c>
      <c r="E7" s="38"/>
      <c r="F7" s="42"/>
      <c r="G7" s="43"/>
      <c r="H7" s="56" t="s">
        <v>502</v>
      </c>
      <c r="I7" s="49">
        <v>14.0</v>
      </c>
      <c r="J7" s="100" t="s">
        <v>424</v>
      </c>
      <c r="K7" s="100">
        <v>0.0</v>
      </c>
      <c r="L7" s="100">
        <v>0.0</v>
      </c>
      <c r="M7" s="45"/>
      <c r="N7" s="45"/>
      <c r="O7" s="45"/>
      <c r="P7" s="45"/>
      <c r="Q7" s="45"/>
      <c r="R7" s="45"/>
      <c r="S7" s="101"/>
      <c r="T7" s="101"/>
      <c r="U7" s="45"/>
      <c r="V7" s="45"/>
      <c r="W7" s="45"/>
      <c r="X7" s="45"/>
      <c r="Y7" s="45"/>
      <c r="Z7" s="45"/>
      <c r="AA7" s="45"/>
      <c r="AB7" s="45"/>
      <c r="AC7" s="45"/>
      <c r="AD7" s="45"/>
      <c r="AE7" s="45"/>
      <c r="AF7" s="45"/>
      <c r="AG7" s="79"/>
      <c r="AH7" s="45"/>
      <c r="AI7" s="45"/>
      <c r="AJ7" s="45"/>
      <c r="AK7" s="45"/>
      <c r="AL7" s="45"/>
      <c r="AM7" s="45"/>
      <c r="AN7" s="45"/>
      <c r="AO7" s="45"/>
      <c r="AP7" s="45"/>
      <c r="AQ7" s="45"/>
      <c r="AR7" s="45"/>
      <c r="AS7" s="45"/>
      <c r="AT7" s="79"/>
      <c r="AU7" s="45"/>
      <c r="AV7" s="45"/>
      <c r="AW7" s="45"/>
      <c r="AX7" s="45"/>
      <c r="AY7" s="45"/>
      <c r="AZ7" s="45"/>
      <c r="BA7" s="45"/>
      <c r="BB7" s="45"/>
      <c r="BC7" s="45"/>
      <c r="BD7" s="45"/>
      <c r="BE7" s="45"/>
      <c r="BF7" s="45"/>
      <c r="BG7" s="45"/>
      <c r="BH7" s="45"/>
      <c r="BI7" s="46"/>
      <c r="BK7" s="22"/>
      <c r="BS7" s="140" t="s">
        <v>20</v>
      </c>
      <c r="BT7" s="140">
        <v>28000.0</v>
      </c>
      <c r="BU7" s="6">
        <f>VLOOKUP(BS7,'Item List'!$A$2:$D$300,2,FALSE)</f>
        <v>3</v>
      </c>
      <c r="BV7" s="6">
        <f>VLOOKUP(BS7,'Item List'!$A$2:$D$300,3,FALSE)</f>
        <v>5</v>
      </c>
      <c r="BW7" s="6">
        <f>VLOOKUP(BS7,'Item List'!$A$2:$D$300,4,FALSE)</f>
        <v>2</v>
      </c>
      <c r="BY7" s="104"/>
      <c r="CA7" s="6" t="str">
        <f>VLOOKUP(BY7,LFTR!$BM$6:$BN$24,2)</f>
        <v>#N/A</v>
      </c>
      <c r="CB7" s="6" t="str">
        <f>CA7/LFTR!$CH$21</f>
        <v>#N/A</v>
      </c>
      <c r="CC7" s="102" t="str">
        <f>1/(LFTR!$CI$8/CB7)</f>
        <v>#N/A</v>
      </c>
      <c r="CD7" s="102" t="str">
        <f>1/(LFTR!$CJ$8/CB7)</f>
        <v>#N/A</v>
      </c>
      <c r="CE7" s="102" t="str">
        <f>1/(LFTR!$CK$8/CB7)</f>
        <v>#N/A</v>
      </c>
      <c r="CG7" s="5"/>
      <c r="CH7" s="5"/>
      <c r="CI7" s="98" t="s">
        <v>505</v>
      </c>
      <c r="CJ7" s="98" t="s">
        <v>506</v>
      </c>
      <c r="CK7" s="98" t="s">
        <v>586</v>
      </c>
    </row>
    <row r="8">
      <c r="B8" s="40"/>
      <c r="C8" s="41" t="s">
        <v>142</v>
      </c>
      <c r="D8" s="133">
        <f>2000*I7</f>
        <v>28000</v>
      </c>
      <c r="E8" s="38"/>
      <c r="F8" s="42"/>
      <c r="G8" s="43"/>
      <c r="H8" s="44"/>
      <c r="I8" s="45"/>
      <c r="J8" s="45"/>
      <c r="K8" s="45"/>
      <c r="L8" s="45"/>
      <c r="M8" s="45"/>
      <c r="N8" s="45"/>
      <c r="O8" s="45"/>
      <c r="P8" s="45"/>
      <c r="Q8" s="45"/>
      <c r="R8" s="45"/>
      <c r="S8" s="101"/>
      <c r="T8" s="101"/>
      <c r="U8" s="45"/>
      <c r="V8" s="45"/>
      <c r="W8" s="45"/>
      <c r="X8" s="45"/>
      <c r="Y8" s="45"/>
      <c r="Z8" s="45"/>
      <c r="AA8" s="45"/>
      <c r="AB8" s="45"/>
      <c r="AC8" s="45"/>
      <c r="AD8" s="45"/>
      <c r="AE8" s="45"/>
      <c r="AF8" s="45"/>
      <c r="AG8" s="79"/>
      <c r="AH8" s="45"/>
      <c r="AI8" s="45"/>
      <c r="AJ8" s="45"/>
      <c r="AK8" s="45"/>
      <c r="AL8" s="45"/>
      <c r="AM8" s="45"/>
      <c r="AN8" s="45"/>
      <c r="AO8" s="45"/>
      <c r="AP8" s="45"/>
      <c r="AQ8" s="45"/>
      <c r="AR8" s="45"/>
      <c r="AS8" s="45"/>
      <c r="AT8" s="79"/>
      <c r="AU8" s="45"/>
      <c r="AV8" s="45"/>
      <c r="AW8" s="45"/>
      <c r="AX8" s="45"/>
      <c r="AY8" s="45"/>
      <c r="AZ8" s="45"/>
      <c r="BA8" s="45"/>
      <c r="BB8" s="45"/>
      <c r="BC8" s="45"/>
      <c r="BD8" s="45"/>
      <c r="BE8" s="45"/>
      <c r="BF8" s="45"/>
      <c r="BG8" s="45"/>
      <c r="BH8" s="45"/>
      <c r="BI8" s="46"/>
      <c r="BK8" s="22"/>
      <c r="BS8" s="140" t="s">
        <v>21</v>
      </c>
      <c r="BT8" s="140">
        <v>0.0</v>
      </c>
      <c r="BU8" s="6">
        <f>VLOOKUP(BS8,'Item List'!$A$2:$D$300,2,FALSE)</f>
        <v>1</v>
      </c>
      <c r="BV8" s="6">
        <f>VLOOKUP(BS8,'Item List'!$A$2:$D$300,3,FALSE)</f>
        <v>3</v>
      </c>
      <c r="BW8" s="6">
        <f>VLOOKUP(BS8,'Item List'!$A$2:$D$300,4,FALSE)</f>
        <v>2</v>
      </c>
      <c r="BY8" s="6"/>
      <c r="CA8" s="6" t="str">
        <f>VLOOKUP(BY8,LFTR!$BM$6:$BN$24,2)</f>
        <v>#N/A</v>
      </c>
      <c r="CB8" s="6" t="str">
        <f>CA8/LFTR!$CH$21</f>
        <v>#N/A</v>
      </c>
      <c r="CC8" s="102" t="str">
        <f>1/(LFTR!$CI$8/CB8)</f>
        <v>#N/A</v>
      </c>
      <c r="CD8" s="102" t="str">
        <f>1/(LFTR!$CJ$8/CB8)</f>
        <v>#N/A</v>
      </c>
      <c r="CE8" s="102" t="str">
        <f>1/(LFTR!$CK$8/CB8)</f>
        <v>#N/A</v>
      </c>
      <c r="CG8" s="5"/>
      <c r="CH8" s="5"/>
      <c r="CI8" s="105">
        <f>BQ68/CH6/20</f>
        <v>1.8</v>
      </c>
      <c r="CJ8" s="106">
        <f>BR68/CH6/20</f>
        <v>1</v>
      </c>
      <c r="CK8" s="5">
        <f>1/CK6</f>
        <v>0.001</v>
      </c>
    </row>
    <row r="9">
      <c r="B9" s="50"/>
      <c r="C9" s="51"/>
      <c r="D9" s="134"/>
      <c r="E9" s="52"/>
      <c r="F9" s="52"/>
      <c r="G9" s="112"/>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2"/>
      <c r="AH9" s="113"/>
      <c r="AI9" s="113"/>
      <c r="AJ9" s="113"/>
      <c r="AK9" s="113"/>
      <c r="AL9" s="113"/>
      <c r="AM9" s="113"/>
      <c r="AN9" s="113"/>
      <c r="AO9" s="113"/>
      <c r="AP9" s="113"/>
      <c r="AQ9" s="113"/>
      <c r="AR9" s="113"/>
      <c r="AS9" s="113"/>
      <c r="AT9" s="112"/>
      <c r="AU9" s="113"/>
      <c r="AV9" s="113"/>
      <c r="AW9" s="113"/>
      <c r="AX9" s="113"/>
      <c r="AY9" s="113"/>
      <c r="AZ9" s="113"/>
      <c r="BA9" s="113"/>
      <c r="BB9" s="113"/>
      <c r="BC9" s="113"/>
      <c r="BD9" s="113"/>
      <c r="BE9" s="113"/>
      <c r="BF9" s="113"/>
      <c r="BG9" s="113"/>
      <c r="BH9" s="113"/>
      <c r="BI9" s="114"/>
      <c r="BK9" s="22"/>
      <c r="BS9" s="6" t="s">
        <v>23</v>
      </c>
      <c r="BT9" s="140">
        <v>0.0</v>
      </c>
      <c r="BU9" s="6">
        <f>VLOOKUP(BS9,'Item List'!$A$2:$D$300,2,FALSE)</f>
        <v>1</v>
      </c>
      <c r="BV9" s="6">
        <f>VLOOKUP(BS9,'Item List'!$A$2:$D$300,3,FALSE)</f>
        <v>3</v>
      </c>
      <c r="BW9" s="6">
        <f>VLOOKUP(BS9,'Item List'!$A$2:$D$300,4,FALSE)</f>
        <v>2</v>
      </c>
      <c r="BY9" s="6"/>
      <c r="CC9" s="102"/>
      <c r="CD9" s="102"/>
      <c r="CE9" s="102"/>
      <c r="CG9" s="5"/>
      <c r="CH9" s="5"/>
      <c r="CI9" s="98" t="s">
        <v>587</v>
      </c>
      <c r="CJ9" s="98" t="s">
        <v>588</v>
      </c>
    </row>
    <row r="10">
      <c r="B10" s="141" t="s">
        <v>709</v>
      </c>
      <c r="C10" s="142"/>
      <c r="D10" s="143"/>
      <c r="E10" s="143"/>
      <c r="F10" s="144"/>
      <c r="G10" s="145"/>
      <c r="H10" s="146" t="s">
        <v>297</v>
      </c>
      <c r="I10" s="147" t="str">
        <f>VLOOKUP(H10,'Machine List'!$A$1:$I$300,9,FALSE)</f>
        <v>1T</v>
      </c>
      <c r="J10" s="147">
        <f>IF(VLOOKUP(H10,'Machine List'!$A$1:$I$300,5,FALSE)="Multi",IF(VLOOKUP(H10,'Machine List'!$A$1:$I$300,6,FALSE)="Yes",AI10*3*10^AB10,AI10*(2*3)*10^(AB10-1)),0)</f>
        <v>0</v>
      </c>
      <c r="K10" s="147">
        <f>J10+IF(ISNUMBER(I10),I10,
  SWITCH(
      I10,
      "1T",1*10^AB10,
      "2T",2*10^AB10,
      "3T",3*10^AB10,
      "4T",4*10^AB10,
      "4000+500(7O-5)",4000+500*(7*I11-5),
      "13500 + 16C",13500+16*VLOOKUP(J12,'Machine Helper Sheet'!$G$1:$K$16,5,FALSE),
      1
  )
)</f>
        <v>10</v>
      </c>
      <c r="L10" s="147">
        <f>IF(VLOOKUP(H10,'Machine List'!$A$1:$I$300,5,FALSE)="Multi",IF(VLOOKUP(H10,'Machine List'!$A$1:$I$300,6,FALSE)="Yes",AW10*3*10^AV10,AW10*(2*3)*10^(AV10-1)),0)</f>
        <v>0</v>
      </c>
      <c r="M10" s="147">
        <f>L10+IF(ISNUMBER(I10),I10,
  SWITCH(
      I10,
      "1T",1*10^AV10,
      "2T",2*10^AV10,
      "3T",3*10^AV10,
      "4T",4*10^AV10,
      "4000+500(7O-5)",4000+500*(7*I11-5),
      1
  )
)</f>
        <v>10000</v>
      </c>
      <c r="N10" s="147" t="str">
        <f>VLOOKUP(H10,'Machine List'!$A$1:$I$300,8,FALSE)</f>
        <v>Tier</v>
      </c>
      <c r="O10" s="147">
        <f>IF(ISNUMBER(N10),N10,10^AB10)</f>
        <v>10</v>
      </c>
      <c r="P10" s="147">
        <f>IF(ISNUMBER(N10),N10,10^AV10)</f>
        <v>10000</v>
      </c>
      <c r="Q10" s="147">
        <f>VLOOKUP(H10,'Machine List'!$A$1:$B$138,2,FALSE)</f>
        <v>1</v>
      </c>
      <c r="R10" s="147" t="s">
        <v>277</v>
      </c>
      <c r="S10" s="143">
        <f>IF(ISNUMBER(Q10),Q10,
  SWITCH(
      Q10,
      "1",1,
      "2T",AB10*2,
      "4T",AB10*4,
      "6T",AB10*6,
      "8T",AB10*8,
      "10T",AB10*10,
      "12T",AB10*12,
      "14T",AB10*14,
      "16T",AB10*16,
      "24T",AB10*24,
      "2(T+1)",2*(AB10+1),
      "1T*C",AB10*J12,
      "2*P",L12*2,
      1
  )
)</f>
        <v>1</v>
      </c>
      <c r="T10" s="38" t="s">
        <v>277</v>
      </c>
      <c r="U10" s="147">
        <f>IF(OR(T10="No",T10=""),S10,T10)</f>
        <v>1</v>
      </c>
      <c r="V10" s="147">
        <f>IF(ISNUMBER(Q10),Q10,
  SWITCH(
      Q10,
      "1",1,
      "2T",AV10*2,
      "4T",AV10*4,
      "6T",AV10*6,
      "8T",AV10*8,
      "10T",AV10*10,
      "12T",AV10*12,
      "14T",AV10*14,
      "16T",AV10*16,
      "24T",AV10*24,
      "2(T+1)",2*(AV10+1),
      "1T*C",AV10*J12,
      "2*P",L12*2,
      1
  )
)</f>
        <v>1</v>
      </c>
      <c r="W10" s="147" t="str">
        <f>T10</f>
        <v>No</v>
      </c>
      <c r="X10" s="147">
        <f>IF(OR(W10="No",W10=""),V10,W10)</f>
        <v>1</v>
      </c>
      <c r="Y10" s="38">
        <f>VLOOKUP(H10,'Machine List'!$A$1:$C$138,3,FALSE)</f>
        <v>1</v>
      </c>
      <c r="Z10" s="38">
        <f>VLOOKUP(H10,'Machine List'!$A$1:$D$138,4,FALSE)</f>
        <v>1</v>
      </c>
      <c r="AA10" s="147" t="s">
        <v>390</v>
      </c>
      <c r="AB10" s="147">
        <f>VLOOKUP(AA10,'Item Helper Sheet'!$A$2:$B$16,2,FALSE)</f>
        <v>1</v>
      </c>
      <c r="AC10" s="147">
        <v>16.0</v>
      </c>
      <c r="AD10" s="147">
        <f>1.5*20</f>
        <v>30</v>
      </c>
      <c r="AE10" s="147">
        <f>AD10*I12</f>
        <v>1260</v>
      </c>
      <c r="AF10" s="147">
        <f>AC10*AE10</f>
        <v>20160</v>
      </c>
      <c r="AG10" s="148"/>
      <c r="AH10" s="147" t="str">
        <f>AA10</f>
        <v>01 - LV</v>
      </c>
      <c r="AI10" s="147">
        <v>1.0</v>
      </c>
      <c r="AJ10" s="147">
        <v>1.0</v>
      </c>
      <c r="AK10" s="147">
        <f>AJ10*8*4^AB10</f>
        <v>32</v>
      </c>
      <c r="AL10" s="147">
        <f>MIN(ROUNDDOWN(AK10/AN10,0),U10)</f>
        <v>1</v>
      </c>
      <c r="AM10" s="147">
        <f>IF(OR(T10="No",T10=""),AI10*S10,AI10*T10)</f>
        <v>1</v>
      </c>
      <c r="AN10" s="147">
        <f>ROUNDUP(AC10*VLOOKUP(H10,'Machine List'!$A$2:$D$219,4,FALSE),0)</f>
        <v>16</v>
      </c>
      <c r="AO10" s="147">
        <f>AN10*AM10</f>
        <v>16</v>
      </c>
      <c r="AP10" s="147">
        <f>ROUNDUP(AD10*I12,0)</f>
        <v>1260</v>
      </c>
      <c r="AQ10" s="38">
        <f>IF(ISNUMBER(Y10),ROUNDUP(AP10/Y10,0),
  SWITCH(
      Y10,
      "1+0.5C",ROUNDUP(AP10/(1+0.5*VLOOKUP(J12,'Machine Helper Sheet'!$G$1:$K$16,2,FALSE)),0),
      ROUNDUP(AP10/1,0)
  )
)</f>
        <v>1260</v>
      </c>
      <c r="AR10" s="147">
        <f>ROUNDUP(AQ10/AM10,0)</f>
        <v>1260</v>
      </c>
      <c r="AS10" s="147">
        <f>AO10*AR10</f>
        <v>20160</v>
      </c>
      <c r="AT10" s="148"/>
      <c r="AU10" s="147" t="s">
        <v>401</v>
      </c>
      <c r="AV10" s="147">
        <f>VLOOKUP(AU10,'Item Helper Sheet'!$A$2:$B$16,2,FALSE)</f>
        <v>4</v>
      </c>
      <c r="AW10" s="147">
        <f>AI10</f>
        <v>1</v>
      </c>
      <c r="AX10" s="147">
        <v>1.0</v>
      </c>
      <c r="AY10" s="147">
        <f>AX10*8*4^AV10</f>
        <v>2048</v>
      </c>
      <c r="AZ10" s="147">
        <f>MIN(ROUNDDOWN(AY10/AN10,0),X10)</f>
        <v>1</v>
      </c>
      <c r="BA10" s="147">
        <f>AZ10*AW10</f>
        <v>1</v>
      </c>
      <c r="BB10" s="147">
        <f>AN10</f>
        <v>16</v>
      </c>
      <c r="BC10" s="147">
        <f>MIN(AV10-AB10,IF(AY10&gt;=BB11*4,
IF(AY10&gt;=BB11*4^2,
IF(AY10&gt;=BB11*4^3,
IF(AY10&gt;=BB11*4^4,
IF(AY10&gt;=BB11*4^5,
IF(AY10&gt;=BB11*4^6,
IF(AY10&gt;=BB11*4^7,
IF(AY10&gt;=BB11*4^8,
IF(AY10&gt;=BB11*4^9,
IF(AY10&gt;=BB11*4^10,
9),
8),
7),
6),
5),
4),
3),
2),
1),
0))</f>
        <v>3</v>
      </c>
      <c r="BD10" s="147">
        <f>BB10*AZ10*4^BC10</f>
        <v>1024</v>
      </c>
      <c r="BE10" s="147">
        <f>BD10*AW10</f>
        <v>1024</v>
      </c>
      <c r="BF10" s="143">
        <f>ROUNDUP(IF(R10="Yes",AP10/(2^((BC10)*2)),AP10/(2^(BC10))),0)</f>
        <v>158</v>
      </c>
      <c r="BG10" s="45">
        <f>IF(ISNUMBER(Y10),ROUNDUP(BF10/Y10,0),
  SWITCH(
      Y10,
      "1+0.5C",ROUNDUP(BF10/(1+0.5*VLOOKUP(J12,'Machine Helper Sheet'!$G$1:$K$16,2,FALSE)),0),
      ROUNDUP(BF10/1,0)
  )
)</f>
        <v>158</v>
      </c>
      <c r="BH10" s="143">
        <f>ROUNDUP(BG10/BA10,0)</f>
        <v>158</v>
      </c>
      <c r="BI10" s="149">
        <f>BH10*BE10</f>
        <v>161792</v>
      </c>
      <c r="BK10" s="22"/>
      <c r="BS10" s="6" t="s">
        <v>31</v>
      </c>
      <c r="BT10" s="140">
        <v>-14.0</v>
      </c>
      <c r="BU10" s="6">
        <f>VLOOKUP(BS10,'Item List'!$A$2:$D$300,2,FALSE)</f>
        <v>1</v>
      </c>
      <c r="BV10" s="6">
        <f>VLOOKUP(BS10,'Item List'!$A$2:$D$300,3,FALSE)</f>
        <v>3</v>
      </c>
      <c r="BW10" s="6">
        <f>VLOOKUP(BS10,'Item List'!$A$2:$D$300,4,FALSE)</f>
        <v>2</v>
      </c>
      <c r="BY10" s="6"/>
      <c r="CC10" s="102"/>
      <c r="CD10" s="102"/>
      <c r="CE10" s="102"/>
      <c r="CG10" s="5"/>
      <c r="CH10" s="5"/>
      <c r="CI10" s="107">
        <f>BN67/CH6</f>
        <v>115229.6617</v>
      </c>
      <c r="CJ10" s="107">
        <f>BO67/CH6</f>
        <v>116349.6267</v>
      </c>
      <c r="CK10" s="5"/>
    </row>
    <row r="11">
      <c r="B11" s="150"/>
      <c r="C11" s="151" t="s">
        <v>35</v>
      </c>
      <c r="D11" s="147">
        <f>144*I12</f>
        <v>6048</v>
      </c>
      <c r="E11" s="147" t="s">
        <v>34</v>
      </c>
      <c r="F11" s="152">
        <f>1*I12</f>
        <v>42</v>
      </c>
      <c r="G11" s="138"/>
      <c r="H11" s="153" t="s">
        <v>584</v>
      </c>
      <c r="I11" s="143">
        <f t="array" ref="I11">match(TRUE,ISBLANK(F11:F23),0)-1</f>
        <v>1</v>
      </c>
      <c r="J11" s="154" t="s">
        <v>420</v>
      </c>
      <c r="K11" s="154" t="s">
        <v>585</v>
      </c>
      <c r="L11" s="100" t="s">
        <v>704</v>
      </c>
      <c r="M11" s="147"/>
      <c r="N11" s="147"/>
      <c r="O11" s="147"/>
      <c r="P11" s="147"/>
      <c r="Q11" s="147"/>
      <c r="R11" s="155"/>
      <c r="S11" s="155"/>
      <c r="T11" s="155"/>
      <c r="U11" s="143"/>
      <c r="V11" s="143"/>
      <c r="W11" s="143"/>
      <c r="X11" s="143"/>
      <c r="Y11" s="143"/>
      <c r="Z11" s="143"/>
      <c r="AA11" s="143"/>
      <c r="AB11" s="143"/>
      <c r="AC11" s="143"/>
      <c r="AD11" s="143"/>
      <c r="AE11" s="143"/>
      <c r="AF11" s="143"/>
      <c r="AG11" s="156"/>
      <c r="AH11" s="143"/>
      <c r="AI11" s="143"/>
      <c r="AJ11" s="143"/>
      <c r="AK11" s="143"/>
      <c r="AL11" s="143"/>
      <c r="AM11" s="143"/>
      <c r="AN11" s="143"/>
      <c r="AO11" s="143"/>
      <c r="AP11" s="143"/>
      <c r="AQ11" s="143"/>
      <c r="AR11" s="143"/>
      <c r="AS11" s="143"/>
      <c r="AT11" s="156"/>
      <c r="AU11" s="143"/>
      <c r="AV11" s="143"/>
      <c r="AW11" s="143"/>
      <c r="AX11" s="143"/>
      <c r="AY11" s="143"/>
      <c r="AZ11" s="143"/>
      <c r="BA11" s="143"/>
      <c r="BB11" s="143">
        <f>BB10*AZ10</f>
        <v>16</v>
      </c>
      <c r="BC11" s="143"/>
      <c r="BD11" s="143"/>
      <c r="BE11" s="143"/>
      <c r="BF11" s="143"/>
      <c r="BG11" s="143"/>
      <c r="BH11" s="143"/>
      <c r="BI11" s="149"/>
      <c r="BK11" s="22"/>
      <c r="BS11" s="140" t="s">
        <v>32</v>
      </c>
      <c r="BT11" s="140">
        <v>-1.0</v>
      </c>
      <c r="BU11" s="6">
        <f>VLOOKUP(BS11,'Item List'!$A$2:$D$300,2,FALSE)</f>
        <v>1</v>
      </c>
      <c r="BV11" s="6">
        <f>VLOOKUP(BS11,'Item List'!$A$2:$D$300,3,FALSE)</f>
        <v>3</v>
      </c>
      <c r="BW11" s="6">
        <f>VLOOKUP(BS11,'Item List'!$A$2:$D$300,4,FALSE)</f>
        <v>2</v>
      </c>
      <c r="CA11" s="97" t="s">
        <v>589</v>
      </c>
      <c r="CB11" s="97" t="s">
        <v>514</v>
      </c>
      <c r="CC11" s="97" t="s">
        <v>590</v>
      </c>
      <c r="CD11" s="97" t="s">
        <v>591</v>
      </c>
      <c r="CE11" s="97" t="s">
        <v>592</v>
      </c>
    </row>
    <row r="12">
      <c r="B12" s="150"/>
      <c r="C12" s="151"/>
      <c r="D12" s="147"/>
      <c r="E12" s="147"/>
      <c r="F12" s="152"/>
      <c r="G12" s="138"/>
      <c r="H12" s="157" t="s">
        <v>502</v>
      </c>
      <c r="I12" s="158">
        <v>42.0</v>
      </c>
      <c r="J12" s="154" t="s">
        <v>424</v>
      </c>
      <c r="K12" s="154">
        <v>0.0</v>
      </c>
      <c r="L12" s="100">
        <v>0.0</v>
      </c>
      <c r="M12" s="143"/>
      <c r="N12" s="143"/>
      <c r="O12" s="143"/>
      <c r="P12" s="143"/>
      <c r="Q12" s="143"/>
      <c r="R12" s="143"/>
      <c r="S12" s="155"/>
      <c r="T12" s="155"/>
      <c r="U12" s="143"/>
      <c r="V12" s="143"/>
      <c r="W12" s="143"/>
      <c r="X12" s="143"/>
      <c r="Y12" s="143"/>
      <c r="Z12" s="143"/>
      <c r="AA12" s="143"/>
      <c r="AB12" s="143"/>
      <c r="AC12" s="143"/>
      <c r="AD12" s="143"/>
      <c r="AE12" s="143"/>
      <c r="AF12" s="143"/>
      <c r="AG12" s="156"/>
      <c r="AH12" s="143"/>
      <c r="AI12" s="143"/>
      <c r="AJ12" s="143"/>
      <c r="AK12" s="143"/>
      <c r="AL12" s="143"/>
      <c r="AM12" s="143"/>
      <c r="AN12" s="143"/>
      <c r="AO12" s="143"/>
      <c r="AP12" s="143"/>
      <c r="AQ12" s="143"/>
      <c r="AR12" s="143"/>
      <c r="AS12" s="143"/>
      <c r="AT12" s="156"/>
      <c r="AU12" s="143"/>
      <c r="AV12" s="143"/>
      <c r="AW12" s="143"/>
      <c r="AX12" s="143"/>
      <c r="AY12" s="143"/>
      <c r="AZ12" s="143"/>
      <c r="BA12" s="143"/>
      <c r="BB12" s="143"/>
      <c r="BC12" s="143"/>
      <c r="BD12" s="143"/>
      <c r="BE12" s="143"/>
      <c r="BF12" s="143"/>
      <c r="BG12" s="143"/>
      <c r="BH12" s="143"/>
      <c r="BI12" s="149"/>
      <c r="BK12" s="22"/>
      <c r="BS12" s="6" t="s">
        <v>33</v>
      </c>
      <c r="BT12" s="140">
        <v>72.0</v>
      </c>
      <c r="BU12" s="6">
        <f>VLOOKUP(BS12,'Item List'!$A$2:$D$300,2,FALSE)</f>
        <v>1</v>
      </c>
      <c r="BV12" s="6">
        <f>VLOOKUP(BS12,'Item List'!$A$2:$D$300,3,FALSE)</f>
        <v>3</v>
      </c>
      <c r="BW12" s="6">
        <f>VLOOKUP(BS12,'Item List'!$A$2:$D$300,4,FALSE)</f>
        <v>2</v>
      </c>
      <c r="CA12" s="140">
        <f t="shared" ref="CA12:CA13" si="1">BZ12</f>
        <v>28000</v>
      </c>
      <c r="CB12" s="6">
        <f>CA12/LFTR!$CH$21</f>
        <v>2.333333333</v>
      </c>
      <c r="CC12" s="102">
        <f>1/(LFTR!$CI$8/CB12)</f>
        <v>1.296296296</v>
      </c>
      <c r="CD12" s="102">
        <f>1/(LFTR!$CJ$8/CB12)</f>
        <v>2.333333333</v>
      </c>
      <c r="CE12" s="102">
        <f>1/(LFTR!$CK$8/CB12)</f>
        <v>2333.333333</v>
      </c>
      <c r="CG12" s="108" t="s">
        <v>595</v>
      </c>
      <c r="CH12" s="108" t="s">
        <v>596</v>
      </c>
    </row>
    <row r="13">
      <c r="B13" s="135"/>
      <c r="C13" s="136"/>
      <c r="D13" s="137"/>
      <c r="E13" s="137"/>
      <c r="F13" s="137"/>
      <c r="G13" s="138"/>
      <c r="H13" s="137"/>
      <c r="I13" s="137"/>
      <c r="J13" s="137"/>
      <c r="K13" s="137"/>
      <c r="L13" s="137"/>
      <c r="M13" s="137"/>
      <c r="N13" s="137"/>
      <c r="O13" s="137"/>
      <c r="P13" s="137"/>
      <c r="Q13" s="137"/>
      <c r="R13" s="137"/>
      <c r="S13" s="137"/>
      <c r="T13" s="137"/>
      <c r="U13" s="137"/>
      <c r="V13" s="137"/>
      <c r="W13" s="137"/>
      <c r="X13" s="137"/>
      <c r="Y13" s="137"/>
      <c r="Z13" s="137"/>
      <c r="AA13" s="137"/>
      <c r="AB13" s="137"/>
      <c r="AC13" s="137"/>
      <c r="AD13" s="137"/>
      <c r="AE13" s="137"/>
      <c r="AF13" s="137"/>
      <c r="AG13" s="138"/>
      <c r="AH13" s="137"/>
      <c r="AI13" s="137"/>
      <c r="AJ13" s="137"/>
      <c r="AK13" s="137"/>
      <c r="AL13" s="137"/>
      <c r="AM13" s="137"/>
      <c r="AN13" s="137"/>
      <c r="AO13" s="137"/>
      <c r="AP13" s="137"/>
      <c r="AQ13" s="137"/>
      <c r="AR13" s="137"/>
      <c r="AS13" s="137"/>
      <c r="AT13" s="138"/>
      <c r="AU13" s="137"/>
      <c r="AV13" s="137"/>
      <c r="AW13" s="137"/>
      <c r="AX13" s="137"/>
      <c r="AY13" s="137"/>
      <c r="AZ13" s="137"/>
      <c r="BA13" s="137"/>
      <c r="BB13" s="137"/>
      <c r="BC13" s="137"/>
      <c r="BD13" s="137"/>
      <c r="BE13" s="137"/>
      <c r="BF13" s="137"/>
      <c r="BG13" s="137"/>
      <c r="BH13" s="137"/>
      <c r="BI13" s="139"/>
      <c r="BK13" s="22"/>
      <c r="BS13" s="140" t="s">
        <v>34</v>
      </c>
      <c r="BT13" s="140">
        <v>0.0</v>
      </c>
      <c r="BU13" s="6">
        <f>VLOOKUP(BS13,'Item List'!$A$2:$D$300,2,FALSE)</f>
        <v>1</v>
      </c>
      <c r="BV13" s="6">
        <f>VLOOKUP(BS13,'Item List'!$A$2:$D$300,3,FALSE)</f>
        <v>3</v>
      </c>
      <c r="BW13" s="6">
        <f>VLOOKUP(BS13,'Item List'!$A$2:$D$300,4,FALSE)</f>
        <v>2</v>
      </c>
      <c r="CA13" s="140">
        <f t="shared" si="1"/>
        <v>34393</v>
      </c>
      <c r="CB13" s="6">
        <f>CA13/LFTR!$CH$21</f>
        <v>2.866083333</v>
      </c>
      <c r="CC13" s="102">
        <f>1/(LFTR!$CI$8/CB13)</f>
        <v>1.592268519</v>
      </c>
      <c r="CD13" s="102">
        <f>1/(LFTR!$CJ$8/CB13)</f>
        <v>2.866083333</v>
      </c>
      <c r="CE13" s="102">
        <f>1/(LFTR!$CK$8/CB13)</f>
        <v>2866.083333</v>
      </c>
      <c r="CG13" s="98" t="s">
        <v>597</v>
      </c>
      <c r="CH13" s="98" t="s">
        <v>597</v>
      </c>
    </row>
    <row r="14">
      <c r="B14" s="141" t="s">
        <v>710</v>
      </c>
      <c r="C14" s="142"/>
      <c r="D14" s="143"/>
      <c r="E14" s="143"/>
      <c r="F14" s="144"/>
      <c r="G14" s="145"/>
      <c r="H14" s="146" t="s">
        <v>349</v>
      </c>
      <c r="I14" s="147">
        <f>VLOOKUP(H14,'Machine List'!$A$1:$I$300,9,FALSE)</f>
        <v>4000</v>
      </c>
      <c r="J14" s="147">
        <f>IF(VLOOKUP(H14,'Machine List'!$A$1:$I$300,5,FALSE)="Multi",IF(VLOOKUP(H14,'Machine List'!$A$1:$I$300,6,FALSE)="Yes",AI14*3*10^AB14,AI14*(2*3)*10^(AB14-1)),0)</f>
        <v>6</v>
      </c>
      <c r="K14" s="147">
        <f>J14+IF(ISNUMBER(I14),I14,
  SWITCH(
      I14,
      "1T",1*10^AB14,
      "2T",2*10^AB14,
      "3T",3*10^AB14,
      "4T",4*10^AB14,
      "4000+500(7O-5)",4000+500*(7*I15-5),
      "13500 + 16C",13500+16*VLOOKUP(J16,'Machine Helper Sheet'!$G$1:$K$16,5,FALSE),
      1
  )
)</f>
        <v>4006</v>
      </c>
      <c r="L14" s="147">
        <f>IF(VLOOKUP(H14,'Machine List'!$A$1:$I$300,5,FALSE)="Multi",IF(VLOOKUP(H14,'Machine List'!$A$1:$I$300,6,FALSE)="Yes",AW14*3*10^AV14,AW14*(2*3)*10^(AV14-1)),0)</f>
        <v>6000</v>
      </c>
      <c r="M14" s="147">
        <f>L14+IF(ISNUMBER(I14),I14,
  SWITCH(
      I14,
      "1T",1*10^AV14,
      "2T",2*10^AV14,
      "3T",3*10^AV14,
      "4T",4*10^AV14,
      "4000+500(7O-5)",4000+500*(7*I15-5),
      1
  )
)</f>
        <v>10000</v>
      </c>
      <c r="N14" s="147" t="str">
        <f>VLOOKUP(H14,'Machine List'!$A$1:$I$300,8,FALSE)</f>
        <v>Tier</v>
      </c>
      <c r="O14" s="147">
        <f>IF(ISNUMBER(N14),N14,10^AB14)</f>
        <v>10</v>
      </c>
      <c r="P14" s="147">
        <f>IF(ISNUMBER(N14),N14,10^AV14)</f>
        <v>10000</v>
      </c>
      <c r="Q14" s="147">
        <f>VLOOKUP(H14,'Machine List'!$A$1:$B$138,2,FALSE)</f>
        <v>1</v>
      </c>
      <c r="R14" s="147" t="s">
        <v>594</v>
      </c>
      <c r="S14" s="143">
        <f>IF(ISNUMBER(Q14),Q14,
  SWITCH(
      Q14,
      "1",1,
      "2T",AB14*2,
      "4T",AB14*4,
      "6T",AB14*6,
      "8T",AB14*8,
      "10T",AB14*10,
      "12T",AB14*12,
      "14T",AB14*14,
      "16T",AB14*16,
      "24T",AB14*24,
      "2(T+1)",2*(AB14+1),
      "1T*C",AB14*J16,
      "2*P",L16*2,
      1
  )
)</f>
        <v>1</v>
      </c>
      <c r="T14" s="38" t="s">
        <v>277</v>
      </c>
      <c r="U14" s="147">
        <f>IF(OR(T14="No",T14=""),S14,T14)</f>
        <v>1</v>
      </c>
      <c r="V14" s="147">
        <f>IF(ISNUMBER(Q14),Q14,
  SWITCH(
      Q14,
      "1",1,
      "2T",AV14*2,
      "4T",AV14*4,
      "6T",AV14*6,
      "8T",AV14*8,
      "10T",AV14*10,
      "12T",AV14*12,
      "14T",AV14*14,
      "16T",AV14*16,
      "24T",AV14*24,
      "2(T+1)",2*(AV14+1),
      "1T*C",AV14*J16,
      "2*P",L16*2,
      1
  )
)</f>
        <v>1</v>
      </c>
      <c r="W14" s="147" t="str">
        <f>T14</f>
        <v>No</v>
      </c>
      <c r="X14" s="147">
        <f>IF(OR(W14="No",W14=""),V14,W14)</f>
        <v>1</v>
      </c>
      <c r="Y14" s="38">
        <f>VLOOKUP(H14,'Machine List'!$A$1:$C$138,3,FALSE)</f>
        <v>1</v>
      </c>
      <c r="Z14" s="38">
        <f>VLOOKUP(H14,'Machine List'!$A$1:$D$138,4,FALSE)</f>
        <v>1</v>
      </c>
      <c r="AA14" s="147" t="s">
        <v>390</v>
      </c>
      <c r="AB14" s="147">
        <f>VLOOKUP(AA14,'Item Helper Sheet'!$A$2:$B$16,2,FALSE)</f>
        <v>1</v>
      </c>
      <c r="AC14" s="147">
        <v>7.0</v>
      </c>
      <c r="AD14" s="147">
        <f>3*20</f>
        <v>60</v>
      </c>
      <c r="AE14" s="147">
        <f>AD14*I16</f>
        <v>4500</v>
      </c>
      <c r="AF14" s="147">
        <f>AC14*AE14</f>
        <v>31500</v>
      </c>
      <c r="AG14" s="148"/>
      <c r="AH14" s="147" t="str">
        <f>AA14</f>
        <v>01 - LV</v>
      </c>
      <c r="AI14" s="147">
        <v>1.0</v>
      </c>
      <c r="AJ14" s="147">
        <v>1.0</v>
      </c>
      <c r="AK14" s="147">
        <f>AJ14*8*4^AB14</f>
        <v>32</v>
      </c>
      <c r="AL14" s="147">
        <f>MIN(ROUNDDOWN(AK14/AN14,0),U14)</f>
        <v>1</v>
      </c>
      <c r="AM14" s="147">
        <f>IF(OR(T14="No",T14=""),AI14*S14,AI14*T14)</f>
        <v>1</v>
      </c>
      <c r="AN14" s="147">
        <f>ROUNDUP(AC14*VLOOKUP(H14,'Machine List'!$A$2:$D$219,4,FALSE),0)</f>
        <v>7</v>
      </c>
      <c r="AO14" s="147">
        <f>AN14*AM14</f>
        <v>7</v>
      </c>
      <c r="AP14" s="147">
        <f>ROUNDUP(AD14*I16,0)</f>
        <v>4500</v>
      </c>
      <c r="AQ14" s="38">
        <f>IF(ISNUMBER(Y14),ROUNDUP(AP14/Y14,0),
  SWITCH(
      Y14,
      "1+0.5C",ROUNDUP(AP14/(1+0.5*VLOOKUP(J16,'Machine Helper Sheet'!$G$1:$K$16,2,FALSE)),0),
      ROUNDUP(AP14/1,0)
  )
)</f>
        <v>4500</v>
      </c>
      <c r="AR14" s="147">
        <f>ROUNDUP(AQ14/AM14,0)</f>
        <v>4500</v>
      </c>
      <c r="AS14" s="147">
        <f>AO14*AR14</f>
        <v>31500</v>
      </c>
      <c r="AT14" s="148"/>
      <c r="AU14" s="147" t="s">
        <v>401</v>
      </c>
      <c r="AV14" s="147">
        <f>VLOOKUP(AU14,'Item Helper Sheet'!$A$2:$B$16,2,FALSE)</f>
        <v>4</v>
      </c>
      <c r="AW14" s="147">
        <f>AI14</f>
        <v>1</v>
      </c>
      <c r="AX14" s="147">
        <v>1.0</v>
      </c>
      <c r="AY14" s="147">
        <f>AX14*8*4^AV14</f>
        <v>2048</v>
      </c>
      <c r="AZ14" s="147">
        <f>MIN(ROUNDDOWN(AY14/AN14,0),X14)</f>
        <v>1</v>
      </c>
      <c r="BA14" s="147">
        <f>AZ14*AW14</f>
        <v>1</v>
      </c>
      <c r="BB14" s="147">
        <f>AN14</f>
        <v>7</v>
      </c>
      <c r="BC14" s="147">
        <f>MIN(AV14-AB14,IF(AY14&gt;=BB15*4,
IF(AY14&gt;=BB15*4^2,
IF(AY14&gt;=BB15*4^3,
IF(AY14&gt;=BB15*4^4,
IF(AY14&gt;=BB15*4^5,
IF(AY14&gt;=BB15*4^6,
IF(AY14&gt;=BB15*4^7,
IF(AY14&gt;=BB15*4^8,
IF(AY14&gt;=BB15*4^9,
IF(AY14&gt;=BB15*4^10,
9),
8),
7),
6),
5),
4),
3),
2),
1),
0))</f>
        <v>3</v>
      </c>
      <c r="BD14" s="147">
        <f>BB14*AZ14*4^BC14</f>
        <v>448</v>
      </c>
      <c r="BE14" s="147">
        <f>BD14*AW14</f>
        <v>448</v>
      </c>
      <c r="BF14" s="143">
        <f>ROUNDUP(IF(R14="Yes",AP14/(2^((BC14)*2)),AP14/(2^(BC14))),0)</f>
        <v>71</v>
      </c>
      <c r="BG14" s="45">
        <f>IF(ISNUMBER(Y14),ROUNDUP(BF14/Y14,0),
  SWITCH(
      Y14,
      "1+0.5C",ROUNDUP(BF14/(1+0.5*VLOOKUP(J16,'Machine Helper Sheet'!$G$1:$K$16,2,FALSE)),0),
      ROUNDUP(BF14/1,0)
  )
)</f>
        <v>71</v>
      </c>
      <c r="BH14" s="143">
        <f>ROUNDUP(BG14/BA14,0)</f>
        <v>71</v>
      </c>
      <c r="BI14" s="149">
        <f>BH14*BE14</f>
        <v>31808</v>
      </c>
      <c r="BK14" s="22"/>
      <c r="BS14" s="140" t="s">
        <v>35</v>
      </c>
      <c r="BT14" s="140">
        <v>0.0</v>
      </c>
      <c r="BU14" s="6">
        <f>VLOOKUP(BS14,'Item List'!$A$2:$D$300,2,FALSE)</f>
        <v>1</v>
      </c>
      <c r="BV14" s="6">
        <f>VLOOKUP(BS14,'Item List'!$A$2:$D$300,3,FALSE)</f>
        <v>3</v>
      </c>
      <c r="BW14" s="6">
        <f>VLOOKUP(BS14,'Item List'!$A$2:$D$300,4,FALSE)</f>
        <v>2</v>
      </c>
      <c r="CG14" s="5">
        <f>BX94</f>
        <v>22</v>
      </c>
      <c r="CH14" s="5">
        <f>BX120</f>
        <v>23</v>
      </c>
    </row>
    <row r="15">
      <c r="B15" s="150"/>
      <c r="C15" s="151" t="s">
        <v>87</v>
      </c>
      <c r="D15" s="147">
        <f>1000*I16</f>
        <v>75000</v>
      </c>
      <c r="E15" s="147" t="s">
        <v>86</v>
      </c>
      <c r="F15" s="152">
        <f>1000*I16</f>
        <v>75000</v>
      </c>
      <c r="G15" s="138"/>
      <c r="H15" s="153" t="s">
        <v>584</v>
      </c>
      <c r="I15" s="143">
        <f t="array" ref="I15">match(TRUE,ISBLANK(F15:F27),0)-1</f>
        <v>1</v>
      </c>
      <c r="J15" s="154" t="s">
        <v>420</v>
      </c>
      <c r="K15" s="154" t="s">
        <v>585</v>
      </c>
      <c r="L15" s="100" t="s">
        <v>704</v>
      </c>
      <c r="M15" s="147"/>
      <c r="N15" s="147"/>
      <c r="O15" s="147"/>
      <c r="P15" s="147"/>
      <c r="Q15" s="147"/>
      <c r="R15" s="155"/>
      <c r="S15" s="155"/>
      <c r="T15" s="155"/>
      <c r="U15" s="143"/>
      <c r="V15" s="143"/>
      <c r="W15" s="143"/>
      <c r="X15" s="143"/>
      <c r="Y15" s="143"/>
      <c r="Z15" s="143"/>
      <c r="AA15" s="143"/>
      <c r="AB15" s="143"/>
      <c r="AC15" s="143"/>
      <c r="AD15" s="143"/>
      <c r="AE15" s="143"/>
      <c r="AF15" s="143"/>
      <c r="AG15" s="156"/>
      <c r="AH15" s="143"/>
      <c r="AI15" s="143"/>
      <c r="AJ15" s="143"/>
      <c r="AK15" s="143"/>
      <c r="AL15" s="143"/>
      <c r="AM15" s="143"/>
      <c r="AN15" s="143"/>
      <c r="AO15" s="143"/>
      <c r="AP15" s="143"/>
      <c r="AQ15" s="143"/>
      <c r="AR15" s="143"/>
      <c r="AS15" s="143"/>
      <c r="AT15" s="156"/>
      <c r="AU15" s="143"/>
      <c r="AV15" s="143"/>
      <c r="AW15" s="143"/>
      <c r="AX15" s="143"/>
      <c r="AY15" s="143"/>
      <c r="AZ15" s="143"/>
      <c r="BA15" s="143"/>
      <c r="BB15" s="143">
        <f>BB14*AZ14</f>
        <v>7</v>
      </c>
      <c r="BC15" s="143"/>
      <c r="BD15" s="143"/>
      <c r="BE15" s="143"/>
      <c r="BF15" s="143"/>
      <c r="BG15" s="143"/>
      <c r="BH15" s="143"/>
      <c r="BI15" s="149"/>
      <c r="BK15" s="22"/>
      <c r="BS15" s="140" t="s">
        <v>48</v>
      </c>
      <c r="BT15" s="140">
        <v>-4000.0</v>
      </c>
      <c r="BU15" s="6">
        <f>VLOOKUP(BS15,'Item List'!$A$2:$D$300,2,FALSE)</f>
        <v>1</v>
      </c>
      <c r="BV15" s="6">
        <f>VLOOKUP(BS15,'Item List'!$A$2:$D$300,3,FALSE)</f>
        <v>4</v>
      </c>
      <c r="BW15" s="6">
        <f>VLOOKUP(BS15,'Item List'!$A$2:$D$300,4,FALSE)</f>
        <v>1</v>
      </c>
      <c r="CG15" s="98" t="s">
        <v>598</v>
      </c>
      <c r="CH15" s="98" t="s">
        <v>598</v>
      </c>
    </row>
    <row r="16">
      <c r="B16" s="150"/>
      <c r="C16" s="151" t="s">
        <v>72</v>
      </c>
      <c r="D16" s="147">
        <f>1000*I16</f>
        <v>75000</v>
      </c>
      <c r="E16" s="147"/>
      <c r="F16" s="152"/>
      <c r="G16" s="138"/>
      <c r="H16" s="157" t="s">
        <v>502</v>
      </c>
      <c r="I16" s="158">
        <v>75.0</v>
      </c>
      <c r="J16" s="154" t="s">
        <v>424</v>
      </c>
      <c r="K16" s="154">
        <v>0.0</v>
      </c>
      <c r="L16" s="100">
        <v>0.0</v>
      </c>
      <c r="M16" s="143"/>
      <c r="N16" s="143"/>
      <c r="O16" s="143"/>
      <c r="P16" s="143"/>
      <c r="Q16" s="143"/>
      <c r="R16" s="143"/>
      <c r="S16" s="155"/>
      <c r="T16" s="155"/>
      <c r="U16" s="143"/>
      <c r="V16" s="143"/>
      <c r="W16" s="143"/>
      <c r="X16" s="143"/>
      <c r="Y16" s="143"/>
      <c r="Z16" s="143"/>
      <c r="AA16" s="143"/>
      <c r="AB16" s="143"/>
      <c r="AC16" s="143"/>
      <c r="AD16" s="143"/>
      <c r="AE16" s="143"/>
      <c r="AF16" s="143"/>
      <c r="AG16" s="156"/>
      <c r="AH16" s="143"/>
      <c r="AI16" s="143"/>
      <c r="AJ16" s="143"/>
      <c r="AK16" s="143"/>
      <c r="AL16" s="143"/>
      <c r="AM16" s="143"/>
      <c r="AN16" s="143"/>
      <c r="AO16" s="143"/>
      <c r="AP16" s="143"/>
      <c r="AQ16" s="143"/>
      <c r="AR16" s="143"/>
      <c r="AS16" s="143"/>
      <c r="AT16" s="156"/>
      <c r="AU16" s="143"/>
      <c r="AV16" s="143"/>
      <c r="AW16" s="143"/>
      <c r="AX16" s="143"/>
      <c r="AY16" s="143"/>
      <c r="AZ16" s="143"/>
      <c r="BA16" s="143"/>
      <c r="BB16" s="143"/>
      <c r="BC16" s="143"/>
      <c r="BD16" s="143"/>
      <c r="BE16" s="143"/>
      <c r="BF16" s="143"/>
      <c r="BG16" s="143"/>
      <c r="BH16" s="143"/>
      <c r="BI16" s="149"/>
      <c r="BK16" s="22"/>
      <c r="BS16" s="140" t="s">
        <v>49</v>
      </c>
      <c r="BT16" s="140">
        <v>0.0</v>
      </c>
      <c r="BU16" s="6">
        <f>VLOOKUP(BS16,'Item List'!$A$2:$D$300,2,FALSE)</f>
        <v>1</v>
      </c>
      <c r="BV16" s="6">
        <f>VLOOKUP(BS16,'Item List'!$A$2:$D$300,3,FALSE)</f>
        <v>3</v>
      </c>
      <c r="BW16" s="6">
        <f>VLOOKUP(BS16,'Item List'!$A$2:$D$300,4,FALSE)</f>
        <v>2</v>
      </c>
      <c r="CA16" s="6" t="str">
        <f>BZ16</f>
        <v/>
      </c>
      <c r="CC16" s="102"/>
      <c r="CD16" s="102"/>
      <c r="CE16" s="102"/>
      <c r="CG16" s="5">
        <f>SUM(BZ45:BZ66)</f>
        <v>94480</v>
      </c>
      <c r="CH16" s="5">
        <f>SUM(CD45:CD66)</f>
        <v>260000</v>
      </c>
    </row>
    <row r="17">
      <c r="B17" s="135"/>
      <c r="C17" s="136"/>
      <c r="D17" s="137"/>
      <c r="E17" s="137"/>
      <c r="F17" s="137"/>
      <c r="G17" s="138"/>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8"/>
      <c r="AH17" s="137"/>
      <c r="AI17" s="137"/>
      <c r="AJ17" s="137"/>
      <c r="AK17" s="137"/>
      <c r="AL17" s="137"/>
      <c r="AM17" s="137"/>
      <c r="AN17" s="137"/>
      <c r="AO17" s="137"/>
      <c r="AP17" s="137"/>
      <c r="AQ17" s="137"/>
      <c r="AR17" s="137"/>
      <c r="AS17" s="137"/>
      <c r="AT17" s="138"/>
      <c r="AU17" s="137"/>
      <c r="AV17" s="137"/>
      <c r="AW17" s="137"/>
      <c r="AX17" s="137"/>
      <c r="AY17" s="137"/>
      <c r="AZ17" s="137"/>
      <c r="BA17" s="137"/>
      <c r="BB17" s="137"/>
      <c r="BC17" s="137"/>
      <c r="BD17" s="137"/>
      <c r="BE17" s="137"/>
      <c r="BF17" s="137"/>
      <c r="BG17" s="137"/>
      <c r="BH17" s="137"/>
      <c r="BI17" s="139"/>
      <c r="BK17" s="22"/>
      <c r="BS17" s="140" t="s">
        <v>72</v>
      </c>
      <c r="BT17" s="140">
        <v>-75000.0</v>
      </c>
      <c r="BU17" s="6">
        <f>VLOOKUP(BS17,'Item List'!$A$2:$D$300,2,FALSE)</f>
        <v>1</v>
      </c>
      <c r="BV17" s="6">
        <f>VLOOKUP(BS17,'Item List'!$A$2:$D$300,3,FALSE)</f>
        <v>3</v>
      </c>
      <c r="BW17" s="6">
        <f>VLOOKUP(BS17,'Item List'!$A$2:$D$300,4,FALSE)</f>
        <v>2</v>
      </c>
      <c r="CG17" s="98" t="s">
        <v>600</v>
      </c>
      <c r="CH17" s="98" t="s">
        <v>600</v>
      </c>
    </row>
    <row r="18">
      <c r="B18" s="141" t="s">
        <v>711</v>
      </c>
      <c r="C18" s="142"/>
      <c r="D18" s="143"/>
      <c r="E18" s="143"/>
      <c r="F18" s="144"/>
      <c r="G18" s="145"/>
      <c r="H18" s="146" t="s">
        <v>376</v>
      </c>
      <c r="I18" s="147" t="str">
        <f>VLOOKUP(H18,'Machine List'!$A$1:$I$300,9,FALSE)</f>
        <v>1T</v>
      </c>
      <c r="J18" s="147">
        <f>IF(VLOOKUP(H18,'Machine List'!$A$1:$I$300,5,FALSE)="Multi",IF(VLOOKUP(H18,'Machine List'!$A$1:$I$300,6,FALSE)="Yes",AI18*3*10^AB18,AI18*(2*3)*10^(AB18-1)),0)</f>
        <v>600</v>
      </c>
      <c r="K18" s="147">
        <f>J18+IF(ISNUMBER(I18),I18,
  SWITCH(
      I18,
      "1T",1*10^AB18,
      "2T",2*10^AB18,
      "3T",3*10^AB18,
      "4T",4*10^AB18,
      "4000+500(7O-5)",4000+500*(7*I19-5),
      "13500 + 16C",13500+16*VLOOKUP(J20,'Machine Helper Sheet'!$G$1:$K$16,5,FALSE),
      1
  )
)</f>
        <v>1600</v>
      </c>
      <c r="L18" s="147">
        <f>IF(VLOOKUP(H18,'Machine List'!$A$1:$I$300,5,FALSE)="Multi",IF(VLOOKUP(H18,'Machine List'!$A$1:$I$300,6,FALSE)="Yes",AW18*3*10^AV18,AW18*(2*3)*10^(AV18-1)),0)</f>
        <v>6000</v>
      </c>
      <c r="M18" s="147">
        <f>L18+IF(ISNUMBER(I18),I18,
  SWITCH(
      I18,
      "1T",1*10^AV18,
      "2T",2*10^AV18,
      "3T",3*10^AV18,
      "4T",4*10^AV18,
      "4000+500(7O-5)",4000+500*(7*I19-5),
      1
  )
)</f>
        <v>16000</v>
      </c>
      <c r="N18" s="147" t="str">
        <f>VLOOKUP(H18,'Machine List'!$A$1:$I$300,8,FALSE)</f>
        <v>Tier</v>
      </c>
      <c r="O18" s="147">
        <f>IF(ISNUMBER(N18),N18,10^AB18)</f>
        <v>1000</v>
      </c>
      <c r="P18" s="147">
        <f>IF(ISNUMBER(N18),N18,10^AV18)</f>
        <v>10000</v>
      </c>
      <c r="Q18" s="147" t="str">
        <f>VLOOKUP(H18,'Machine List'!$A$1:$B$138,2,FALSE)</f>
        <v>2*P</v>
      </c>
      <c r="R18" s="147" t="s">
        <v>277</v>
      </c>
      <c r="S18" s="45">
        <f>IF(ISNUMBER(Q18),Q18,
  SWITCH(
      Q18,
      "1",1,
      "2T",AB18*2,
      "4T",AB18*4,
      "6T",AB18*6,
      "8T",AB18*8,
      "10T",AB18*10,
      "12T",AB18*12,
      "14T",AB18*14,
      "16T",AB18*16,
      "24T",AB18*24,
      "2(T+1)",2*(AB18+1),
      "1T*C",AB18*J20,
      "2*P",L20*2,
      1
  )
)</f>
        <v>2</v>
      </c>
      <c r="T18" s="38" t="s">
        <v>277</v>
      </c>
      <c r="U18" s="38">
        <f>IF(OR(T18="No",T18=""),S18,T18)</f>
        <v>2</v>
      </c>
      <c r="V18" s="38">
        <f>IF(ISNUMBER(Q18),Q18,
  SWITCH(
      Q18,
      "1",1,
      "2T",AV18*2,
      "4T",AV18*4,
      "6T",AV18*6,
      "8T",AV18*8,
      "10T",AV18*10,
      "12T",AV18*12,
      "14T",AV18*14,
      "16T",AV18*16,
      "24T",AV18*24,
      "2(T+1)",2*(AV18+1),
      "1T*C",AV18*J20,
      "2*P",L20*2,
      1
  )
)</f>
        <v>2</v>
      </c>
      <c r="W18" s="147" t="str">
        <f>T18</f>
        <v>No</v>
      </c>
      <c r="X18" s="147">
        <f>IF(OR(W18="No",W18=""),V18,W18)</f>
        <v>2</v>
      </c>
      <c r="Y18" s="38" t="str">
        <f>VLOOKUP(H18,'Machine List'!$A$1:$C$138,3,FALSE)</f>
        <v>1+0.5C</v>
      </c>
      <c r="Z18" s="38">
        <f>VLOOKUP(H18,'Machine List'!$A$1:$D$138,4,FALSE)</f>
        <v>1</v>
      </c>
      <c r="AA18" s="147" t="s">
        <v>397</v>
      </c>
      <c r="AB18" s="147">
        <f>VLOOKUP(AA18,'Item Helper Sheet'!$A$2:$B$16,2,FALSE)</f>
        <v>3</v>
      </c>
      <c r="AC18" s="147">
        <v>480.0</v>
      </c>
      <c r="AD18" s="147">
        <f>30*20</f>
        <v>600</v>
      </c>
      <c r="AE18" s="147">
        <f>AD18*I20</f>
        <v>9000</v>
      </c>
      <c r="AF18" s="147">
        <f>AC18*AE18</f>
        <v>4320000</v>
      </c>
      <c r="AG18" s="148"/>
      <c r="AH18" s="147" t="str">
        <f>AA18</f>
        <v>03 - HV</v>
      </c>
      <c r="AI18" s="147">
        <v>1.0</v>
      </c>
      <c r="AJ18" s="147">
        <v>1.0</v>
      </c>
      <c r="AK18" s="147">
        <f>AJ18*8*4^AB18</f>
        <v>512</v>
      </c>
      <c r="AL18" s="147">
        <f>MIN(ROUNDDOWN(AK18/AN18,0),U18)</f>
        <v>1</v>
      </c>
      <c r="AM18" s="147">
        <f>IF(OR(T18="No",T18=""),AI18*S18,AI18*T18)</f>
        <v>2</v>
      </c>
      <c r="AN18" s="147">
        <f>ROUNDUP(AC18*VLOOKUP(H18,'Machine List'!$A$2:$D$219,4,FALSE),0)</f>
        <v>480</v>
      </c>
      <c r="AO18" s="147">
        <f>AN18*AM18</f>
        <v>960</v>
      </c>
      <c r="AP18" s="147">
        <f>ROUNDUP(AD18*I20,0)</f>
        <v>9000</v>
      </c>
      <c r="AQ18" s="38">
        <f>IF(ISNUMBER(Y18),ROUNDUP(AP18/Y18,0),
  SWITCH(
      Y18,
      "1+0.5C",ROUNDUP(AP18/(1+0.5*VLOOKUP(J20,'Machine Helper Sheet'!$G$1:$K$16,2,FALSE)),0),
      ROUNDUP(AP18/1,0)
  )
)</f>
        <v>6000</v>
      </c>
      <c r="AR18" s="147">
        <f>ROUNDUP(AQ18/AM18,0)</f>
        <v>3000</v>
      </c>
      <c r="AS18" s="147">
        <f>AO18*AR18</f>
        <v>2880000</v>
      </c>
      <c r="AT18" s="148"/>
      <c r="AU18" s="147" t="s">
        <v>401</v>
      </c>
      <c r="AV18" s="147">
        <f>VLOOKUP(AU18,'Item Helper Sheet'!$A$2:$B$16,2,FALSE)</f>
        <v>4</v>
      </c>
      <c r="AW18" s="147">
        <f>AI18</f>
        <v>1</v>
      </c>
      <c r="AX18" s="147">
        <v>1.0</v>
      </c>
      <c r="AY18" s="147">
        <f>AX18*8*4^AV18</f>
        <v>2048</v>
      </c>
      <c r="AZ18" s="147">
        <f>MIN(ROUNDDOWN(AY18/AN18,0),X18)</f>
        <v>2</v>
      </c>
      <c r="BA18" s="147">
        <f>AZ18*AW18</f>
        <v>2</v>
      </c>
      <c r="BB18" s="147">
        <f>AN18</f>
        <v>480</v>
      </c>
      <c r="BC18" s="147">
        <f>MIN(AV18-AB18,IF(AY18&gt;=BB19*4,
IF(AY18&gt;=BB19*4^2,
IF(AY18&gt;=BB19*4^3,
IF(AY18&gt;=BB19*4^4,
IF(AY18&gt;=BB19*4^5,
IF(AY18&gt;=BB19*4^6,
IF(AY18&gt;=BB19*4^7,
IF(AY18&gt;=BB19*4^8,
IF(AY18&gt;=BB19*4^9,
IF(AY18&gt;=BB19*4^10,
9),
8),
7),
6),
5),
4),
3),
2),
1),
0))</f>
        <v>0</v>
      </c>
      <c r="BD18" s="147">
        <f>BB18*AZ18*4^BC18</f>
        <v>960</v>
      </c>
      <c r="BE18" s="147">
        <f>BD18*AW18</f>
        <v>960</v>
      </c>
      <c r="BF18" s="143">
        <f>ROUNDUP(IF(R18="Yes",AP18/(2^((BC18)*2)),AP18/(2^(BC18))),0)</f>
        <v>9000</v>
      </c>
      <c r="BG18" s="45">
        <f>IF(ISNUMBER(Y18),ROUNDUP(BF18/Y18,0),
  SWITCH(
      Y18,
      "1+0.5C",ROUNDUP(BF18/(1+0.5*VLOOKUP(J20,'Machine Helper Sheet'!$G$1:$K$16,2,FALSE)),0),
      ROUNDUP(BF18/1,0)
  )
)</f>
        <v>6000</v>
      </c>
      <c r="BH18" s="143">
        <f>ROUNDUP(BG18/BA18,0)</f>
        <v>3000</v>
      </c>
      <c r="BI18" s="149">
        <f>BH18*BE18</f>
        <v>2880000</v>
      </c>
      <c r="BK18" s="22"/>
      <c r="BS18" s="140" t="s">
        <v>85</v>
      </c>
      <c r="BT18" s="140">
        <v>4000.0</v>
      </c>
      <c r="BU18" s="6">
        <f>VLOOKUP(BS18,'Item List'!$A$2:$D$300,2,FALSE)</f>
        <v>1</v>
      </c>
      <c r="BV18" s="6">
        <f>VLOOKUP(BS18,'Item List'!$A$2:$D$300,3,FALSE)</f>
        <v>4</v>
      </c>
      <c r="BW18" s="6">
        <f>VLOOKUP(BS18,'Item List'!$A$2:$D$300,4,FALSE)</f>
        <v>2</v>
      </c>
      <c r="CG18" s="5">
        <f>CA68</f>
        <v>10000</v>
      </c>
      <c r="CH18" s="5">
        <f>CE68</f>
        <v>10000</v>
      </c>
    </row>
    <row r="19">
      <c r="B19" s="150"/>
      <c r="C19" s="151" t="s">
        <v>91</v>
      </c>
      <c r="D19" s="147">
        <f>2000*I20</f>
        <v>30000</v>
      </c>
      <c r="E19" s="147" t="s">
        <v>91</v>
      </c>
      <c r="F19" s="152">
        <f>4500*I20</f>
        <v>67500</v>
      </c>
      <c r="G19" s="138"/>
      <c r="H19" s="153" t="s">
        <v>584</v>
      </c>
      <c r="I19" s="143">
        <f t="array" ref="I19">match(TRUE,ISBLANK(F19:F31),0)-1</f>
        <v>1</v>
      </c>
      <c r="J19" s="154" t="s">
        <v>420</v>
      </c>
      <c r="K19" s="154" t="s">
        <v>585</v>
      </c>
      <c r="L19" s="100" t="s">
        <v>704</v>
      </c>
      <c r="M19" s="147"/>
      <c r="N19" s="147"/>
      <c r="O19" s="147"/>
      <c r="P19" s="147"/>
      <c r="Q19" s="147"/>
      <c r="R19" s="155"/>
      <c r="S19" s="155"/>
      <c r="T19" s="155"/>
      <c r="U19" s="143"/>
      <c r="V19" s="143"/>
      <c r="W19" s="143"/>
      <c r="X19" s="143"/>
      <c r="Y19" s="143"/>
      <c r="Z19" s="143"/>
      <c r="AA19" s="143"/>
      <c r="AB19" s="143"/>
      <c r="AC19" s="143"/>
      <c r="AD19" s="143"/>
      <c r="AE19" s="143"/>
      <c r="AF19" s="143"/>
      <c r="AG19" s="156"/>
      <c r="AH19" s="143"/>
      <c r="AI19" s="143"/>
      <c r="AJ19" s="143"/>
      <c r="AK19" s="143"/>
      <c r="AL19" s="143"/>
      <c r="AM19" s="143"/>
      <c r="AN19" s="143"/>
      <c r="AO19" s="143"/>
      <c r="AP19" s="143"/>
      <c r="AQ19" s="143"/>
      <c r="AR19" s="143"/>
      <c r="AS19" s="143"/>
      <c r="AT19" s="156"/>
      <c r="AU19" s="143"/>
      <c r="AV19" s="143"/>
      <c r="AW19" s="143"/>
      <c r="AX19" s="143"/>
      <c r="AY19" s="143"/>
      <c r="AZ19" s="143"/>
      <c r="BA19" s="143"/>
      <c r="BB19" s="143">
        <f>BB18*AZ18</f>
        <v>960</v>
      </c>
      <c r="BC19" s="143"/>
      <c r="BD19" s="143"/>
      <c r="BE19" s="143"/>
      <c r="BF19" s="143"/>
      <c r="BG19" s="143"/>
      <c r="BH19" s="143"/>
      <c r="BI19" s="149"/>
      <c r="BK19" s="22"/>
      <c r="BS19" s="140" t="s">
        <v>86</v>
      </c>
      <c r="BT19" s="140">
        <v>0.0</v>
      </c>
      <c r="BU19" s="6">
        <f>VLOOKUP(BS19,'Item List'!$A$2:$D$300,2,FALSE)</f>
        <v>1</v>
      </c>
      <c r="BV19" s="6">
        <f>VLOOKUP(BS19,'Item List'!$A$2:$D$300,3,FALSE)</f>
        <v>3</v>
      </c>
      <c r="BW19" s="6">
        <f>VLOOKUP(BS19,'Item List'!$A$2:$D$300,4,FALSE)</f>
        <v>2</v>
      </c>
    </row>
    <row r="20">
      <c r="B20" s="150"/>
      <c r="C20" s="151" t="s">
        <v>86</v>
      </c>
      <c r="D20" s="147">
        <f>5000*I20</f>
        <v>75000</v>
      </c>
      <c r="E20" s="147"/>
      <c r="F20" s="152"/>
      <c r="G20" s="138"/>
      <c r="H20" s="157" t="s">
        <v>502</v>
      </c>
      <c r="I20" s="158">
        <v>15.0</v>
      </c>
      <c r="J20" s="154" t="s">
        <v>427</v>
      </c>
      <c r="K20" s="154">
        <v>0.0</v>
      </c>
      <c r="L20" s="100">
        <v>1.0</v>
      </c>
      <c r="M20" s="143"/>
      <c r="N20" s="143"/>
      <c r="O20" s="143"/>
      <c r="P20" s="143"/>
      <c r="Q20" s="143"/>
      <c r="R20" s="143"/>
      <c r="S20" s="155"/>
      <c r="T20" s="155"/>
      <c r="U20" s="143"/>
      <c r="V20" s="143"/>
      <c r="W20" s="143"/>
      <c r="X20" s="143"/>
      <c r="Y20" s="143"/>
      <c r="Z20" s="143"/>
      <c r="AA20" s="143"/>
      <c r="AB20" s="143"/>
      <c r="AC20" s="143"/>
      <c r="AD20" s="143"/>
      <c r="AE20" s="143"/>
      <c r="AF20" s="143"/>
      <c r="AG20" s="156"/>
      <c r="AH20" s="143"/>
      <c r="AI20" s="143"/>
      <c r="AJ20" s="143"/>
      <c r="AK20" s="143"/>
      <c r="AL20" s="143"/>
      <c r="AM20" s="143"/>
      <c r="AN20" s="143"/>
      <c r="AO20" s="143"/>
      <c r="AP20" s="143"/>
      <c r="AQ20" s="143"/>
      <c r="AR20" s="143"/>
      <c r="AS20" s="143"/>
      <c r="AT20" s="156"/>
      <c r="AU20" s="143"/>
      <c r="AV20" s="143"/>
      <c r="AW20" s="143"/>
      <c r="AX20" s="143"/>
      <c r="AY20" s="143"/>
      <c r="AZ20" s="143"/>
      <c r="BA20" s="143"/>
      <c r="BB20" s="143"/>
      <c r="BC20" s="143"/>
      <c r="BD20" s="143"/>
      <c r="BE20" s="143"/>
      <c r="BF20" s="143"/>
      <c r="BG20" s="143"/>
      <c r="BH20" s="143"/>
      <c r="BI20" s="149"/>
      <c r="BK20" s="22"/>
      <c r="BS20" s="6" t="s">
        <v>87</v>
      </c>
      <c r="BT20" s="6">
        <v>-103000.0</v>
      </c>
      <c r="BU20" s="6">
        <f>VLOOKUP(BS20,'Item List'!$A$2:$D$300,2,FALSE)</f>
        <v>1</v>
      </c>
      <c r="BV20" s="6">
        <f>VLOOKUP(BS20,'Item List'!$A$2:$D$300,3,FALSE)</f>
        <v>4</v>
      </c>
      <c r="BW20" s="6">
        <f>VLOOKUP(BS20,'Item List'!$A$2:$D$300,4,FALSE)</f>
        <v>1</v>
      </c>
      <c r="CG20" s="98" t="s">
        <v>602</v>
      </c>
      <c r="CH20" s="98" t="s">
        <v>583</v>
      </c>
      <c r="CI20" s="98" t="s">
        <v>603</v>
      </c>
      <c r="CJ20" s="98" t="s">
        <v>604</v>
      </c>
    </row>
    <row r="21">
      <c r="B21" s="135"/>
      <c r="C21" s="136"/>
      <c r="D21" s="137"/>
      <c r="E21" s="137"/>
      <c r="F21" s="137"/>
      <c r="G21" s="138"/>
      <c r="H21" s="137"/>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8"/>
      <c r="AH21" s="137"/>
      <c r="AI21" s="137"/>
      <c r="AJ21" s="137"/>
      <c r="AK21" s="137"/>
      <c r="AL21" s="137"/>
      <c r="AM21" s="137"/>
      <c r="AN21" s="137"/>
      <c r="AO21" s="137"/>
      <c r="AP21" s="137"/>
      <c r="AQ21" s="137"/>
      <c r="AR21" s="137"/>
      <c r="AS21" s="137"/>
      <c r="AT21" s="138"/>
      <c r="AU21" s="137"/>
      <c r="AV21" s="137"/>
      <c r="AW21" s="137"/>
      <c r="AX21" s="137"/>
      <c r="AY21" s="137"/>
      <c r="AZ21" s="137"/>
      <c r="BA21" s="137"/>
      <c r="BB21" s="137"/>
      <c r="BC21" s="137"/>
      <c r="BD21" s="137"/>
      <c r="BE21" s="137"/>
      <c r="BF21" s="137"/>
      <c r="BG21" s="137"/>
      <c r="BH21" s="137"/>
      <c r="BI21" s="139"/>
      <c r="BK21" s="22"/>
      <c r="BS21" s="140" t="s">
        <v>91</v>
      </c>
      <c r="BT21" s="140">
        <v>0.0</v>
      </c>
      <c r="BU21" s="6">
        <f>VLOOKUP(BS21,'Item List'!$A$2:$D$300,2,FALSE)</f>
        <v>1</v>
      </c>
      <c r="BV21" s="6">
        <f>VLOOKUP(BS21,'Item List'!$A$2:$D$300,3,FALSE)</f>
        <v>3</v>
      </c>
      <c r="BW21" s="6">
        <f>VLOOKUP(BS21,'Item List'!$A$2:$D$300,4,FALSE)</f>
        <v>2</v>
      </c>
      <c r="CG21" s="5" t="str">
        <f t="shared" ref="CG21:CH21" si="2">CG6</f>
        <v>LFTR Fuel 1</v>
      </c>
      <c r="CH21" s="5">
        <f t="shared" si="2"/>
        <v>12000</v>
      </c>
      <c r="CI21" s="4">
        <v>655630.0</v>
      </c>
      <c r="CJ21" s="109">
        <v>1.0</v>
      </c>
    </row>
    <row r="22">
      <c r="B22" s="141" t="s">
        <v>712</v>
      </c>
      <c r="C22" s="142"/>
      <c r="D22" s="143"/>
      <c r="E22" s="143"/>
      <c r="F22" s="144"/>
      <c r="G22" s="145"/>
      <c r="H22" s="146" t="s">
        <v>349</v>
      </c>
      <c r="I22" s="147">
        <f>VLOOKUP(H22,'Machine List'!$A$1:$I$300,9,FALSE)</f>
        <v>4000</v>
      </c>
      <c r="J22" s="147">
        <f>IF(VLOOKUP(H22,'Machine List'!$A$1:$I$300,5,FALSE)="Multi",IF(VLOOKUP(H22,'Machine List'!$A$1:$I$300,6,FALSE)="Yes",AI22*3*10^AB22,AI22*(2*3)*10^(AB22-1)),0)</f>
        <v>6</v>
      </c>
      <c r="K22" s="147">
        <f>J22+IF(ISNUMBER(I22),I22,
  SWITCH(
      I22,
      "1T",1*10^AB22,
      "2T",2*10^AB22,
      "3T",3*10^AB22,
      "4T",4*10^AB22,
      "4000+500(7O-5)",4000+500*(7*I23-5),
      "13500 + 16C",13500+16*VLOOKUP(J24,'Machine Helper Sheet'!$G$1:$K$16,5,FALSE),
      1
  )
)</f>
        <v>4006</v>
      </c>
      <c r="L22" s="147">
        <f>IF(VLOOKUP(H22,'Machine List'!$A$1:$I$300,5,FALSE)="Multi",IF(VLOOKUP(H22,'Machine List'!$A$1:$I$300,6,FALSE)="Yes",AW22*3*10^AV22,AW22*(2*3)*10^(AV22-1)),0)</f>
        <v>6000</v>
      </c>
      <c r="M22" s="147">
        <f>L22+IF(ISNUMBER(I22),I22,
  SWITCH(
      I22,
      "1T",1*10^AV22,
      "2T",2*10^AV22,
      "3T",3*10^AV22,
      "4T",4*10^AV22,
      "4000+500(7O-5)",4000+500*(7*I23-5),
      1
  )
)</f>
        <v>10000</v>
      </c>
      <c r="N22" s="147" t="str">
        <f>VLOOKUP(H22,'Machine List'!$A$1:$I$300,8,FALSE)</f>
        <v>Tier</v>
      </c>
      <c r="O22" s="147">
        <f>IF(ISNUMBER(N22),N22,10^AB22)</f>
        <v>10</v>
      </c>
      <c r="P22" s="147">
        <f>IF(ISNUMBER(N22),N22,10^AV22)</f>
        <v>10000</v>
      </c>
      <c r="Q22" s="147">
        <f>VLOOKUP(H22,'Machine List'!$A$1:$B$138,2,FALSE)</f>
        <v>1</v>
      </c>
      <c r="R22" s="147" t="s">
        <v>594</v>
      </c>
      <c r="S22" s="143">
        <f>IF(ISNUMBER(Q22),Q22,
  SWITCH(
      Q22,
      "1",1,
      "2T",AB22*2,
      "4T",AB22*4,
      "6T",AB22*6,
      "8T",AB22*8,
      "10T",AB22*10,
      "12T",AB22*12,
      "14T",AB22*14,
      "16T",AB22*16,
      "24T",AB22*24,
      "2(T+1)",2*(AB22+1),
      "1T*C",AB22*J24,
      "2*P",L24*2,
      1
  )
)</f>
        <v>1</v>
      </c>
      <c r="T22" s="38" t="s">
        <v>277</v>
      </c>
      <c r="U22" s="147">
        <f>IF(OR(T22="No",T22=""),S22,T22)</f>
        <v>1</v>
      </c>
      <c r="V22" s="147">
        <f>IF(ISNUMBER(Q22),Q22,
  SWITCH(
      Q22,
      "1",1,
      "2T",AV22*2,
      "4T",AV22*4,
      "6T",AV22*6,
      "8T",AV22*8,
      "10T",AV22*10,
      "12T",AV22*12,
      "14T",AV22*14,
      "16T",AV22*16,
      "24T",AV22*24,
      "2(T+1)",2*(AV22+1),
      "1T*C",AV22*J24,
      "2*P",L24*2,
      1
  )
)</f>
        <v>1</v>
      </c>
      <c r="W22" s="147" t="str">
        <f>T22</f>
        <v>No</v>
      </c>
      <c r="X22" s="147">
        <f>IF(OR(W22="No",W22=""),V22,W22)</f>
        <v>1</v>
      </c>
      <c r="Y22" s="38">
        <f>VLOOKUP(H22,'Machine List'!$A$1:$C$138,3,FALSE)</f>
        <v>1</v>
      </c>
      <c r="Z22" s="38">
        <f>VLOOKUP(H22,'Machine List'!$A$1:$D$138,4,FALSE)</f>
        <v>1</v>
      </c>
      <c r="AA22" s="147" t="s">
        <v>390</v>
      </c>
      <c r="AB22" s="147">
        <f>VLOOKUP(AA22,'Item Helper Sheet'!$A$2:$B$16,2,FALSE)</f>
        <v>1</v>
      </c>
      <c r="AC22" s="147">
        <v>30.0</v>
      </c>
      <c r="AD22" s="147">
        <f>20*20</f>
        <v>400</v>
      </c>
      <c r="AE22" s="147">
        <f>AD22*I24</f>
        <v>11200</v>
      </c>
      <c r="AF22" s="147">
        <f>AC22*AE22</f>
        <v>336000</v>
      </c>
      <c r="AG22" s="148"/>
      <c r="AH22" s="147" t="str">
        <f>AA22</f>
        <v>01 - LV</v>
      </c>
      <c r="AI22" s="147">
        <v>1.0</v>
      </c>
      <c r="AJ22" s="147">
        <v>1.0</v>
      </c>
      <c r="AK22" s="147">
        <f>AJ22*8*4^AB22</f>
        <v>32</v>
      </c>
      <c r="AL22" s="147">
        <f>MIN(ROUNDDOWN(AK22/AN22,0),U22)</f>
        <v>1</v>
      </c>
      <c r="AM22" s="147">
        <f>IF(OR(T22="No",T22=""),AI22*S22,AI22*T22)</f>
        <v>1</v>
      </c>
      <c r="AN22" s="147">
        <f>ROUNDUP(AC22*VLOOKUP(H22,'Machine List'!$A$2:$D$219,4,FALSE),0)</f>
        <v>30</v>
      </c>
      <c r="AO22" s="147">
        <f>AN22*AM22</f>
        <v>30</v>
      </c>
      <c r="AP22" s="147">
        <f>ROUNDUP(AD22*I24,0)</f>
        <v>11200</v>
      </c>
      <c r="AQ22" s="38">
        <f>IF(ISNUMBER(Y22),ROUNDUP(AP22/Y22,0),
  SWITCH(
      Y22,
      "1+0.5C",ROUNDUP(AP22/(1+0.5*VLOOKUP(J24,'Machine Helper Sheet'!$G$1:$K$16,2,FALSE)),0),
      ROUNDUP(AP22/1,0)
  )
)</f>
        <v>11200</v>
      </c>
      <c r="AR22" s="147">
        <f>ROUNDUP(AQ22/AM22,0)</f>
        <v>11200</v>
      </c>
      <c r="AS22" s="147">
        <f>AO22*AR22</f>
        <v>336000</v>
      </c>
      <c r="AT22" s="148"/>
      <c r="AU22" s="147" t="s">
        <v>401</v>
      </c>
      <c r="AV22" s="147">
        <f>VLOOKUP(AU22,'Item Helper Sheet'!$A$2:$B$16,2,FALSE)</f>
        <v>4</v>
      </c>
      <c r="AW22" s="147">
        <f>AI22</f>
        <v>1</v>
      </c>
      <c r="AX22" s="147">
        <v>1.0</v>
      </c>
      <c r="AY22" s="147">
        <f>AX22*8*4^AV22</f>
        <v>2048</v>
      </c>
      <c r="AZ22" s="147">
        <f>MIN(ROUNDDOWN(AY22/AN22,0),X22)</f>
        <v>1</v>
      </c>
      <c r="BA22" s="147">
        <f>AZ22*AW22</f>
        <v>1</v>
      </c>
      <c r="BB22" s="147">
        <f>AN22</f>
        <v>30</v>
      </c>
      <c r="BC22" s="147">
        <f>MIN(AV22-AB22,IF(AY22&gt;=BB23*4,
IF(AY22&gt;=BB23*4^2,
IF(AY22&gt;=BB23*4^3,
IF(AY22&gt;=BB23*4^4,
IF(AY22&gt;=BB23*4^5,
IF(AY22&gt;=BB23*4^6,
IF(AY22&gt;=BB23*4^7,
IF(AY22&gt;=BB23*4^8,
IF(AY22&gt;=BB23*4^9,
IF(AY22&gt;=BB23*4^10,
9),
8),
7),
6),
5),
4),
3),
2),
1),
0))</f>
        <v>3</v>
      </c>
      <c r="BD22" s="147">
        <f>BB22*AZ22*4^BC22</f>
        <v>1920</v>
      </c>
      <c r="BE22" s="147">
        <f>BD22*AW22</f>
        <v>1920</v>
      </c>
      <c r="BF22" s="143">
        <f>ROUNDUP(IF(R22="Yes",AP22/(2^((BC22)*2)),AP22/(2^(BC22))),0)</f>
        <v>175</v>
      </c>
      <c r="BG22" s="45">
        <f>IF(ISNUMBER(Y22),ROUNDUP(BF22/Y22,0),
  SWITCH(
      Y22,
      "1+0.5C",ROUNDUP(BF22/(1+0.5*VLOOKUP(J24,'Machine Helper Sheet'!$G$1:$K$16,2,FALSE)),0),
      ROUNDUP(BF22/1,0)
  )
)</f>
        <v>175</v>
      </c>
      <c r="BH22" s="143">
        <f>ROUNDUP(BG22/BA22,0)</f>
        <v>175</v>
      </c>
      <c r="BI22" s="149">
        <f>BH22*BE22</f>
        <v>336000</v>
      </c>
      <c r="BK22" s="22"/>
      <c r="BS22" s="6" t="s">
        <v>100</v>
      </c>
      <c r="BT22" s="6">
        <v>0.0</v>
      </c>
      <c r="BU22" s="6">
        <f>VLOOKUP(BS22,'Item List'!$A$2:$D$300,2,FALSE)</f>
        <v>1</v>
      </c>
      <c r="BV22" s="6">
        <f>VLOOKUP(BS22,'Item List'!$A$2:$D$300,3,FALSE)</f>
        <v>3</v>
      </c>
      <c r="BW22" s="6">
        <f>VLOOKUP(BS22,'Item List'!$A$2:$D$300,4,FALSE)</f>
        <v>2</v>
      </c>
      <c r="CJ22" s="5"/>
    </row>
    <row r="23">
      <c r="B23" s="150"/>
      <c r="C23" s="151" t="s">
        <v>20</v>
      </c>
      <c r="D23" s="147">
        <f>1000*I24</f>
        <v>28000</v>
      </c>
      <c r="E23" s="147" t="s">
        <v>21</v>
      </c>
      <c r="F23" s="152">
        <f>576*I24</f>
        <v>16128</v>
      </c>
      <c r="G23" s="138"/>
      <c r="H23" s="153" t="s">
        <v>584</v>
      </c>
      <c r="I23" s="143">
        <f t="array" ref="I23">match(TRUE,ISBLANK(F23:F35),0)-1</f>
        <v>1</v>
      </c>
      <c r="J23" s="154" t="s">
        <v>420</v>
      </c>
      <c r="K23" s="154" t="s">
        <v>585</v>
      </c>
      <c r="L23" s="100" t="s">
        <v>704</v>
      </c>
      <c r="M23" s="147"/>
      <c r="N23" s="147"/>
      <c r="O23" s="147"/>
      <c r="P23" s="147"/>
      <c r="Q23" s="147"/>
      <c r="R23" s="155"/>
      <c r="S23" s="155"/>
      <c r="T23" s="155"/>
      <c r="U23" s="143"/>
      <c r="V23" s="143"/>
      <c r="W23" s="143"/>
      <c r="X23" s="143"/>
      <c r="Y23" s="143"/>
      <c r="Z23" s="143"/>
      <c r="AA23" s="143"/>
      <c r="AB23" s="143"/>
      <c r="AC23" s="143"/>
      <c r="AD23" s="143"/>
      <c r="AE23" s="143"/>
      <c r="AF23" s="143"/>
      <c r="AG23" s="156"/>
      <c r="AH23" s="143"/>
      <c r="AI23" s="143"/>
      <c r="AJ23" s="143"/>
      <c r="AK23" s="143"/>
      <c r="AL23" s="143"/>
      <c r="AM23" s="143"/>
      <c r="AN23" s="143"/>
      <c r="AO23" s="143"/>
      <c r="AP23" s="143"/>
      <c r="AQ23" s="143"/>
      <c r="AR23" s="143"/>
      <c r="AS23" s="143"/>
      <c r="AT23" s="156"/>
      <c r="AU23" s="143"/>
      <c r="AV23" s="143"/>
      <c r="AW23" s="143"/>
      <c r="AX23" s="143"/>
      <c r="AY23" s="143"/>
      <c r="AZ23" s="143"/>
      <c r="BA23" s="143"/>
      <c r="BB23" s="143">
        <f>BB22*AZ22</f>
        <v>30</v>
      </c>
      <c r="BC23" s="143"/>
      <c r="BD23" s="143"/>
      <c r="BE23" s="143"/>
      <c r="BF23" s="143"/>
      <c r="BG23" s="143"/>
      <c r="BH23" s="143"/>
      <c r="BI23" s="149"/>
      <c r="BK23" s="22"/>
      <c r="BS23" s="140" t="s">
        <v>108</v>
      </c>
      <c r="BT23" s="140">
        <v>-382.0</v>
      </c>
      <c r="BU23" s="6">
        <f>VLOOKUP(BS23,'Item List'!$A$2:$D$300,2,FALSE)</f>
        <v>1</v>
      </c>
      <c r="BV23" s="6">
        <f>VLOOKUP(BS23,'Item List'!$A$2:$D$300,3,FALSE)</f>
        <v>3</v>
      </c>
      <c r="BW23" s="6">
        <f>VLOOKUP(BS23,'Item List'!$A$2:$D$300,4,FALSE)</f>
        <v>2</v>
      </c>
      <c r="CG23" s="98" t="s">
        <v>608</v>
      </c>
      <c r="CH23" s="98" t="s">
        <v>609</v>
      </c>
      <c r="CI23" s="98" t="s">
        <v>610</v>
      </c>
      <c r="CJ23" s="5"/>
    </row>
    <row r="24">
      <c r="B24" s="150"/>
      <c r="C24" s="151" t="s">
        <v>91</v>
      </c>
      <c r="D24" s="147">
        <f>1000*I24</f>
        <v>28000</v>
      </c>
      <c r="E24" s="147"/>
      <c r="F24" s="152"/>
      <c r="G24" s="138"/>
      <c r="H24" s="157" t="s">
        <v>502</v>
      </c>
      <c r="I24" s="158">
        <v>28.0</v>
      </c>
      <c r="J24" s="154" t="s">
        <v>424</v>
      </c>
      <c r="K24" s="154">
        <v>0.0</v>
      </c>
      <c r="L24" s="100">
        <v>0.0</v>
      </c>
      <c r="M24" s="143"/>
      <c r="N24" s="143"/>
      <c r="O24" s="143"/>
      <c r="P24" s="143"/>
      <c r="Q24" s="143"/>
      <c r="R24" s="143"/>
      <c r="S24" s="155"/>
      <c r="T24" s="155"/>
      <c r="U24" s="143"/>
      <c r="V24" s="143"/>
      <c r="W24" s="143"/>
      <c r="X24" s="143"/>
      <c r="Y24" s="143"/>
      <c r="Z24" s="143"/>
      <c r="AA24" s="143"/>
      <c r="AB24" s="143"/>
      <c r="AC24" s="143"/>
      <c r="AD24" s="143"/>
      <c r="AE24" s="143"/>
      <c r="AF24" s="143"/>
      <c r="AG24" s="156"/>
      <c r="AH24" s="143"/>
      <c r="AI24" s="143"/>
      <c r="AJ24" s="143"/>
      <c r="AK24" s="143"/>
      <c r="AL24" s="143"/>
      <c r="AM24" s="143"/>
      <c r="AN24" s="143"/>
      <c r="AO24" s="143"/>
      <c r="AP24" s="143"/>
      <c r="AQ24" s="143"/>
      <c r="AR24" s="143"/>
      <c r="AS24" s="143"/>
      <c r="AT24" s="156"/>
      <c r="AU24" s="143"/>
      <c r="AV24" s="143"/>
      <c r="AW24" s="143"/>
      <c r="AX24" s="143"/>
      <c r="AY24" s="143"/>
      <c r="AZ24" s="143"/>
      <c r="BA24" s="143"/>
      <c r="BB24" s="143"/>
      <c r="BC24" s="143"/>
      <c r="BD24" s="143"/>
      <c r="BE24" s="143"/>
      <c r="BF24" s="143"/>
      <c r="BG24" s="143"/>
      <c r="BH24" s="143"/>
      <c r="BI24" s="149"/>
      <c r="BK24" s="22"/>
      <c r="BS24" s="6" t="s">
        <v>109</v>
      </c>
      <c r="BT24" s="140">
        <v>-6458.0</v>
      </c>
      <c r="BU24" s="6">
        <f>VLOOKUP(BS24,'Item List'!$A$2:$D$300,2,FALSE)</f>
        <v>1</v>
      </c>
      <c r="BV24" s="6">
        <f>VLOOKUP(BS24,'Item List'!$A$2:$D$300,3,FALSE)</f>
        <v>3</v>
      </c>
      <c r="BW24" s="6">
        <f>VLOOKUP(BS24,'Item List'!$A$2:$D$300,4,FALSE)</f>
        <v>2</v>
      </c>
      <c r="CG24" s="5">
        <f>CH21*CI21*CJ21</f>
        <v>7867560000</v>
      </c>
      <c r="CH24" s="5">
        <f>BO67</f>
        <v>1396195520</v>
      </c>
      <c r="CI24" s="110">
        <f>1-(CH24/CG24)</f>
        <v>0.8225376711</v>
      </c>
      <c r="CJ24" s="5"/>
    </row>
    <row r="25">
      <c r="B25" s="135"/>
      <c r="C25" s="136"/>
      <c r="D25" s="137"/>
      <c r="E25" s="137"/>
      <c r="F25" s="137"/>
      <c r="G25" s="138"/>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8"/>
      <c r="AH25" s="137"/>
      <c r="AI25" s="137"/>
      <c r="AJ25" s="137"/>
      <c r="AK25" s="137"/>
      <c r="AL25" s="137"/>
      <c r="AM25" s="137"/>
      <c r="AN25" s="137"/>
      <c r="AO25" s="137"/>
      <c r="AP25" s="137"/>
      <c r="AQ25" s="137"/>
      <c r="AR25" s="137"/>
      <c r="AS25" s="137"/>
      <c r="AT25" s="138"/>
      <c r="AU25" s="137"/>
      <c r="AV25" s="137"/>
      <c r="AW25" s="137"/>
      <c r="AX25" s="137"/>
      <c r="AY25" s="137"/>
      <c r="AZ25" s="137"/>
      <c r="BA25" s="137"/>
      <c r="BB25" s="137"/>
      <c r="BC25" s="137"/>
      <c r="BD25" s="137"/>
      <c r="BE25" s="137"/>
      <c r="BF25" s="137"/>
      <c r="BG25" s="137"/>
      <c r="BH25" s="137"/>
      <c r="BI25" s="139"/>
      <c r="BK25" s="22"/>
      <c r="BS25" s="140" t="s">
        <v>110</v>
      </c>
      <c r="BT25" s="140">
        <v>6411.0</v>
      </c>
      <c r="BU25" s="6">
        <f>VLOOKUP(BS25,'Item List'!$A$2:$D$300,2,FALSE)</f>
        <v>1</v>
      </c>
      <c r="BV25" s="6">
        <f>VLOOKUP(BS25,'Item List'!$A$2:$D$300,3,FALSE)</f>
        <v>3</v>
      </c>
      <c r="BW25" s="6">
        <f>VLOOKUP(BS25,'Item List'!$A$2:$D$300,4,FALSE)</f>
        <v>2</v>
      </c>
      <c r="CJ25" s="5"/>
    </row>
    <row r="26">
      <c r="B26" s="141" t="s">
        <v>713</v>
      </c>
      <c r="C26" s="142"/>
      <c r="D26" s="143"/>
      <c r="E26" s="143"/>
      <c r="F26" s="144"/>
      <c r="G26" s="145"/>
      <c r="H26" s="146" t="s">
        <v>349</v>
      </c>
      <c r="I26" s="147">
        <f>VLOOKUP(H26,'Machine List'!$A$1:$I$300,9,FALSE)</f>
        <v>4000</v>
      </c>
      <c r="J26" s="147">
        <f>IF(VLOOKUP(H26,'Machine List'!$A$1:$I$300,5,FALSE)="Multi",IF(VLOOKUP(H26,'Machine List'!$A$1:$I$300,6,FALSE)="Yes",AI26*3*10^AB26,AI26*(2*3)*10^(AB26-1)),0)</f>
        <v>60</v>
      </c>
      <c r="K26" s="147">
        <f>J26+IF(ISNUMBER(I26),I26,
  SWITCH(
      I26,
      "1T",1*10^AB26,
      "2T",2*10^AB26,
      "3T",3*10^AB26,
      "4T",4*10^AB26,
      "4000+500(7O-5)",4000+500*(7*I27-5),
      "13500 + 16C",13500+16*VLOOKUP(J28,'Machine Helper Sheet'!$G$1:$K$16,5,FALSE),
      1
  )
)</f>
        <v>4060</v>
      </c>
      <c r="L26" s="147">
        <f>IF(VLOOKUP(H26,'Machine List'!$A$1:$I$300,5,FALSE)="Multi",IF(VLOOKUP(H26,'Machine List'!$A$1:$I$300,6,FALSE)="Yes",AW26*3*10^AV26,AW26*(2*3)*10^(AV26-1)),0)</f>
        <v>6000</v>
      </c>
      <c r="M26" s="147">
        <f>L26+IF(ISNUMBER(I26),I26,
  SWITCH(
      I26,
      "1T",1*10^AV26,
      "2T",2*10^AV26,
      "3T",3*10^AV26,
      "4T",4*10^AV26,
      "4000+500(7O-5)",4000+500*(7*I27-5),
      1
  )
)</f>
        <v>10000</v>
      </c>
      <c r="N26" s="147" t="str">
        <f>VLOOKUP(H26,'Machine List'!$A$1:$I$300,8,FALSE)</f>
        <v>Tier</v>
      </c>
      <c r="O26" s="147">
        <f>IF(ISNUMBER(N26),N26,10^AB26)</f>
        <v>100</v>
      </c>
      <c r="P26" s="147">
        <f>IF(ISNUMBER(N26),N26,10^AV26)</f>
        <v>10000</v>
      </c>
      <c r="Q26" s="147">
        <f>VLOOKUP(H26,'Machine List'!$A$1:$B$138,2,FALSE)</f>
        <v>1</v>
      </c>
      <c r="R26" s="147" t="s">
        <v>594</v>
      </c>
      <c r="S26" s="143">
        <f>IF(ISNUMBER(Q26),Q26,
  SWITCH(
      Q26,
      "1",1,
      "2T",AB26*2,
      "4T",AB26*4,
      "6T",AB26*6,
      "8T",AB26*8,
      "10T",AB26*10,
      "12T",AB26*12,
      "14T",AB26*14,
      "16T",AB26*16,
      "24T",AB26*24,
      "2(T+1)",2*(AB26+1),
      "1T*C",AB26*J28,
      "2*P",L28*2,
      1
  )
)</f>
        <v>1</v>
      </c>
      <c r="T26" s="38" t="s">
        <v>277</v>
      </c>
      <c r="U26" s="147">
        <f>IF(OR(T26="No",T26=""),S26,T26)</f>
        <v>1</v>
      </c>
      <c r="V26" s="147">
        <f>IF(ISNUMBER(Q26),Q26,
  SWITCH(
      Q26,
      "1",1,
      "2T",AV26*2,
      "4T",AV26*4,
      "6T",AV26*6,
      "8T",AV26*8,
      "10T",AV26*10,
      "12T",AV26*12,
      "14T",AV26*14,
      "16T",AV26*16,
      "24T",AV26*24,
      "2(T+1)",2*(AV26+1),
      "1T*C",AV26*J28,
      "2*P",L28*2,
      1
  )
)</f>
        <v>1</v>
      </c>
      <c r="W26" s="147" t="str">
        <f>T26</f>
        <v>No</v>
      </c>
      <c r="X26" s="147">
        <f>IF(OR(W26="No",W26=""),V26,W26)</f>
        <v>1</v>
      </c>
      <c r="Y26" s="38">
        <f>VLOOKUP(H26,'Machine List'!$A$1:$C$138,3,FALSE)</f>
        <v>1</v>
      </c>
      <c r="Z26" s="38">
        <f>VLOOKUP(H26,'Machine List'!$A$1:$D$138,4,FALSE)</f>
        <v>1</v>
      </c>
      <c r="AA26" s="147" t="s">
        <v>393</v>
      </c>
      <c r="AB26" s="147">
        <f>VLOOKUP(AA26,'Item Helper Sheet'!$A$2:$B$16,2,FALSE)</f>
        <v>2</v>
      </c>
      <c r="AC26" s="147">
        <v>120.0</v>
      </c>
      <c r="AD26" s="147">
        <f>300*20</f>
        <v>6000</v>
      </c>
      <c r="AE26" s="147">
        <f>AD26*I28</f>
        <v>84000</v>
      </c>
      <c r="AF26" s="147">
        <f>AC26*AE26</f>
        <v>10080000</v>
      </c>
      <c r="AG26" s="148"/>
      <c r="AH26" s="147" t="str">
        <f>AA26</f>
        <v>02 - MV</v>
      </c>
      <c r="AI26" s="147">
        <v>1.0</v>
      </c>
      <c r="AJ26" s="147">
        <v>1.0</v>
      </c>
      <c r="AK26" s="147">
        <f>AJ26*8*4^AB26</f>
        <v>128</v>
      </c>
      <c r="AL26" s="147">
        <f>MIN(ROUNDDOWN(AK26/AN26,0),U26)</f>
        <v>1</v>
      </c>
      <c r="AM26" s="147">
        <f>IF(OR(T26="No",T26=""),AI26*S26,AI26*T26)</f>
        <v>1</v>
      </c>
      <c r="AN26" s="147">
        <f>ROUNDUP(AC26*VLOOKUP(H26,'Machine List'!$A$2:$D$219,4,FALSE),0)</f>
        <v>120</v>
      </c>
      <c r="AO26" s="147">
        <f>AN26*AM26</f>
        <v>120</v>
      </c>
      <c r="AP26" s="147">
        <f>ROUNDUP(AD26*I28,0)</f>
        <v>84000</v>
      </c>
      <c r="AQ26" s="38">
        <f>IF(ISNUMBER(Y26),ROUNDUP(AP26/Y26,0),
  SWITCH(
      Y26,
      "1+0.5C",ROUNDUP(AP26/(1+0.5*VLOOKUP(J28,'Machine Helper Sheet'!$G$1:$K$16,2,FALSE)),0),
      ROUNDUP(AP26/1,0)
  )
)</f>
        <v>84000</v>
      </c>
      <c r="AR26" s="147">
        <f>ROUNDUP(AQ26/AM26,0)</f>
        <v>84000</v>
      </c>
      <c r="AS26" s="147">
        <f>AO26*AR26</f>
        <v>10080000</v>
      </c>
      <c r="AT26" s="148"/>
      <c r="AU26" s="147" t="s">
        <v>401</v>
      </c>
      <c r="AV26" s="147">
        <f>VLOOKUP(AU26,'Item Helper Sheet'!$A$2:$B$16,2,FALSE)</f>
        <v>4</v>
      </c>
      <c r="AW26" s="147">
        <f>AI26</f>
        <v>1</v>
      </c>
      <c r="AX26" s="147">
        <v>1.0</v>
      </c>
      <c r="AY26" s="147">
        <f>AX26*8*4^AV26</f>
        <v>2048</v>
      </c>
      <c r="AZ26" s="147">
        <f>MIN(ROUNDDOWN(AY26/AN26,0),X26)</f>
        <v>1</v>
      </c>
      <c r="BA26" s="147">
        <f>AZ26*AW26</f>
        <v>1</v>
      </c>
      <c r="BB26" s="147">
        <f>AN26</f>
        <v>120</v>
      </c>
      <c r="BC26" s="147">
        <f>MIN(AV26-AB26,IF(AY26&gt;=BB27*4,
IF(AY26&gt;=BB27*4^2,
IF(AY26&gt;=BB27*4^3,
IF(AY26&gt;=BB27*4^4,
IF(AY26&gt;=BB27*4^5,
IF(AY26&gt;=BB27*4^6,
IF(AY26&gt;=BB27*4^7,
IF(AY26&gt;=BB27*4^8,
IF(AY26&gt;=BB27*4^9,
IF(AY26&gt;=BB27*4^10,
9),
8),
7),
6),
5),
4),
3),
2),
1),
0))</f>
        <v>2</v>
      </c>
      <c r="BD26" s="147">
        <f>BB26*AZ26*4^BC26</f>
        <v>1920</v>
      </c>
      <c r="BE26" s="147">
        <f>BD26*AW26</f>
        <v>1920</v>
      </c>
      <c r="BF26" s="143">
        <f>ROUNDUP(IF(R26="Yes",AP26/(2^((BC26)*2)),AP26/(2^(BC26))),0)</f>
        <v>5250</v>
      </c>
      <c r="BG26" s="45">
        <f>IF(ISNUMBER(Y26),ROUNDUP(BF26/Y26,0),
  SWITCH(
      Y26,
      "1+0.5C",ROUNDUP(BF26/(1+0.5*VLOOKUP(J28,'Machine Helper Sheet'!$G$1:$K$16,2,FALSE)),0),
      ROUNDUP(BF26/1,0)
  )
)</f>
        <v>5250</v>
      </c>
      <c r="BH26" s="143">
        <f>ROUNDUP(BG26/BA26,0)</f>
        <v>5250</v>
      </c>
      <c r="BI26" s="149">
        <f>BH26*BE26</f>
        <v>10080000</v>
      </c>
      <c r="BK26" s="22"/>
      <c r="BS26" s="140" t="s">
        <v>111</v>
      </c>
      <c r="BT26" s="140">
        <v>-30459.0</v>
      </c>
      <c r="BU26" s="6">
        <f>VLOOKUP(BS26,'Item List'!$A$2:$D$300,2,FALSE)</f>
        <v>1</v>
      </c>
      <c r="BV26" s="6">
        <f>VLOOKUP(BS26,'Item List'!$A$2:$D$300,3,FALSE)</f>
        <v>3</v>
      </c>
      <c r="BW26" s="6">
        <f>VLOOKUP(BS26,'Item List'!$A$2:$D$300,4,FALSE)</f>
        <v>2</v>
      </c>
      <c r="CG26" s="98" t="s">
        <v>612</v>
      </c>
      <c r="CH26" s="98" t="s">
        <v>613</v>
      </c>
      <c r="CI26" s="98" t="s">
        <v>614</v>
      </c>
    </row>
    <row r="27">
      <c r="B27" s="150"/>
      <c r="C27" s="151" t="s">
        <v>34</v>
      </c>
      <c r="D27" s="147">
        <f>3*I28</f>
        <v>42</v>
      </c>
      <c r="E27" s="147" t="s">
        <v>23</v>
      </c>
      <c r="F27" s="152">
        <f>2000*I28</f>
        <v>28000</v>
      </c>
      <c r="G27" s="138"/>
      <c r="H27" s="153" t="s">
        <v>584</v>
      </c>
      <c r="I27" s="143">
        <f t="array" ref="I27">match(TRUE,ISBLANK(F27:F39),0)-1</f>
        <v>2</v>
      </c>
      <c r="J27" s="154" t="s">
        <v>420</v>
      </c>
      <c r="K27" s="154" t="s">
        <v>585</v>
      </c>
      <c r="L27" s="100" t="s">
        <v>704</v>
      </c>
      <c r="M27" s="147"/>
      <c r="N27" s="147"/>
      <c r="O27" s="147"/>
      <c r="P27" s="147"/>
      <c r="Q27" s="147"/>
      <c r="R27" s="155"/>
      <c r="S27" s="155"/>
      <c r="T27" s="155"/>
      <c r="U27" s="143"/>
      <c r="V27" s="143"/>
      <c r="W27" s="143"/>
      <c r="X27" s="143"/>
      <c r="Y27" s="143"/>
      <c r="Z27" s="143"/>
      <c r="AA27" s="143"/>
      <c r="AB27" s="143"/>
      <c r="AC27" s="143"/>
      <c r="AD27" s="143"/>
      <c r="AE27" s="143"/>
      <c r="AF27" s="143"/>
      <c r="AG27" s="156"/>
      <c r="AH27" s="143"/>
      <c r="AI27" s="143"/>
      <c r="AJ27" s="143"/>
      <c r="AK27" s="143"/>
      <c r="AL27" s="143"/>
      <c r="AM27" s="143"/>
      <c r="AN27" s="143"/>
      <c r="AO27" s="143"/>
      <c r="AP27" s="143"/>
      <c r="AQ27" s="143"/>
      <c r="AR27" s="143"/>
      <c r="AS27" s="143"/>
      <c r="AT27" s="156"/>
      <c r="AU27" s="143"/>
      <c r="AV27" s="143"/>
      <c r="AW27" s="143"/>
      <c r="AX27" s="143"/>
      <c r="AY27" s="143"/>
      <c r="AZ27" s="143"/>
      <c r="BA27" s="143"/>
      <c r="BB27" s="143">
        <f>BB26*AZ26</f>
        <v>120</v>
      </c>
      <c r="BC27" s="143"/>
      <c r="BD27" s="143"/>
      <c r="BE27" s="143"/>
      <c r="BF27" s="143"/>
      <c r="BG27" s="143"/>
      <c r="BH27" s="143"/>
      <c r="BI27" s="149"/>
      <c r="BK27" s="22"/>
      <c r="BS27" s="140" t="s">
        <v>112</v>
      </c>
      <c r="BT27" s="140">
        <v>34393.0</v>
      </c>
      <c r="BU27" s="6">
        <f>VLOOKUP(BS27,'Item List'!$A$2:$D$300,2,FALSE)</f>
        <v>1</v>
      </c>
      <c r="BV27" s="6">
        <f>VLOOKUP(BS27,'Item List'!$A$2:$D$300,3,FALSE)</f>
        <v>3</v>
      </c>
      <c r="BW27" s="6">
        <f>VLOOKUP(BS27,'Item List'!$A$2:$D$300,4,FALSE)</f>
        <v>2</v>
      </c>
      <c r="CG27" s="5">
        <f>CG24-CH24</f>
        <v>6471364480</v>
      </c>
      <c r="CH27" s="5">
        <f>BR68</f>
        <v>240000</v>
      </c>
      <c r="CI27" s="5">
        <f>CG27/CH27</f>
        <v>26964.01867</v>
      </c>
    </row>
    <row r="28">
      <c r="B28" s="150"/>
      <c r="C28" s="151" t="s">
        <v>21</v>
      </c>
      <c r="D28" s="147">
        <f>1152*I28</f>
        <v>16128</v>
      </c>
      <c r="E28" s="147" t="s">
        <v>248</v>
      </c>
      <c r="F28" s="152">
        <f>1000*I28</f>
        <v>14000</v>
      </c>
      <c r="G28" s="138"/>
      <c r="H28" s="157" t="s">
        <v>502</v>
      </c>
      <c r="I28" s="158">
        <v>14.0</v>
      </c>
      <c r="J28" s="154" t="s">
        <v>424</v>
      </c>
      <c r="K28" s="154">
        <v>0.0</v>
      </c>
      <c r="L28" s="100">
        <v>0.0</v>
      </c>
      <c r="M28" s="143"/>
      <c r="N28" s="143"/>
      <c r="O28" s="143"/>
      <c r="P28" s="143"/>
      <c r="Q28" s="143"/>
      <c r="R28" s="143"/>
      <c r="S28" s="155"/>
      <c r="T28" s="155"/>
      <c r="U28" s="143"/>
      <c r="V28" s="143"/>
      <c r="W28" s="143"/>
      <c r="X28" s="143"/>
      <c r="Y28" s="143"/>
      <c r="Z28" s="143"/>
      <c r="AA28" s="143"/>
      <c r="AB28" s="143"/>
      <c r="AC28" s="143"/>
      <c r="AD28" s="143"/>
      <c r="AE28" s="143"/>
      <c r="AF28" s="143"/>
      <c r="AG28" s="156"/>
      <c r="AH28" s="143"/>
      <c r="AI28" s="143"/>
      <c r="AJ28" s="143"/>
      <c r="AK28" s="143"/>
      <c r="AL28" s="143"/>
      <c r="AM28" s="143"/>
      <c r="AN28" s="143"/>
      <c r="AO28" s="143"/>
      <c r="AP28" s="143"/>
      <c r="AQ28" s="143"/>
      <c r="AR28" s="143"/>
      <c r="AS28" s="143"/>
      <c r="AT28" s="156"/>
      <c r="AU28" s="143"/>
      <c r="AV28" s="143"/>
      <c r="AW28" s="143"/>
      <c r="AX28" s="143"/>
      <c r="AY28" s="143"/>
      <c r="AZ28" s="143"/>
      <c r="BA28" s="143"/>
      <c r="BB28" s="143"/>
      <c r="BC28" s="143"/>
      <c r="BD28" s="143"/>
      <c r="BE28" s="143"/>
      <c r="BF28" s="143"/>
      <c r="BG28" s="143"/>
      <c r="BH28" s="143"/>
      <c r="BI28" s="149"/>
      <c r="BK28" s="22"/>
      <c r="BS28" s="6" t="s">
        <v>113</v>
      </c>
      <c r="BT28" s="140">
        <v>-23832.0</v>
      </c>
      <c r="BU28" s="6">
        <f>VLOOKUP(BS28,'Item List'!$A$2:$D$300,2,FALSE)</f>
        <v>1</v>
      </c>
      <c r="BV28" s="6">
        <f>VLOOKUP(BS28,'Item List'!$A$2:$D$300,3,FALSE)</f>
        <v>3</v>
      </c>
      <c r="BW28" s="6">
        <f>VLOOKUP(BS28,'Item List'!$A$2:$D$300,4,FALSE)</f>
        <v>2</v>
      </c>
    </row>
    <row r="29">
      <c r="B29" s="135"/>
      <c r="C29" s="136"/>
      <c r="D29" s="137"/>
      <c r="E29" s="137"/>
      <c r="F29" s="137"/>
      <c r="G29" s="138"/>
      <c r="H29" s="137"/>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8"/>
      <c r="AH29" s="137"/>
      <c r="AI29" s="137"/>
      <c r="AJ29" s="137"/>
      <c r="AK29" s="137"/>
      <c r="AL29" s="137"/>
      <c r="AM29" s="137"/>
      <c r="AN29" s="137"/>
      <c r="AO29" s="137"/>
      <c r="AP29" s="137"/>
      <c r="AQ29" s="137"/>
      <c r="AR29" s="137"/>
      <c r="AS29" s="137"/>
      <c r="AT29" s="138"/>
      <c r="AU29" s="137"/>
      <c r="AV29" s="137"/>
      <c r="AW29" s="137"/>
      <c r="AX29" s="137"/>
      <c r="AY29" s="137"/>
      <c r="AZ29" s="137"/>
      <c r="BA29" s="137"/>
      <c r="BB29" s="137"/>
      <c r="BC29" s="137"/>
      <c r="BD29" s="137"/>
      <c r="BE29" s="137"/>
      <c r="BF29" s="137"/>
      <c r="BG29" s="137"/>
      <c r="BH29" s="137"/>
      <c r="BI29" s="139"/>
      <c r="BK29" s="22"/>
      <c r="BS29" s="6" t="s">
        <v>114</v>
      </c>
      <c r="BT29" s="140">
        <v>23968.0</v>
      </c>
      <c r="BU29" s="6">
        <f>VLOOKUP(BS29,'Item List'!$A$2:$D$300,2,FALSE)</f>
        <v>1</v>
      </c>
      <c r="BV29" s="6">
        <f>VLOOKUP(BS29,'Item List'!$A$2:$D$300,3,FALSE)</f>
        <v>3</v>
      </c>
      <c r="BW29" s="6">
        <f>VLOOKUP(BS29,'Item List'!$A$2:$D$300,4,FALSE)</f>
        <v>2</v>
      </c>
    </row>
    <row r="30">
      <c r="B30" s="31" t="s">
        <v>714</v>
      </c>
      <c r="C30" s="54"/>
      <c r="D30" s="45"/>
      <c r="E30" s="45"/>
      <c r="F30" s="47"/>
      <c r="G30" s="35"/>
      <c r="H30" s="55" t="s">
        <v>349</v>
      </c>
      <c r="I30" s="38">
        <f>VLOOKUP(H30,'Machine List'!$A$1:$I$300,9,FALSE)</f>
        <v>4000</v>
      </c>
      <c r="J30" s="38">
        <f>IF(VLOOKUP(H30,'Machine List'!$A$1:$I$300,5,FALSE)="Multi",IF(VLOOKUP(H30,'Machine List'!$A$1:$I$300,6,FALSE)="Yes",AI30*3*10^AB30,AI30*(2*3)*10^(AB30-1)),0)</f>
        <v>60</v>
      </c>
      <c r="K30" s="38">
        <f>J30+IF(ISNUMBER(I30),I30,
  SWITCH(
      I30,
      "1T",1*10^AB30,
      "2T",2*10^AB30,
      "3T",3*10^AB30,
      "4T",4*10^AB30,
      "4000+500(7O-5)",4000+500*(7*I31-5),
      "13500 + 16C",13500+16*VLOOKUP(J32,'Machine Helper Sheet'!$G$1:$K$16,5,FALSE),
      1
  )
)</f>
        <v>4060</v>
      </c>
      <c r="L30" s="38">
        <f>IF(VLOOKUP(H30,'Machine List'!$A$1:$I$300,5,FALSE)="Multi",IF(VLOOKUP(H30,'Machine List'!$A$1:$I$300,6,FALSE)="Yes",AW30*3*10^AV30,AW30*(2*3)*10^(AV30-1)),0)</f>
        <v>6000</v>
      </c>
      <c r="M30" s="38">
        <f>L30+IF(ISNUMBER(I30),I30,
  SWITCH(
      I30,
      "1T",1*10^AV30,
      "2T",2*10^AV30,
      "3T",3*10^AV30,
      "4T",4*10^AV30,
      "4000+500(7O-5)",4000+500*(7*I31-5),
      1
  )
)</f>
        <v>10000</v>
      </c>
      <c r="N30" s="38" t="str">
        <f>VLOOKUP(H30,'Machine List'!$A$1:$I$300,8,FALSE)</f>
        <v>Tier</v>
      </c>
      <c r="O30" s="38">
        <f>IF(ISNUMBER(N30),N30,10^AB30)</f>
        <v>100</v>
      </c>
      <c r="P30" s="38">
        <f>IF(ISNUMBER(N30),N30,10^AV30)</f>
        <v>10000</v>
      </c>
      <c r="Q30" s="38">
        <f>VLOOKUP(H30,'Machine List'!$A$1:$B$138,2,FALSE)</f>
        <v>1</v>
      </c>
      <c r="R30" s="38" t="s">
        <v>594</v>
      </c>
      <c r="S30" s="45">
        <f>IF(ISNUMBER(Q30),Q30,
  SWITCH(
      Q30,
      "1",1,
      "2T",AB30*2,
      "4T",AB30*4,
      "6T",AB30*6,
      "8T",AB30*8,
      "10T",AB30*10,
      "12T",AB30*12,
      "14T",AB30*14,
      "16T",AB30*16,
      "24T",AB30*24,
      "2(T+1)",2*(AB30+1),
      "1T*C",AB30*J32,
      "2*P",L32*2,
      1
  )
)</f>
        <v>1</v>
      </c>
      <c r="T30" s="38" t="s">
        <v>277</v>
      </c>
      <c r="U30" s="38">
        <f>IF(OR(T30="No",T30=""),S30,T30)</f>
        <v>1</v>
      </c>
      <c r="V30" s="38">
        <f>IF(ISNUMBER(Q30),Q30,
  SWITCH(
      Q30,
      "1",1,
      "2T",AV30*2,
      "4T",AV30*4,
      "6T",AV30*6,
      "8T",AV30*8,
      "10T",AV30*10,
      "12T",AV30*12,
      "14T",AV30*14,
      "16T",AV30*16,
      "24T",AV30*24,
      "2(T+1)",2*(AV30+1),
      "1T*C",AV30*J32,
      "2*P",L32*2,
      1
  )
)</f>
        <v>1</v>
      </c>
      <c r="W30" s="38" t="str">
        <f>T30</f>
        <v>No</v>
      </c>
      <c r="X30" s="38">
        <f>IF(OR(W30="No",W30=""),V30,W30)</f>
        <v>1</v>
      </c>
      <c r="Y30" s="38">
        <f>VLOOKUP(H30,'Machine List'!$A$1:$C$138,3,FALSE)</f>
        <v>1</v>
      </c>
      <c r="Z30" s="38">
        <f>VLOOKUP(H30,'Machine List'!$A$1:$D$138,4,FALSE)</f>
        <v>1</v>
      </c>
      <c r="AA30" s="147" t="s">
        <v>393</v>
      </c>
      <c r="AB30" s="38">
        <f>VLOOKUP(AA30,'Item Helper Sheet'!$A$2:$B$16,2,FALSE)</f>
        <v>2</v>
      </c>
      <c r="AC30" s="147">
        <v>120.0</v>
      </c>
      <c r="AD30" s="147">
        <f>300*20</f>
        <v>6000</v>
      </c>
      <c r="AE30" s="38">
        <f>AD30*I32</f>
        <v>168000</v>
      </c>
      <c r="AF30" s="38">
        <f>AC30*AE30</f>
        <v>20160000</v>
      </c>
      <c r="AG30" s="75"/>
      <c r="AH30" s="147" t="str">
        <f>AA30</f>
        <v>02 - MV</v>
      </c>
      <c r="AI30" s="38">
        <v>1.0</v>
      </c>
      <c r="AJ30" s="38">
        <v>1.0</v>
      </c>
      <c r="AK30" s="38">
        <f>AJ30*8*4^AB30</f>
        <v>128</v>
      </c>
      <c r="AL30" s="38">
        <f>MIN(ROUNDDOWN(AK30/AN30,0),U30)</f>
        <v>1</v>
      </c>
      <c r="AM30" s="38">
        <f>IF(OR(T30="No",T30=""),AI30*S30,AI30*T30)</f>
        <v>1</v>
      </c>
      <c r="AN30" s="38">
        <f>ROUNDUP(AC30*VLOOKUP(H30,'Machine List'!$A$2:$D$219,4,FALSE),0)</f>
        <v>120</v>
      </c>
      <c r="AO30" s="38">
        <f>AN30*AM30</f>
        <v>120</v>
      </c>
      <c r="AP30" s="38">
        <f>ROUNDUP(AD30*I32,0)</f>
        <v>168000</v>
      </c>
      <c r="AQ30" s="38">
        <f>IF(ISNUMBER(Y30),ROUNDUP(AP30/Y30,0),
  SWITCH(
      Y30,
      "1+0.5C",ROUNDUP(AP30/(1+0.5*VLOOKUP(J32,'Machine Helper Sheet'!$G$1:$K$16,2,FALSE)),0),
      ROUNDUP(AP30/1,0)
  )
)</f>
        <v>168000</v>
      </c>
      <c r="AR30" s="38">
        <f>ROUNDUP(AQ30/AM30,0)</f>
        <v>168000</v>
      </c>
      <c r="AS30" s="38">
        <f>AO30*AR30</f>
        <v>20160000</v>
      </c>
      <c r="AT30" s="75"/>
      <c r="AU30" s="38" t="s">
        <v>401</v>
      </c>
      <c r="AV30" s="38">
        <f>VLOOKUP(AU30,'Item Helper Sheet'!$A$2:$B$16,2,FALSE)</f>
        <v>4</v>
      </c>
      <c r="AW30" s="38">
        <f>AI30</f>
        <v>1</v>
      </c>
      <c r="AX30" s="38">
        <v>1.0</v>
      </c>
      <c r="AY30" s="38">
        <f>AX30*8*4^AV30</f>
        <v>2048</v>
      </c>
      <c r="AZ30" s="38">
        <f>MIN(ROUNDDOWN(AY30/AN30,0),X30)</f>
        <v>1</v>
      </c>
      <c r="BA30" s="38">
        <f>AZ30*AW30</f>
        <v>1</v>
      </c>
      <c r="BB30" s="38">
        <f>AN30</f>
        <v>120</v>
      </c>
      <c r="BC30" s="38">
        <f>MIN(AV30-AB30,IF(AY30&gt;=BB31*4,
IF(AY30&gt;=BB31*4^2,
IF(AY30&gt;=BB31*4^3,
IF(AY30&gt;=BB31*4^4,
IF(AY30&gt;=BB31*4^5,
IF(AY30&gt;=BB31*4^6,
IF(AY30&gt;=BB31*4^7,
IF(AY30&gt;=BB31*4^8,
IF(AY30&gt;=BB31*4^9,
IF(AY30&gt;=BB31*4^10,
9),
8),
7),
6),
5),
4),
3),
2),
1),
0))</f>
        <v>2</v>
      </c>
      <c r="BD30" s="38">
        <f>BB30*AZ30*4^BC30</f>
        <v>1920</v>
      </c>
      <c r="BE30" s="38">
        <f>BD30*AW30</f>
        <v>1920</v>
      </c>
      <c r="BF30" s="45">
        <f>ROUNDUP(IF(R30="Yes",AP30/(2^((BC30)*2)),AP30/(2^(BC30))),0)</f>
        <v>10500</v>
      </c>
      <c r="BG30" s="45">
        <f>IF(ISNUMBER(Y30),ROUNDUP(BF30/Y30,0),
  SWITCH(
      Y30,
      "1+0.5C",ROUNDUP(BF30/(1+0.5*VLOOKUP(J32,'Machine Helper Sheet'!$G$1:$K$16,2,FALSE)),0),
      ROUNDUP(BF30/1,0)
  )
)</f>
        <v>10500</v>
      </c>
      <c r="BH30" s="45">
        <f>ROUNDUP(BG30/BA30,0)</f>
        <v>10500</v>
      </c>
      <c r="BI30" s="46">
        <f>BH30*BE30</f>
        <v>20160000</v>
      </c>
      <c r="BK30" s="22"/>
      <c r="BS30" s="6" t="s">
        <v>142</v>
      </c>
      <c r="BT30" s="140">
        <v>-67920.0</v>
      </c>
      <c r="BU30" s="6">
        <f>VLOOKUP(BS30,'Item List'!$A$2:$D$300,2,FALSE)</f>
        <v>1</v>
      </c>
      <c r="BV30" s="6">
        <f>VLOOKUP(BS30,'Item List'!$A$2:$D$300,3,FALSE)</f>
        <v>5</v>
      </c>
      <c r="BW30" s="6">
        <f>VLOOKUP(BS30,'Item List'!$A$2:$D$300,4,FALSE)</f>
        <v>1</v>
      </c>
    </row>
    <row r="31">
      <c r="B31" s="40"/>
      <c r="C31" s="41" t="s">
        <v>23</v>
      </c>
      <c r="D31" s="38">
        <f>1000*I32</f>
        <v>28000</v>
      </c>
      <c r="E31" s="38" t="s">
        <v>32</v>
      </c>
      <c r="F31" s="42">
        <f>3*I32</f>
        <v>84</v>
      </c>
      <c r="G31" s="43"/>
      <c r="H31" s="99" t="s">
        <v>584</v>
      </c>
      <c r="I31" s="45">
        <f t="array" ref="I31">match(TRUE,ISBLANK(F31:F42),0)-1</f>
        <v>3</v>
      </c>
      <c r="J31" s="100" t="s">
        <v>420</v>
      </c>
      <c r="K31" s="100" t="s">
        <v>585</v>
      </c>
      <c r="L31" s="100" t="s">
        <v>704</v>
      </c>
      <c r="M31" s="38"/>
      <c r="N31" s="38"/>
      <c r="O31" s="38"/>
      <c r="P31" s="38"/>
      <c r="Q31" s="38"/>
      <c r="R31" s="101"/>
      <c r="S31" s="101"/>
      <c r="T31" s="101"/>
      <c r="U31" s="45"/>
      <c r="V31" s="45"/>
      <c r="W31" s="45"/>
      <c r="X31" s="45"/>
      <c r="Y31" s="45"/>
      <c r="Z31" s="45"/>
      <c r="AA31" s="45"/>
      <c r="AB31" s="45"/>
      <c r="AC31" s="45"/>
      <c r="AD31" s="45"/>
      <c r="AE31" s="45"/>
      <c r="AF31" s="45"/>
      <c r="AG31" s="79"/>
      <c r="AH31" s="45"/>
      <c r="AI31" s="45"/>
      <c r="AJ31" s="45"/>
      <c r="AK31" s="45"/>
      <c r="AL31" s="45"/>
      <c r="AM31" s="45"/>
      <c r="AN31" s="45"/>
      <c r="AO31" s="45"/>
      <c r="AP31" s="45"/>
      <c r="AQ31" s="45"/>
      <c r="AR31" s="45"/>
      <c r="AS31" s="45"/>
      <c r="AT31" s="79"/>
      <c r="AU31" s="45"/>
      <c r="AV31" s="45"/>
      <c r="AW31" s="45"/>
      <c r="AX31" s="45"/>
      <c r="AY31" s="45"/>
      <c r="AZ31" s="45"/>
      <c r="BA31" s="45"/>
      <c r="BB31" s="45">
        <f>BB30*AZ30</f>
        <v>120</v>
      </c>
      <c r="BC31" s="45"/>
      <c r="BD31" s="45"/>
      <c r="BE31" s="45"/>
      <c r="BF31" s="45"/>
      <c r="BG31" s="45"/>
      <c r="BH31" s="45"/>
      <c r="BI31" s="46"/>
      <c r="BK31" s="22"/>
      <c r="BS31" s="140" t="s">
        <v>235</v>
      </c>
      <c r="BT31" s="140">
        <v>0.0</v>
      </c>
      <c r="BU31" s="6">
        <f>VLOOKUP(BS31,'Item List'!$A$2:$D$300,2,FALSE)</f>
        <v>1</v>
      </c>
      <c r="BV31" s="6">
        <f>VLOOKUP(BS31,'Item List'!$A$2:$D$300,3,FALSE)</f>
        <v>3</v>
      </c>
      <c r="BW31" s="6">
        <f>VLOOKUP(BS31,'Item List'!$A$2:$D$300,4,FALSE)</f>
        <v>2</v>
      </c>
    </row>
    <row r="32">
      <c r="B32" s="40"/>
      <c r="C32" s="41"/>
      <c r="D32" s="38"/>
      <c r="E32" s="38" t="s">
        <v>20</v>
      </c>
      <c r="F32" s="42">
        <f>2000*I32</f>
        <v>56000</v>
      </c>
      <c r="G32" s="43"/>
      <c r="H32" s="56" t="s">
        <v>502</v>
      </c>
      <c r="I32" s="49">
        <v>28.0</v>
      </c>
      <c r="J32" s="100" t="s">
        <v>424</v>
      </c>
      <c r="K32" s="100">
        <v>0.0</v>
      </c>
      <c r="L32" s="100">
        <v>0.0</v>
      </c>
      <c r="M32" s="45"/>
      <c r="N32" s="45"/>
      <c r="O32" s="45"/>
      <c r="P32" s="45"/>
      <c r="Q32" s="45"/>
      <c r="R32" s="45"/>
      <c r="S32" s="101"/>
      <c r="T32" s="101"/>
      <c r="U32" s="45"/>
      <c r="V32" s="45"/>
      <c r="W32" s="45"/>
      <c r="X32" s="45"/>
      <c r="Y32" s="45"/>
      <c r="Z32" s="45"/>
      <c r="AA32" s="45"/>
      <c r="AB32" s="45"/>
      <c r="AC32" s="45"/>
      <c r="AD32" s="45"/>
      <c r="AE32" s="45"/>
      <c r="AF32" s="45"/>
      <c r="AG32" s="79"/>
      <c r="AH32" s="45"/>
      <c r="AI32" s="45"/>
      <c r="AJ32" s="45"/>
      <c r="AK32" s="45"/>
      <c r="AL32" s="45"/>
      <c r="AM32" s="45"/>
      <c r="AN32" s="45"/>
      <c r="AO32" s="45"/>
      <c r="AP32" s="45"/>
      <c r="AQ32" s="45"/>
      <c r="AR32" s="45"/>
      <c r="AS32" s="45"/>
      <c r="AT32" s="79"/>
      <c r="AU32" s="45"/>
      <c r="AV32" s="45"/>
      <c r="AW32" s="45"/>
      <c r="AX32" s="45"/>
      <c r="AY32" s="45"/>
      <c r="AZ32" s="45"/>
      <c r="BA32" s="45"/>
      <c r="BB32" s="45"/>
      <c r="BC32" s="45"/>
      <c r="BD32" s="45"/>
      <c r="BE32" s="45"/>
      <c r="BF32" s="45"/>
      <c r="BG32" s="45"/>
      <c r="BH32" s="45"/>
      <c r="BI32" s="46"/>
      <c r="BK32" s="22"/>
      <c r="BS32" s="140" t="s">
        <v>240</v>
      </c>
      <c r="BT32" s="140">
        <v>6000.0</v>
      </c>
      <c r="BU32" s="6">
        <f>VLOOKUP(BS32,'Item List'!$A$2:$D$300,2,FALSE)</f>
        <v>1</v>
      </c>
      <c r="BV32" s="6">
        <f>VLOOKUP(BS32,'Item List'!$A$2:$D$300,3,FALSE)</f>
        <v>3</v>
      </c>
      <c r="BW32" s="6">
        <f>VLOOKUP(BS32,'Item List'!$A$2:$D$300,4,FALSE)</f>
        <v>2</v>
      </c>
    </row>
    <row r="33">
      <c r="B33" s="40"/>
      <c r="C33" s="41"/>
      <c r="D33" s="133"/>
      <c r="E33" s="38" t="s">
        <v>91</v>
      </c>
      <c r="F33" s="42">
        <f>1000*I32</f>
        <v>28000</v>
      </c>
      <c r="G33" s="43"/>
      <c r="H33" s="44"/>
      <c r="I33" s="45"/>
      <c r="J33" s="45"/>
      <c r="K33" s="45"/>
      <c r="L33" s="45"/>
      <c r="M33" s="45"/>
      <c r="N33" s="45"/>
      <c r="O33" s="45"/>
      <c r="P33" s="45"/>
      <c r="Q33" s="45"/>
      <c r="R33" s="45"/>
      <c r="S33" s="101"/>
      <c r="T33" s="101"/>
      <c r="U33" s="45"/>
      <c r="V33" s="45"/>
      <c r="W33" s="45"/>
      <c r="X33" s="45"/>
      <c r="Y33" s="45"/>
      <c r="Z33" s="45"/>
      <c r="AA33" s="45"/>
      <c r="AB33" s="45"/>
      <c r="AC33" s="45"/>
      <c r="AD33" s="45"/>
      <c r="AE33" s="45"/>
      <c r="AF33" s="45"/>
      <c r="AG33" s="79"/>
      <c r="AH33" s="45"/>
      <c r="AI33" s="45"/>
      <c r="AJ33" s="45"/>
      <c r="AK33" s="45"/>
      <c r="AL33" s="45"/>
      <c r="AM33" s="45"/>
      <c r="AN33" s="45"/>
      <c r="AO33" s="45"/>
      <c r="AP33" s="45"/>
      <c r="AQ33" s="45"/>
      <c r="AR33" s="45"/>
      <c r="AS33" s="45"/>
      <c r="AT33" s="79"/>
      <c r="AU33" s="45"/>
      <c r="AV33" s="45"/>
      <c r="AW33" s="45"/>
      <c r="AX33" s="45"/>
      <c r="AY33" s="45"/>
      <c r="AZ33" s="45"/>
      <c r="BA33" s="45"/>
      <c r="BB33" s="45"/>
      <c r="BC33" s="45"/>
      <c r="BD33" s="45"/>
      <c r="BE33" s="45"/>
      <c r="BF33" s="45"/>
      <c r="BG33" s="45"/>
      <c r="BH33" s="45"/>
      <c r="BI33" s="46"/>
      <c r="BK33" s="22"/>
      <c r="BS33" s="140" t="s">
        <v>241</v>
      </c>
      <c r="BT33" s="6">
        <v>3000.0</v>
      </c>
      <c r="BU33" s="6">
        <f>VLOOKUP(BS33,'Item List'!$A$2:$D$300,2,FALSE)</f>
        <v>1</v>
      </c>
      <c r="BV33" s="6">
        <f>VLOOKUP(BS33,'Item List'!$A$2:$D$300,3,FALSE)</f>
        <v>3</v>
      </c>
      <c r="BW33" s="6">
        <f>VLOOKUP(BS33,'Item List'!$A$2:$D$300,4,FALSE)</f>
        <v>2</v>
      </c>
    </row>
    <row r="34">
      <c r="B34" s="50"/>
      <c r="C34" s="51"/>
      <c r="D34" s="134"/>
      <c r="E34" s="52"/>
      <c r="F34" s="52"/>
      <c r="G34" s="112"/>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2"/>
      <c r="AH34" s="113"/>
      <c r="AI34" s="113"/>
      <c r="AJ34" s="113"/>
      <c r="AK34" s="113"/>
      <c r="AL34" s="113"/>
      <c r="AM34" s="113"/>
      <c r="AN34" s="113"/>
      <c r="AO34" s="113"/>
      <c r="AP34" s="113"/>
      <c r="AQ34" s="113"/>
      <c r="AR34" s="113"/>
      <c r="AS34" s="113"/>
      <c r="AT34" s="112"/>
      <c r="AU34" s="113"/>
      <c r="AV34" s="113"/>
      <c r="AW34" s="113"/>
      <c r="AX34" s="113"/>
      <c r="AY34" s="113"/>
      <c r="AZ34" s="113"/>
      <c r="BA34" s="113"/>
      <c r="BB34" s="113"/>
      <c r="BC34" s="113"/>
      <c r="BD34" s="113"/>
      <c r="BE34" s="113"/>
      <c r="BF34" s="113"/>
      <c r="BG34" s="113"/>
      <c r="BH34" s="113"/>
      <c r="BI34" s="114"/>
      <c r="BK34" s="22"/>
      <c r="BS34" s="140" t="s">
        <v>244</v>
      </c>
      <c r="BT34" s="6">
        <v>720.0</v>
      </c>
      <c r="BU34" s="6">
        <f>VLOOKUP(BS34,'Item List'!$A$2:$D$300,2,FALSE)</f>
        <v>1</v>
      </c>
      <c r="BV34" s="6">
        <f>VLOOKUP(BS34,'Item List'!$A$2:$D$300,3,FALSE)</f>
        <v>3</v>
      </c>
      <c r="BW34" s="6">
        <f>VLOOKUP(BS34,'Item List'!$A$2:$D$300,4,FALSE)</f>
        <v>2</v>
      </c>
    </row>
    <row r="35">
      <c r="B35" s="141" t="s">
        <v>715</v>
      </c>
      <c r="C35" s="142"/>
      <c r="D35" s="143"/>
      <c r="E35" s="143"/>
      <c r="F35" s="144"/>
      <c r="G35" s="145"/>
      <c r="H35" s="146" t="s">
        <v>379</v>
      </c>
      <c r="I35" s="147" t="str">
        <f>VLOOKUP(H35,'Machine List'!$A$1:$I$300,9,FALSE)</f>
        <v>1T</v>
      </c>
      <c r="J35" s="147">
        <f>IF(VLOOKUP(H35,'Machine List'!$A$1:$I$300,5,FALSE)="Multi",IF(VLOOKUP(H35,'Machine List'!$A$1:$I$300,6,FALSE)="Yes",AI35*3*10^AB35,AI35*(2*3)*10^(AB35-1)),0)</f>
        <v>0</v>
      </c>
      <c r="K35" s="147">
        <f>J35+IF(ISNUMBER(I35),I35,
  SWITCH(
      I35,
      "1T",1*10^AB35,
      "2T",2*10^AB35,
      "3T",3*10^AB35,
      "4T",4*10^AB35,
      "4000+500(7O-5)",4000+500*(7*I36-5),
      "13500 + 16C",13500+16*VLOOKUP(J37,'Machine Helper Sheet'!$G$1:$K$16,5,FALSE),
      1
  )
)</f>
        <v>10000</v>
      </c>
      <c r="L35" s="147">
        <f>IF(VLOOKUP(H35,'Machine List'!$A$1:$I$300,5,FALSE)="Multi",IF(VLOOKUP(H35,'Machine List'!$A$1:$I$300,6,FALSE)="Yes",AW35*3*10^AV35,AW35*(2*3)*10^(AV35-1)),0)</f>
        <v>0</v>
      </c>
      <c r="M35" s="147">
        <f>L35+IF(ISNUMBER(I35),I35,
  SWITCH(
      I35,
      "1T",1*10^AV35,
      "2T",2*10^AV35,
      "3T",3*10^AV35,
      "4T",4*10^AV35,
      "4000+500(7O-5)",4000+500*(7*I36-5),
      1
  )
)</f>
        <v>10000</v>
      </c>
      <c r="N35" s="147" t="str">
        <f>VLOOKUP(H35,'Machine List'!$A$1:$I$300,8,FALSE)</f>
        <v>Tier</v>
      </c>
      <c r="O35" s="147">
        <f>IF(ISNUMBER(N35),N35,10^AB35)</f>
        <v>10000</v>
      </c>
      <c r="P35" s="147">
        <f>IF(ISNUMBER(N35),N35,10^AV35)</f>
        <v>10000</v>
      </c>
      <c r="Q35" s="147">
        <f>VLOOKUP(H35,'Machine List'!$A$1:$B$138,2,FALSE)</f>
        <v>1</v>
      </c>
      <c r="R35" s="147" t="s">
        <v>277</v>
      </c>
      <c r="S35" s="143">
        <f>IF(ISNUMBER(Q35),Q35,
  SWITCH(
      Q35,
      "1",1,
      "2T",AB35*2,
      "4T",AB35*4,
      "6T",AB35*6,
      "8T",AB35*8,
      "10T",AB35*10,
      "12T",AB35*12,
      "14T",AB35*14,
      "16T",AB35*16,
      "24T",AB35*24,
      "2(T+1)",2*(AB35+1),
      "1T*C",AB35*J37,
      "2*P",L37*2,
      1
  )
)</f>
        <v>1</v>
      </c>
      <c r="T35" s="38" t="s">
        <v>277</v>
      </c>
      <c r="U35" s="147">
        <f>IF(OR(T35="No",T35=""),S35,T35)</f>
        <v>1</v>
      </c>
      <c r="V35" s="147">
        <f>IF(ISNUMBER(Q35),Q35,
  SWITCH(
      Q35,
      "1",1,
      "2T",AV35*2,
      "4T",AV35*4,
      "6T",AV35*6,
      "8T",AV35*8,
      "10T",AV35*10,
      "12T",AV35*12,
      "14T",AV35*14,
      "16T",AV35*16,
      "24T",AV35*24,
      "2(T+1)",2*(AV35+1),
      "1T*C",AV35*J37,
      "2*P",L37*2,
      1
  )
)</f>
        <v>1</v>
      </c>
      <c r="W35" s="147" t="str">
        <f>T35</f>
        <v>No</v>
      </c>
      <c r="X35" s="147">
        <f>IF(OR(W35="No",W35=""),V35,W35)</f>
        <v>1</v>
      </c>
      <c r="Y35" s="38">
        <f>VLOOKUP(H35,'Machine List'!$A$1:$C$138,3,FALSE)</f>
        <v>1</v>
      </c>
      <c r="Z35" s="38">
        <f>VLOOKUP(H35,'Machine List'!$A$1:$D$138,4,FALSE)</f>
        <v>1</v>
      </c>
      <c r="AA35" s="147" t="s">
        <v>401</v>
      </c>
      <c r="AB35" s="147">
        <f>VLOOKUP(AA35,'Item Helper Sheet'!$A$2:$B$16,2,FALSE)</f>
        <v>4</v>
      </c>
      <c r="AC35" s="147">
        <v>1920.0</v>
      </c>
      <c r="AD35" s="147">
        <f>120*20</f>
        <v>2400</v>
      </c>
      <c r="AE35" s="147">
        <f>AD35*I37</f>
        <v>192000</v>
      </c>
      <c r="AF35" s="147">
        <f>AC35*AE35</f>
        <v>368640000</v>
      </c>
      <c r="AG35" s="148"/>
      <c r="AH35" s="147" t="str">
        <f>AA35</f>
        <v>04 - EV</v>
      </c>
      <c r="AI35" s="147">
        <v>1.0</v>
      </c>
      <c r="AJ35" s="147">
        <v>1.0</v>
      </c>
      <c r="AK35" s="147">
        <f>AJ35*8*4^AB35</f>
        <v>2048</v>
      </c>
      <c r="AL35" s="147">
        <f>MIN(ROUNDDOWN(AK35/AN35,0),U35)</f>
        <v>1</v>
      </c>
      <c r="AM35" s="147">
        <f>IF(OR(T35="No",T35=""),AI35*S35,AI35*T35)</f>
        <v>1</v>
      </c>
      <c r="AN35" s="147">
        <f>ROUNDUP(AC35*VLOOKUP(H35,'Machine List'!$A$2:$D$219,4,FALSE),0)</f>
        <v>1920</v>
      </c>
      <c r="AO35" s="147">
        <f>AN35*AM35</f>
        <v>1920</v>
      </c>
      <c r="AP35" s="147">
        <f>ROUNDUP(AD35*I37,0)</f>
        <v>192000</v>
      </c>
      <c r="AQ35" s="38">
        <f>IF(ISNUMBER(Y35),ROUNDUP(AP35/Y35,0),
  SWITCH(
      Y35,
      "1+0.5C",ROUNDUP(AP35/(1+0.5*VLOOKUP(J37,'Machine Helper Sheet'!$G$1:$K$16,2,FALSE)),0),
      ROUNDUP(AP35/1,0)
  )
)</f>
        <v>192000</v>
      </c>
      <c r="AR35" s="147">
        <f>ROUNDUP(AQ35/AM35,0)</f>
        <v>192000</v>
      </c>
      <c r="AS35" s="147">
        <f>AO35*AR35</f>
        <v>368640000</v>
      </c>
      <c r="AT35" s="148"/>
      <c r="AU35" s="147" t="s">
        <v>401</v>
      </c>
      <c r="AV35" s="147">
        <f>VLOOKUP(AU35,'Item Helper Sheet'!$A$2:$B$16,2,FALSE)</f>
        <v>4</v>
      </c>
      <c r="AW35" s="147">
        <f>AI35</f>
        <v>1</v>
      </c>
      <c r="AX35" s="147">
        <v>1.0</v>
      </c>
      <c r="AY35" s="147">
        <f>AX35*8*4^AV35</f>
        <v>2048</v>
      </c>
      <c r="AZ35" s="147">
        <f>MIN(ROUNDDOWN(AY35/AN35,0),X35)</f>
        <v>1</v>
      </c>
      <c r="BA35" s="147">
        <f>AZ35*AW35</f>
        <v>1</v>
      </c>
      <c r="BB35" s="147">
        <f>AN35</f>
        <v>1920</v>
      </c>
      <c r="BC35" s="147">
        <f>MIN(AV35-AB35,IF(AY35&gt;=BB36*4,
IF(AY35&gt;=BB36*4^2,
IF(AY35&gt;=BB36*4^3,
IF(AY35&gt;=BB36*4^4,
IF(AY35&gt;=BB36*4^5,
IF(AY35&gt;=BB36*4^6,
IF(AY35&gt;=BB36*4^7,
IF(AY35&gt;=BB36*4^8,
IF(AY35&gt;=BB36*4^9,
IF(AY35&gt;=BB36*4^10,
9),
8),
7),
6),
5),
4),
3),
2),
1),
0))</f>
        <v>0</v>
      </c>
      <c r="BD35" s="147">
        <f>BB35*AZ35*4^BC35</f>
        <v>1920</v>
      </c>
      <c r="BE35" s="147">
        <f>BD35*AW35</f>
        <v>1920</v>
      </c>
      <c r="BF35" s="143">
        <f>ROUNDUP(IF(R35="Yes",AP35/(2^((BC35)*2)),AP35/(2^(BC35))),0)</f>
        <v>192000</v>
      </c>
      <c r="BG35" s="45">
        <f>IF(ISNUMBER(Y35),ROUNDUP(BF35/Y35,0),
  SWITCH(
      Y35,
      "1+0.5C",ROUNDUP(BF35/(1+0.5*VLOOKUP(J37,'Machine Helper Sheet'!$G$1:$K$16,2,FALSE)),0),
      ROUNDUP(BF35/1,0)
  )
)</f>
        <v>192000</v>
      </c>
      <c r="BH35" s="143">
        <f>ROUNDUP(BG35/BA35,0)</f>
        <v>192000</v>
      </c>
      <c r="BI35" s="149">
        <f>BH35*BE35</f>
        <v>368640000</v>
      </c>
      <c r="BK35" s="22"/>
      <c r="BS35" s="6" t="s">
        <v>246</v>
      </c>
      <c r="BT35" s="6">
        <v>3120.0</v>
      </c>
      <c r="BU35" s="6">
        <f>VLOOKUP(BS35,'Item List'!$A$2:$D$300,2,FALSE)</f>
        <v>1</v>
      </c>
      <c r="BV35" s="6">
        <f>VLOOKUP(BS35,'Item List'!$A$2:$D$300,3,FALSE)</f>
        <v>3</v>
      </c>
      <c r="BW35" s="6">
        <f>VLOOKUP(BS35,'Item List'!$A$2:$D$300,4,FALSE)</f>
        <v>2</v>
      </c>
    </row>
    <row r="36">
      <c r="B36" s="150"/>
      <c r="C36" s="151" t="s">
        <v>108</v>
      </c>
      <c r="D36" s="147">
        <f>3*I37</f>
        <v>240</v>
      </c>
      <c r="E36" s="147" t="s">
        <v>114</v>
      </c>
      <c r="F36" s="152">
        <f>1*I37</f>
        <v>80</v>
      </c>
      <c r="G36" s="138"/>
      <c r="H36" s="153" t="s">
        <v>584</v>
      </c>
      <c r="I36" s="143">
        <f t="array" ref="I36">match(TRUE,ISBLANK(F36:F48),0)-1</f>
        <v>1</v>
      </c>
      <c r="J36" s="154" t="s">
        <v>420</v>
      </c>
      <c r="K36" s="154" t="s">
        <v>585</v>
      </c>
      <c r="L36" s="100" t="s">
        <v>704</v>
      </c>
      <c r="M36" s="147"/>
      <c r="N36" s="147"/>
      <c r="O36" s="147"/>
      <c r="P36" s="147"/>
      <c r="Q36" s="147"/>
      <c r="R36" s="155"/>
      <c r="S36" s="155"/>
      <c r="T36" s="155"/>
      <c r="U36" s="143"/>
      <c r="V36" s="143"/>
      <c r="W36" s="143"/>
      <c r="X36" s="143"/>
      <c r="Y36" s="143"/>
      <c r="Z36" s="143"/>
      <c r="AA36" s="143"/>
      <c r="AB36" s="143"/>
      <c r="AC36" s="143"/>
      <c r="AD36" s="143"/>
      <c r="AE36" s="143"/>
      <c r="AF36" s="143"/>
      <c r="AG36" s="156"/>
      <c r="AH36" s="143"/>
      <c r="AI36" s="143"/>
      <c r="AJ36" s="143"/>
      <c r="AK36" s="143"/>
      <c r="AL36" s="143"/>
      <c r="AM36" s="143"/>
      <c r="AN36" s="143"/>
      <c r="AO36" s="143"/>
      <c r="AP36" s="143"/>
      <c r="AQ36" s="143"/>
      <c r="AR36" s="143"/>
      <c r="AS36" s="143"/>
      <c r="AT36" s="156"/>
      <c r="AU36" s="143"/>
      <c r="AV36" s="143"/>
      <c r="AW36" s="143"/>
      <c r="AX36" s="143"/>
      <c r="AY36" s="143"/>
      <c r="AZ36" s="143"/>
      <c r="BA36" s="143"/>
      <c r="BB36" s="143">
        <f>BB35*AZ35</f>
        <v>1920</v>
      </c>
      <c r="BC36" s="143"/>
      <c r="BD36" s="143"/>
      <c r="BE36" s="143"/>
      <c r="BF36" s="143"/>
      <c r="BG36" s="143"/>
      <c r="BH36" s="143"/>
      <c r="BI36" s="149"/>
      <c r="BK36" s="22"/>
      <c r="BS36" s="6" t="s">
        <v>248</v>
      </c>
      <c r="BT36" s="6">
        <v>-40000.0</v>
      </c>
      <c r="BU36" s="6">
        <f>VLOOKUP(BS36,'Item List'!$A$2:$D$300,2,FALSE)</f>
        <v>0</v>
      </c>
      <c r="BV36" s="6">
        <f>VLOOKUP(BS36,'Item List'!$A$2:$D$300,3,FALSE)</f>
        <v>5</v>
      </c>
      <c r="BW36" s="6">
        <f>VLOOKUP(BS36,'Item List'!$A$2:$D$300,4,FALSE)</f>
        <v>0</v>
      </c>
    </row>
    <row r="37">
      <c r="B37" s="150"/>
      <c r="C37" s="151"/>
      <c r="D37" s="147"/>
      <c r="E37" s="147"/>
      <c r="F37" s="152"/>
      <c r="G37" s="138"/>
      <c r="H37" s="157" t="s">
        <v>502</v>
      </c>
      <c r="I37" s="158">
        <v>80.0</v>
      </c>
      <c r="J37" s="154" t="s">
        <v>424</v>
      </c>
      <c r="K37" s="154">
        <v>0.0</v>
      </c>
      <c r="L37" s="100">
        <v>0.0</v>
      </c>
      <c r="M37" s="143"/>
      <c r="N37" s="143"/>
      <c r="O37" s="143"/>
      <c r="P37" s="143"/>
      <c r="Q37" s="143"/>
      <c r="R37" s="143"/>
      <c r="S37" s="155"/>
      <c r="T37" s="155"/>
      <c r="U37" s="143"/>
      <c r="V37" s="143"/>
      <c r="W37" s="143"/>
      <c r="X37" s="143"/>
      <c r="Y37" s="143"/>
      <c r="Z37" s="143"/>
      <c r="AA37" s="143"/>
      <c r="AB37" s="143"/>
      <c r="AC37" s="143"/>
      <c r="AD37" s="143"/>
      <c r="AE37" s="143"/>
      <c r="AF37" s="143"/>
      <c r="AG37" s="156"/>
      <c r="AH37" s="143"/>
      <c r="AI37" s="143"/>
      <c r="AJ37" s="143"/>
      <c r="AK37" s="143"/>
      <c r="AL37" s="143"/>
      <c r="AM37" s="143"/>
      <c r="AN37" s="143"/>
      <c r="AO37" s="143"/>
      <c r="AP37" s="143"/>
      <c r="AQ37" s="143"/>
      <c r="AR37" s="143"/>
      <c r="AS37" s="143"/>
      <c r="AT37" s="156"/>
      <c r="AU37" s="143"/>
      <c r="AV37" s="143"/>
      <c r="AW37" s="143"/>
      <c r="AX37" s="143"/>
      <c r="AY37" s="143"/>
      <c r="AZ37" s="143"/>
      <c r="BA37" s="143"/>
      <c r="BB37" s="143"/>
      <c r="BC37" s="143"/>
      <c r="BD37" s="143"/>
      <c r="BE37" s="143"/>
      <c r="BF37" s="143"/>
      <c r="BG37" s="143"/>
      <c r="BH37" s="143"/>
      <c r="BI37" s="149"/>
      <c r="BK37" s="22"/>
      <c r="BS37" s="140" t="s">
        <v>256</v>
      </c>
      <c r="BT37" s="140">
        <v>84999.0</v>
      </c>
      <c r="BU37" s="6">
        <f>VLOOKUP(BS37,'Item List'!$A$2:$D$300,2,FALSE)</f>
        <v>1</v>
      </c>
      <c r="BV37" s="6">
        <f>VLOOKUP(BS37,'Item List'!$A$2:$D$300,3,FALSE)</f>
        <v>3</v>
      </c>
      <c r="BW37" s="6">
        <f>VLOOKUP(BS37,'Item List'!$A$2:$D$300,4,FALSE)</f>
        <v>2</v>
      </c>
    </row>
    <row r="38">
      <c r="B38" s="135"/>
      <c r="C38" s="136"/>
      <c r="D38" s="137"/>
      <c r="E38" s="137"/>
      <c r="F38" s="137"/>
      <c r="G38" s="138"/>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8"/>
      <c r="AH38" s="137"/>
      <c r="AI38" s="137"/>
      <c r="AJ38" s="137"/>
      <c r="AK38" s="137"/>
      <c r="AL38" s="137"/>
      <c r="AM38" s="137"/>
      <c r="AN38" s="137"/>
      <c r="AO38" s="137"/>
      <c r="AP38" s="137"/>
      <c r="AQ38" s="137"/>
      <c r="AR38" s="137"/>
      <c r="AS38" s="137"/>
      <c r="AT38" s="138"/>
      <c r="AU38" s="137"/>
      <c r="AV38" s="137"/>
      <c r="AW38" s="137"/>
      <c r="AX38" s="137"/>
      <c r="AY38" s="137"/>
      <c r="AZ38" s="137"/>
      <c r="BA38" s="137"/>
      <c r="BB38" s="137"/>
      <c r="BC38" s="137"/>
      <c r="BD38" s="137"/>
      <c r="BE38" s="137"/>
      <c r="BF38" s="137"/>
      <c r="BG38" s="137"/>
      <c r="BH38" s="137"/>
      <c r="BI38" s="139"/>
      <c r="BK38" s="22"/>
      <c r="BS38" s="140" t="s">
        <v>257</v>
      </c>
      <c r="BT38" s="140">
        <v>-1.0</v>
      </c>
      <c r="BU38" s="6">
        <f>VLOOKUP(BS38,'Item List'!$A$2:$D$300,2,FALSE)</f>
        <v>1</v>
      </c>
      <c r="BV38" s="6">
        <f>VLOOKUP(BS38,'Item List'!$A$2:$D$300,3,FALSE)</f>
        <v>3</v>
      </c>
      <c r="BW38" s="6">
        <f>VLOOKUP(BS38,'Item List'!$A$2:$D$300,4,FALSE)</f>
        <v>2</v>
      </c>
    </row>
    <row r="39">
      <c r="B39" s="31" t="s">
        <v>716</v>
      </c>
      <c r="C39" s="54"/>
      <c r="D39" s="45"/>
      <c r="E39" s="45"/>
      <c r="F39" s="47"/>
      <c r="G39" s="35"/>
      <c r="H39" s="55" t="s">
        <v>349</v>
      </c>
      <c r="I39" s="38">
        <f>VLOOKUP(H39,'Machine List'!$A$1:$I$300,9,FALSE)</f>
        <v>4000</v>
      </c>
      <c r="J39" s="38">
        <f>IF(VLOOKUP(H39,'Machine List'!$A$1:$I$300,5,FALSE)="Multi",IF(VLOOKUP(H39,'Machine List'!$A$1:$I$300,6,FALSE)="Yes",AI39*3*10^AB39,AI39*(2*3)*10^(AB39-1)),0)</f>
        <v>6</v>
      </c>
      <c r="K39" s="38">
        <f>J39+IF(ISNUMBER(I39),I39,
  SWITCH(
      I39,
      "1T",1*10^AB39,
      "2T",2*10^AB39,
      "3T",3*10^AB39,
      "4T",4*10^AB39,
      "4000+500(7O-5)",4000+500*(7*I40-5),
      "13500 + 16C",13500+16*VLOOKUP(J41,'Machine Helper Sheet'!$G$1:$K$16,5,FALSE),
      1
  )
)</f>
        <v>4006</v>
      </c>
      <c r="L39" s="38">
        <f>IF(VLOOKUP(H39,'Machine List'!$A$1:$I$300,5,FALSE)="Multi",IF(VLOOKUP(H39,'Machine List'!$A$1:$I$300,6,FALSE)="Yes",AW39*3*10^AV39,AW39*(2*3)*10^(AV39-1)),0)</f>
        <v>6000</v>
      </c>
      <c r="M39" s="38">
        <f>L39+IF(ISNUMBER(I39),I39,
  SWITCH(
      I39,
      "1T",1*10^AV39,
      "2T",2*10^AV39,
      "3T",3*10^AV39,
      "4T",4*10^AV39,
      "4000+500(7O-5)",4000+500*(7*I40-5),
      1
  )
)</f>
        <v>10000</v>
      </c>
      <c r="N39" s="38" t="str">
        <f>VLOOKUP(H39,'Machine List'!$A$1:$I$300,8,FALSE)</f>
        <v>Tier</v>
      </c>
      <c r="O39" s="38">
        <f>IF(ISNUMBER(N39),N39,10^AB39)</f>
        <v>10</v>
      </c>
      <c r="P39" s="38">
        <f>IF(ISNUMBER(N39),N39,10^AV39)</f>
        <v>10000</v>
      </c>
      <c r="Q39" s="38">
        <f>VLOOKUP(H39,'Machine List'!$A$1:$B$138,2,FALSE)</f>
        <v>1</v>
      </c>
      <c r="R39" s="38" t="s">
        <v>594</v>
      </c>
      <c r="S39" s="45">
        <f>IF(ISNUMBER(Q39),Q39,
  SWITCH(
      Q39,
      "1",1,
      "2T",AB39*2,
      "4T",AB39*4,
      "6T",AB39*6,
      "8T",AB39*8,
      "10T",AB39*10,
      "12T",AB39*12,
      "14T",AB39*14,
      "16T",AB39*16,
      "24T",AB39*24,
      "2(T+1)",2*(AB39+1),
      "1T*C",AB39*J41,
      "2*P",L41*2,
      1
  )
)</f>
        <v>1</v>
      </c>
      <c r="T39" s="38" t="s">
        <v>277</v>
      </c>
      <c r="U39" s="38">
        <f>IF(OR(T39="No",T39=""),S39,T39)</f>
        <v>1</v>
      </c>
      <c r="V39" s="38">
        <f>IF(ISNUMBER(Q39),Q39,
  SWITCH(
      Q39,
      "1",1,
      "2T",AV39*2,
      "4T",AV39*4,
      "6T",AV39*6,
      "8T",AV39*8,
      "10T",AV39*10,
      "12T",AV39*12,
      "14T",AV39*14,
      "16T",AV39*16,
      "24T",AV39*24,
      "2(T+1)",2*(AV39+1),
      "1T*C",AV39*J41,
      "2*P",L41*2,
      1
  )
)</f>
        <v>1</v>
      </c>
      <c r="W39" s="38" t="str">
        <f>T39</f>
        <v>No</v>
      </c>
      <c r="X39" s="38">
        <f>IF(OR(W39="No",W39=""),V39,W39)</f>
        <v>1</v>
      </c>
      <c r="Y39" s="38">
        <f>VLOOKUP(H39,'Machine List'!$A$1:$C$138,3,FALSE)</f>
        <v>1</v>
      </c>
      <c r="Z39" s="38">
        <f>VLOOKUP(H39,'Machine List'!$A$1:$D$138,4,FALSE)</f>
        <v>1</v>
      </c>
      <c r="AA39" s="147" t="s">
        <v>390</v>
      </c>
      <c r="AB39" s="38">
        <f>VLOOKUP(AA39,'Item Helper Sheet'!$A$2:$B$16,2,FALSE)</f>
        <v>1</v>
      </c>
      <c r="AC39" s="147">
        <v>30.0</v>
      </c>
      <c r="AD39" s="147">
        <f>300*20</f>
        <v>6000</v>
      </c>
      <c r="AE39" s="38">
        <f>AD39*I41</f>
        <v>30000</v>
      </c>
      <c r="AF39" s="38">
        <f>AC39*AE39</f>
        <v>900000</v>
      </c>
      <c r="AG39" s="75"/>
      <c r="AH39" s="147" t="str">
        <f>AA39</f>
        <v>01 - LV</v>
      </c>
      <c r="AI39" s="38">
        <v>1.0</v>
      </c>
      <c r="AJ39" s="38">
        <v>1.0</v>
      </c>
      <c r="AK39" s="38">
        <f>AJ39*8*4^AB39</f>
        <v>32</v>
      </c>
      <c r="AL39" s="38">
        <f>MIN(ROUNDDOWN(AK39/AN39,0),U39)</f>
        <v>1</v>
      </c>
      <c r="AM39" s="38">
        <f>IF(OR(T39="No",T39=""),AI39*S39,AI39*T39)</f>
        <v>1</v>
      </c>
      <c r="AN39" s="38">
        <f>ROUNDUP(AC39*VLOOKUP(H39,'Machine List'!$A$2:$D$219,4,FALSE),0)</f>
        <v>30</v>
      </c>
      <c r="AO39" s="38">
        <f>AN39*AM39</f>
        <v>30</v>
      </c>
      <c r="AP39" s="38">
        <f>ROUNDUP(AD39*I41,0)</f>
        <v>30000</v>
      </c>
      <c r="AQ39" s="38">
        <f>IF(ISNUMBER(Y39),ROUNDUP(AP39/Y39,0),
  SWITCH(
      Y39,
      "1+0.5C",ROUNDUP(AP39/(1+0.5*VLOOKUP(J41,'Machine Helper Sheet'!$G$1:$K$16,2,FALSE)),0),
      ROUNDUP(AP39/1,0)
  )
)</f>
        <v>30000</v>
      </c>
      <c r="AR39" s="38">
        <f>ROUNDUP(AQ39/AM39,0)</f>
        <v>30000</v>
      </c>
      <c r="AS39" s="38">
        <f>AO39*AR39</f>
        <v>900000</v>
      </c>
      <c r="AT39" s="75"/>
      <c r="AU39" s="38" t="s">
        <v>401</v>
      </c>
      <c r="AV39" s="38">
        <f>VLOOKUP(AU39,'Item Helper Sheet'!$A$2:$B$16,2,FALSE)</f>
        <v>4</v>
      </c>
      <c r="AW39" s="38">
        <f>AI39</f>
        <v>1</v>
      </c>
      <c r="AX39" s="38">
        <v>1.0</v>
      </c>
      <c r="AY39" s="38">
        <f>AX39*8*4^AV39</f>
        <v>2048</v>
      </c>
      <c r="AZ39" s="38">
        <f>MIN(ROUNDDOWN(AY39/AN39,0),X39)</f>
        <v>1</v>
      </c>
      <c r="BA39" s="38">
        <f>AZ39*AW39</f>
        <v>1</v>
      </c>
      <c r="BB39" s="38">
        <f>AN39</f>
        <v>30</v>
      </c>
      <c r="BC39" s="38">
        <f>MIN(AV39-AB39,IF(AY39&gt;=BB40*4,
IF(AY39&gt;=BB40*4^2,
IF(AY39&gt;=BB40*4^3,
IF(AY39&gt;=BB40*4^4,
IF(AY39&gt;=BB40*4^5,
IF(AY39&gt;=BB40*4^6,
IF(AY39&gt;=BB40*4^7,
IF(AY39&gt;=BB40*4^8,
IF(AY39&gt;=BB40*4^9,
IF(AY39&gt;=BB40*4^10,
9),
8),
7),
6),
5),
4),
3),
2),
1),
0))</f>
        <v>3</v>
      </c>
      <c r="BD39" s="38">
        <f>BB39*AZ39*4^BC39</f>
        <v>1920</v>
      </c>
      <c r="BE39" s="38">
        <f>BD39*AW39</f>
        <v>1920</v>
      </c>
      <c r="BF39" s="45">
        <f>ROUNDUP(IF(R39="Yes",AP39/(2^((BC39)*2)),AP39/(2^(BC39))),0)</f>
        <v>469</v>
      </c>
      <c r="BG39" s="45">
        <f>IF(ISNUMBER(Y39),ROUNDUP(BF39/Y39,0),
  SWITCH(
      Y39,
      "1+0.5C",ROUNDUP(BF39/(1+0.5*VLOOKUP(J41,'Machine Helper Sheet'!$G$1:$K$16,2,FALSE)),0),
      ROUNDUP(BF39/1,0)
  )
)</f>
        <v>469</v>
      </c>
      <c r="BH39" s="45">
        <f>ROUNDUP(BG39/BA39,0)</f>
        <v>469</v>
      </c>
      <c r="BI39" s="46">
        <f>BH39*BE39</f>
        <v>900480</v>
      </c>
      <c r="BK39" s="22"/>
      <c r="BS39" s="140" t="s">
        <v>258</v>
      </c>
      <c r="BT39" s="140">
        <v>-4.0</v>
      </c>
      <c r="BU39" s="6">
        <f>VLOOKUP(BS39,'Item List'!$A$2:$D$300,2,FALSE)</f>
        <v>1</v>
      </c>
      <c r="BV39" s="6">
        <f>VLOOKUP(BS39,'Item List'!$A$2:$D$300,3,FALSE)</f>
        <v>3</v>
      </c>
      <c r="BW39" s="6">
        <f>VLOOKUP(BS39,'Item List'!$A$2:$D$300,4,FALSE)</f>
        <v>2</v>
      </c>
    </row>
    <row r="40">
      <c r="B40" s="40"/>
      <c r="C40" s="41" t="s">
        <v>114</v>
      </c>
      <c r="D40" s="38">
        <f>16*I41</f>
        <v>80</v>
      </c>
      <c r="E40" s="38" t="s">
        <v>111</v>
      </c>
      <c r="F40" s="42">
        <f>6912*I41</f>
        <v>34560</v>
      </c>
      <c r="G40" s="43"/>
      <c r="H40" s="99" t="s">
        <v>584</v>
      </c>
      <c r="I40" s="45">
        <f t="array" ref="I40">match(TRUE,ISBLANK(F40:F51),0)-1</f>
        <v>1</v>
      </c>
      <c r="J40" s="100" t="s">
        <v>420</v>
      </c>
      <c r="K40" s="100" t="s">
        <v>585</v>
      </c>
      <c r="L40" s="100" t="s">
        <v>704</v>
      </c>
      <c r="M40" s="38"/>
      <c r="N40" s="38"/>
      <c r="O40" s="38"/>
      <c r="P40" s="38"/>
      <c r="Q40" s="38"/>
      <c r="R40" s="101"/>
      <c r="S40" s="101"/>
      <c r="T40" s="101"/>
      <c r="U40" s="45"/>
      <c r="V40" s="45"/>
      <c r="W40" s="45"/>
      <c r="X40" s="45"/>
      <c r="Y40" s="45"/>
      <c r="Z40" s="45"/>
      <c r="AA40" s="45"/>
      <c r="AB40" s="45"/>
      <c r="AC40" s="45"/>
      <c r="AD40" s="45"/>
      <c r="AE40" s="45"/>
      <c r="AF40" s="45"/>
      <c r="AG40" s="79"/>
      <c r="AH40" s="45"/>
      <c r="AI40" s="45"/>
      <c r="AJ40" s="45"/>
      <c r="AK40" s="45"/>
      <c r="AL40" s="45"/>
      <c r="AM40" s="45"/>
      <c r="AN40" s="45"/>
      <c r="AO40" s="45"/>
      <c r="AP40" s="45"/>
      <c r="AQ40" s="45"/>
      <c r="AR40" s="45"/>
      <c r="AS40" s="45"/>
      <c r="AT40" s="79"/>
      <c r="AU40" s="45"/>
      <c r="AV40" s="45"/>
      <c r="AW40" s="45"/>
      <c r="AX40" s="45"/>
      <c r="AY40" s="45"/>
      <c r="AZ40" s="45"/>
      <c r="BA40" s="45"/>
      <c r="BB40" s="45">
        <f>BB39*AZ39</f>
        <v>30</v>
      </c>
      <c r="BC40" s="45"/>
      <c r="BD40" s="45"/>
      <c r="BE40" s="45"/>
      <c r="BF40" s="45"/>
      <c r="BG40" s="45"/>
      <c r="BH40" s="45"/>
      <c r="BI40" s="46"/>
      <c r="BK40" s="22"/>
      <c r="BS40" s="140" t="s">
        <v>259</v>
      </c>
      <c r="BT40" s="140">
        <v>0.0</v>
      </c>
      <c r="BU40" s="6">
        <f>VLOOKUP(BS40,'Item List'!$A$2:$D$300,2,FALSE)</f>
        <v>1</v>
      </c>
      <c r="BV40" s="6">
        <f>VLOOKUP(BS40,'Item List'!$A$2:$D$300,3,FALSE)</f>
        <v>3</v>
      </c>
      <c r="BW40" s="6">
        <f>VLOOKUP(BS40,'Item List'!$A$2:$D$300,4,FALSE)</f>
        <v>2</v>
      </c>
    </row>
    <row r="41">
      <c r="B41" s="40"/>
      <c r="C41" s="41" t="s">
        <v>248</v>
      </c>
      <c r="D41" s="38">
        <f>8000*I41</f>
        <v>40000</v>
      </c>
      <c r="E41" s="38"/>
      <c r="F41" s="42"/>
      <c r="G41" s="43"/>
      <c r="H41" s="56" t="s">
        <v>502</v>
      </c>
      <c r="I41" s="49">
        <v>5.0</v>
      </c>
      <c r="J41" s="100" t="s">
        <v>424</v>
      </c>
      <c r="K41" s="100">
        <v>0.0</v>
      </c>
      <c r="L41" s="100">
        <v>0.0</v>
      </c>
      <c r="M41" s="45"/>
      <c r="N41" s="45"/>
      <c r="O41" s="45"/>
      <c r="P41" s="45"/>
      <c r="Q41" s="45"/>
      <c r="R41" s="45"/>
      <c r="S41" s="101"/>
      <c r="T41" s="101"/>
      <c r="U41" s="45"/>
      <c r="V41" s="45"/>
      <c r="W41" s="45"/>
      <c r="X41" s="45"/>
      <c r="Y41" s="45"/>
      <c r="Z41" s="45"/>
      <c r="AA41" s="45"/>
      <c r="AB41" s="45"/>
      <c r="AC41" s="45"/>
      <c r="AD41" s="45"/>
      <c r="AE41" s="45"/>
      <c r="AF41" s="45"/>
      <c r="AG41" s="79"/>
      <c r="AH41" s="45"/>
      <c r="AI41" s="45"/>
      <c r="AJ41" s="45"/>
      <c r="AK41" s="45"/>
      <c r="AL41" s="45"/>
      <c r="AM41" s="45"/>
      <c r="AN41" s="45"/>
      <c r="AO41" s="45"/>
      <c r="AP41" s="45"/>
      <c r="AQ41" s="45"/>
      <c r="AR41" s="45"/>
      <c r="AS41" s="45"/>
      <c r="AT41" s="79"/>
      <c r="AU41" s="45"/>
      <c r="AV41" s="45"/>
      <c r="AW41" s="45"/>
      <c r="AX41" s="45"/>
      <c r="AY41" s="45"/>
      <c r="AZ41" s="45"/>
      <c r="BA41" s="45"/>
      <c r="BB41" s="45"/>
      <c r="BC41" s="45"/>
      <c r="BD41" s="45"/>
      <c r="BE41" s="45"/>
      <c r="BF41" s="45"/>
      <c r="BG41" s="45"/>
      <c r="BH41" s="45"/>
      <c r="BI41" s="46"/>
      <c r="BK41" s="22"/>
      <c r="BS41" s="6" t="s">
        <v>260</v>
      </c>
      <c r="BT41" s="140">
        <v>-715.0</v>
      </c>
      <c r="BU41" s="6">
        <f>VLOOKUP(BS41,'Item List'!$A$2:$D$300,2,FALSE)</f>
        <v>1</v>
      </c>
      <c r="BV41" s="6">
        <f>VLOOKUP(BS41,'Item List'!$A$2:$D$300,3,FALSE)</f>
        <v>3</v>
      </c>
      <c r="BW41" s="6">
        <f>VLOOKUP(BS41,'Item List'!$A$2:$D$300,4,FALSE)</f>
        <v>2</v>
      </c>
    </row>
    <row r="42">
      <c r="B42" s="40"/>
      <c r="C42" s="41" t="s">
        <v>142</v>
      </c>
      <c r="D42" s="133">
        <f>8000*I41</f>
        <v>40000</v>
      </c>
      <c r="E42" s="38"/>
      <c r="F42" s="42"/>
      <c r="G42" s="43"/>
      <c r="H42" s="44"/>
      <c r="I42" s="45"/>
      <c r="J42" s="45"/>
      <c r="K42" s="45"/>
      <c r="L42" s="45"/>
      <c r="M42" s="45"/>
      <c r="N42" s="45"/>
      <c r="O42" s="45"/>
      <c r="P42" s="45"/>
      <c r="Q42" s="45"/>
      <c r="R42" s="45"/>
      <c r="S42" s="101"/>
      <c r="T42" s="101"/>
      <c r="U42" s="45"/>
      <c r="V42" s="45"/>
      <c r="W42" s="45"/>
      <c r="X42" s="45"/>
      <c r="Y42" s="45"/>
      <c r="Z42" s="45"/>
      <c r="AA42" s="45"/>
      <c r="AB42" s="45"/>
      <c r="AC42" s="45"/>
      <c r="AD42" s="45"/>
      <c r="AE42" s="45"/>
      <c r="AF42" s="45"/>
      <c r="AG42" s="79"/>
      <c r="AH42" s="45"/>
      <c r="AI42" s="45"/>
      <c r="AJ42" s="45"/>
      <c r="AK42" s="45"/>
      <c r="AL42" s="45"/>
      <c r="AM42" s="45"/>
      <c r="AN42" s="45"/>
      <c r="AO42" s="45"/>
      <c r="AP42" s="45"/>
      <c r="AQ42" s="45"/>
      <c r="AR42" s="45"/>
      <c r="AS42" s="45"/>
      <c r="AT42" s="79"/>
      <c r="AU42" s="45"/>
      <c r="AV42" s="45"/>
      <c r="AW42" s="45"/>
      <c r="AX42" s="45"/>
      <c r="AY42" s="45"/>
      <c r="AZ42" s="45"/>
      <c r="BA42" s="45"/>
      <c r="BB42" s="45"/>
      <c r="BC42" s="45"/>
      <c r="BD42" s="45"/>
      <c r="BE42" s="45"/>
      <c r="BF42" s="45"/>
      <c r="BG42" s="45"/>
      <c r="BH42" s="45"/>
      <c r="BI42" s="46"/>
      <c r="BK42" s="22"/>
    </row>
    <row r="43">
      <c r="B43" s="50"/>
      <c r="C43" s="51"/>
      <c r="D43" s="134"/>
      <c r="E43" s="52"/>
      <c r="F43" s="52"/>
      <c r="G43" s="112"/>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2"/>
      <c r="AH43" s="113"/>
      <c r="AI43" s="113"/>
      <c r="AJ43" s="113"/>
      <c r="AK43" s="113"/>
      <c r="AL43" s="113"/>
      <c r="AM43" s="113"/>
      <c r="AN43" s="113"/>
      <c r="AO43" s="113"/>
      <c r="AP43" s="113"/>
      <c r="AQ43" s="113"/>
      <c r="AR43" s="113"/>
      <c r="AS43" s="113"/>
      <c r="AT43" s="112"/>
      <c r="AU43" s="113"/>
      <c r="AV43" s="113"/>
      <c r="AW43" s="113"/>
      <c r="AX43" s="113"/>
      <c r="AY43" s="113"/>
      <c r="AZ43" s="113"/>
      <c r="BA43" s="113"/>
      <c r="BB43" s="113"/>
      <c r="BC43" s="113"/>
      <c r="BD43" s="113"/>
      <c r="BE43" s="113"/>
      <c r="BF43" s="113"/>
      <c r="BG43" s="113"/>
      <c r="BH43" s="113"/>
      <c r="BI43" s="114"/>
      <c r="BK43" s="22"/>
    </row>
    <row r="44">
      <c r="B44" s="141" t="s">
        <v>717</v>
      </c>
      <c r="C44" s="142"/>
      <c r="D44" s="143"/>
      <c r="E44" s="143"/>
      <c r="F44" s="144"/>
      <c r="G44" s="145"/>
      <c r="H44" s="146" t="s">
        <v>297</v>
      </c>
      <c r="I44" s="147" t="str">
        <f>VLOOKUP(H44,'Machine List'!$A$1:$I$300,9,FALSE)</f>
        <v>1T</v>
      </c>
      <c r="J44" s="147">
        <f>IF(VLOOKUP(H44,'Machine List'!$A$1:$I$300,5,FALSE)="Multi",IF(VLOOKUP(H44,'Machine List'!$A$1:$I$300,6,FALSE)="Yes",AI44*3*10^AB44,AI44*(2*3)*10^(AB44-1)),0)</f>
        <v>0</v>
      </c>
      <c r="K44" s="147">
        <f>J44+IF(ISNUMBER(I44),I44,
  SWITCH(
      I44,
      "1T",1*10^AB44,
      "2T",2*10^AB44,
      "3T",3*10^AB44,
      "4T",4*10^AB44,
      "4000+500(7O-5)",4000+500*(7*I45-5),
      "13500 + 16C",13500+16*VLOOKUP(J46,'Machine Helper Sheet'!$G$1:$K$16,5,FALSE),
      1
  )
)</f>
        <v>100</v>
      </c>
      <c r="L44" s="147">
        <f>IF(VLOOKUP(H44,'Machine List'!$A$1:$I$300,5,FALSE)="Multi",IF(VLOOKUP(H44,'Machine List'!$A$1:$I$300,6,FALSE)="Yes",AW44*3*10^AV44,AW44*(2*3)*10^(AV44-1)),0)</f>
        <v>0</v>
      </c>
      <c r="M44" s="147">
        <f>L44+IF(ISNUMBER(I44),I44,
  SWITCH(
      I44,
      "1T",1*10^AV44,
      "2T",2*10^AV44,
      "3T",3*10^AV44,
      "4T",4*10^AV44,
      "4000+500(7O-5)",4000+500*(7*I45-5),
      1
  )
)</f>
        <v>10000</v>
      </c>
      <c r="N44" s="147" t="str">
        <f>VLOOKUP(H44,'Machine List'!$A$1:$I$300,8,FALSE)</f>
        <v>Tier</v>
      </c>
      <c r="O44" s="147">
        <f>IF(ISNUMBER(N44),N44,10^AB44)</f>
        <v>100</v>
      </c>
      <c r="P44" s="147">
        <f>IF(ISNUMBER(N44),N44,10^AV44)</f>
        <v>10000</v>
      </c>
      <c r="Q44" s="147">
        <f>VLOOKUP(H44,'Machine List'!$A$1:$B$138,2,FALSE)</f>
        <v>1</v>
      </c>
      <c r="R44" s="147" t="s">
        <v>277</v>
      </c>
      <c r="S44" s="143">
        <f>IF(ISNUMBER(Q44),Q44,
  SWITCH(
      Q44,
      "1",1,
      "2T",AB44*2,
      "4T",AB44*4,
      "6T",AB44*6,
      "8T",AB44*8,
      "10T",AB44*10,
      "12T",AB44*12,
      "14T",AB44*14,
      "16T",AB44*16,
      "24T",AB44*24,
      "2(T+1)",2*(AB44+1),
      "1T*C",AB44*J46,
      "2*P",L46*2,
      1
  )
)</f>
        <v>1</v>
      </c>
      <c r="T44" s="38" t="s">
        <v>277</v>
      </c>
      <c r="U44" s="147">
        <f>IF(OR(T44="No",T44=""),S44,T44)</f>
        <v>1</v>
      </c>
      <c r="V44" s="147">
        <f>IF(ISNUMBER(Q44),Q44,
  SWITCH(
      Q44,
      "1",1,
      "2T",AV44*2,
      "4T",AV44*4,
      "6T",AV44*6,
      "8T",AV44*8,
      "10T",AV44*10,
      "12T",AV44*12,
      "14T",AV44*14,
      "16T",AV44*16,
      "24T",AV44*24,
      "2(T+1)",2*(AV44+1),
      "1T*C",AV44*J46,
      "2*P",L46*2,
      1
  )
)</f>
        <v>1</v>
      </c>
      <c r="W44" s="147" t="str">
        <f>T44</f>
        <v>No</v>
      </c>
      <c r="X44" s="147">
        <f>IF(OR(W44="No",W44=""),V44,W44)</f>
        <v>1</v>
      </c>
      <c r="Y44" s="38">
        <f>VLOOKUP(H44,'Machine List'!$A$1:$C$138,3,FALSE)</f>
        <v>1</v>
      </c>
      <c r="Z44" s="38">
        <f>VLOOKUP(H44,'Machine List'!$A$1:$D$138,4,FALSE)</f>
        <v>1</v>
      </c>
      <c r="AA44" s="147" t="s">
        <v>393</v>
      </c>
      <c r="AB44" s="147">
        <f>VLOOKUP(AA44,'Item Helper Sheet'!$A$2:$B$16,2,FALSE)</f>
        <v>2</v>
      </c>
      <c r="AC44" s="147">
        <v>64.0</v>
      </c>
      <c r="AD44" s="147">
        <f>1*20</f>
        <v>20</v>
      </c>
      <c r="AE44" s="147">
        <f>AD44*I46</f>
        <v>4260</v>
      </c>
      <c r="AF44" s="147">
        <f>AC44*AE44</f>
        <v>272640</v>
      </c>
      <c r="AG44" s="148"/>
      <c r="AH44" s="147" t="str">
        <f>AA44</f>
        <v>02 - MV</v>
      </c>
      <c r="AI44" s="147">
        <v>1.0</v>
      </c>
      <c r="AJ44" s="147">
        <v>1.0</v>
      </c>
      <c r="AK44" s="147">
        <f>AJ44*8*4^AB44</f>
        <v>128</v>
      </c>
      <c r="AL44" s="147">
        <f>MIN(ROUNDDOWN(AK44/AN44,0),U44)</f>
        <v>1</v>
      </c>
      <c r="AM44" s="147">
        <f>IF(OR(T44="No",T44=""),AI44*S44,AI44*T44)</f>
        <v>1</v>
      </c>
      <c r="AN44" s="147">
        <f>ROUNDUP(AC44*VLOOKUP(H44,'Machine List'!$A$2:$D$219,4,FALSE),0)</f>
        <v>64</v>
      </c>
      <c r="AO44" s="147">
        <f>AN44*AM44</f>
        <v>64</v>
      </c>
      <c r="AP44" s="147">
        <f>ROUNDUP(AD44*I46,0)</f>
        <v>4260</v>
      </c>
      <c r="AQ44" s="38">
        <f>IF(ISNUMBER(Y44),ROUNDUP(AP44/Y44,0),
  SWITCH(
      Y44,
      "1+0.5C",ROUNDUP(AP44/(1+0.5*VLOOKUP(J46,'Machine Helper Sheet'!$G$1:$K$16,2,FALSE)),0),
      ROUNDUP(AP44/1,0)
  )
)</f>
        <v>4260</v>
      </c>
      <c r="AR44" s="147">
        <f>ROUNDUP(AQ44/AM44,0)</f>
        <v>4260</v>
      </c>
      <c r="AS44" s="147">
        <f>AO44*AR44</f>
        <v>272640</v>
      </c>
      <c r="AT44" s="148"/>
      <c r="AU44" s="147" t="s">
        <v>401</v>
      </c>
      <c r="AV44" s="147">
        <f>VLOOKUP(AU44,'Item Helper Sheet'!$A$2:$B$16,2,FALSE)</f>
        <v>4</v>
      </c>
      <c r="AW44" s="147">
        <f>AI44</f>
        <v>1</v>
      </c>
      <c r="AX44" s="147">
        <v>1.0</v>
      </c>
      <c r="AY44" s="147">
        <f>AX44*8*4^AV44</f>
        <v>2048</v>
      </c>
      <c r="AZ44" s="147">
        <f>MIN(ROUNDDOWN(AY44/AN44,0),X44)</f>
        <v>1</v>
      </c>
      <c r="BA44" s="147">
        <f>AZ44*AW44</f>
        <v>1</v>
      </c>
      <c r="BB44" s="147">
        <f>AN44</f>
        <v>64</v>
      </c>
      <c r="BC44" s="147">
        <f>MIN(AV44-AB44,IF(AY44&gt;=BB45*4,
IF(AY44&gt;=BB45*4^2,
IF(AY44&gt;=BB45*4^3,
IF(AY44&gt;=BB45*4^4,
IF(AY44&gt;=BB45*4^5,
IF(AY44&gt;=BB45*4^6,
IF(AY44&gt;=BB45*4^7,
IF(AY44&gt;=BB45*4^8,
IF(AY44&gt;=BB45*4^9,
IF(AY44&gt;=BB45*4^10,
9),
8),
7),
6),
5),
4),
3),
2),
1),
0))</f>
        <v>2</v>
      </c>
      <c r="BD44" s="147">
        <f>BB44*AZ44*4^BC44</f>
        <v>1024</v>
      </c>
      <c r="BE44" s="147">
        <f>BD44*AW44</f>
        <v>1024</v>
      </c>
      <c r="BF44" s="143">
        <f>ROUNDUP(IF(R44="Yes",AP44/(2^((BC44)*2)),AP44/(2^(BC44))),0)</f>
        <v>1065</v>
      </c>
      <c r="BG44" s="45">
        <f>IF(ISNUMBER(Y44),ROUNDUP(BF44/Y44,0),
  SWITCH(
      Y44,
      "1+0.5C",ROUNDUP(BF44/(1+0.5*VLOOKUP(J46,'Machine Helper Sheet'!$G$1:$K$16,2,FALSE)),0),
      ROUNDUP(BF44/1,0)
  )
)</f>
        <v>1065</v>
      </c>
      <c r="BH44" s="143">
        <f>ROUNDUP(BG44/BA44,0)</f>
        <v>1065</v>
      </c>
      <c r="BI44" s="149">
        <f>BH44*BE44</f>
        <v>1090560</v>
      </c>
      <c r="BK44" s="22"/>
      <c r="BM44" s="6" t="s">
        <v>457</v>
      </c>
      <c r="BN44" s="6" t="s">
        <v>467</v>
      </c>
      <c r="BO44" s="6" t="s">
        <v>471</v>
      </c>
      <c r="BP44" s="6" t="s">
        <v>457</v>
      </c>
      <c r="BQ44" s="6" t="s">
        <v>466</v>
      </c>
      <c r="BR44" s="6" t="s">
        <v>470</v>
      </c>
      <c r="BS44" s="6" t="s">
        <v>457</v>
      </c>
      <c r="BT44" s="6" t="s">
        <v>701</v>
      </c>
      <c r="BU44" s="6" t="s">
        <v>605</v>
      </c>
      <c r="BV44" s="6" t="s">
        <v>645</v>
      </c>
      <c r="BY44" s="6" t="s">
        <v>457</v>
      </c>
      <c r="BZ44" s="6" t="s">
        <v>607</v>
      </c>
      <c r="CA44" s="6" t="s">
        <v>545</v>
      </c>
      <c r="CC44" s="6" t="s">
        <v>457</v>
      </c>
      <c r="CD44" s="6" t="s">
        <v>620</v>
      </c>
      <c r="CE44" s="6" t="s">
        <v>546</v>
      </c>
    </row>
    <row r="45">
      <c r="B45" s="150"/>
      <c r="C45" s="151" t="s">
        <v>111</v>
      </c>
      <c r="D45" s="147">
        <f>144*I46</f>
        <v>30672</v>
      </c>
      <c r="E45" s="147" t="s">
        <v>110</v>
      </c>
      <c r="F45" s="152">
        <f>1*I46</f>
        <v>213</v>
      </c>
      <c r="G45" s="138"/>
      <c r="H45" s="153" t="s">
        <v>584</v>
      </c>
      <c r="I45" s="143">
        <f t="array" ref="I45">match(TRUE,ISBLANK(F45:F57),0)-1</f>
        <v>1</v>
      </c>
      <c r="J45" s="154" t="s">
        <v>420</v>
      </c>
      <c r="K45" s="154" t="s">
        <v>585</v>
      </c>
      <c r="L45" s="100" t="s">
        <v>704</v>
      </c>
      <c r="M45" s="147"/>
      <c r="N45" s="147"/>
      <c r="O45" s="147"/>
      <c r="P45" s="147"/>
      <c r="Q45" s="147"/>
      <c r="R45" s="155"/>
      <c r="S45" s="155"/>
      <c r="T45" s="155"/>
      <c r="U45" s="143"/>
      <c r="V45" s="143"/>
      <c r="W45" s="143"/>
      <c r="X45" s="143"/>
      <c r="Y45" s="143"/>
      <c r="Z45" s="143"/>
      <c r="AA45" s="143"/>
      <c r="AB45" s="143"/>
      <c r="AC45" s="143"/>
      <c r="AD45" s="143"/>
      <c r="AE45" s="143"/>
      <c r="AF45" s="143"/>
      <c r="AG45" s="156"/>
      <c r="AH45" s="143"/>
      <c r="AI45" s="143"/>
      <c r="AJ45" s="143"/>
      <c r="AK45" s="143"/>
      <c r="AL45" s="143"/>
      <c r="AM45" s="143"/>
      <c r="AN45" s="143"/>
      <c r="AO45" s="143"/>
      <c r="AP45" s="143"/>
      <c r="AQ45" s="143"/>
      <c r="AR45" s="143"/>
      <c r="AS45" s="143"/>
      <c r="AT45" s="156"/>
      <c r="AU45" s="143"/>
      <c r="AV45" s="143"/>
      <c r="AW45" s="143"/>
      <c r="AX45" s="143"/>
      <c r="AY45" s="143"/>
      <c r="AZ45" s="143"/>
      <c r="BA45" s="143"/>
      <c r="BB45" s="143">
        <f>BB44*AZ44</f>
        <v>64</v>
      </c>
      <c r="BC45" s="143"/>
      <c r="BD45" s="143"/>
      <c r="BE45" s="143"/>
      <c r="BF45" s="143"/>
      <c r="BG45" s="143"/>
      <c r="BH45" s="143"/>
      <c r="BI45" s="149"/>
      <c r="BK45" s="22"/>
      <c r="BM45" s="6" t="s">
        <v>708</v>
      </c>
      <c r="BN45" s="6">
        <v>33600.0</v>
      </c>
      <c r="BO45" s="6">
        <v>34560.0</v>
      </c>
      <c r="BP45" s="6" t="s">
        <v>708</v>
      </c>
      <c r="BQ45" s="6">
        <v>1120.0</v>
      </c>
      <c r="BR45" s="6">
        <v>18.0</v>
      </c>
      <c r="BS45" s="6" t="s">
        <v>708</v>
      </c>
      <c r="BT45" s="6">
        <v>1.0</v>
      </c>
      <c r="BU45" s="6">
        <v>4.0</v>
      </c>
      <c r="BV45" s="6">
        <v>1.0</v>
      </c>
      <c r="BY45" s="6" t="s">
        <v>708</v>
      </c>
      <c r="BZ45" s="6">
        <v>4006.0</v>
      </c>
      <c r="CA45" s="6">
        <v>10.0</v>
      </c>
      <c r="CC45" s="6" t="s">
        <v>708</v>
      </c>
      <c r="CD45" s="6">
        <v>10000.0</v>
      </c>
      <c r="CE45" s="6">
        <v>10000.0</v>
      </c>
    </row>
    <row r="46">
      <c r="B46" s="150"/>
      <c r="C46" s="151"/>
      <c r="D46" s="147"/>
      <c r="E46" s="147"/>
      <c r="F46" s="152"/>
      <c r="G46" s="138"/>
      <c r="H46" s="157" t="s">
        <v>502</v>
      </c>
      <c r="I46" s="158">
        <v>213.0</v>
      </c>
      <c r="J46" s="154" t="s">
        <v>424</v>
      </c>
      <c r="K46" s="154">
        <v>0.0</v>
      </c>
      <c r="L46" s="100">
        <v>0.0</v>
      </c>
      <c r="M46" s="143"/>
      <c r="N46" s="143"/>
      <c r="O46" s="143"/>
      <c r="P46" s="143"/>
      <c r="Q46" s="143"/>
      <c r="R46" s="143"/>
      <c r="S46" s="155"/>
      <c r="T46" s="155"/>
      <c r="U46" s="143"/>
      <c r="V46" s="143"/>
      <c r="W46" s="143"/>
      <c r="X46" s="143"/>
      <c r="Y46" s="143"/>
      <c r="Z46" s="143"/>
      <c r="AA46" s="143"/>
      <c r="AB46" s="143"/>
      <c r="AC46" s="143"/>
      <c r="AD46" s="143"/>
      <c r="AE46" s="143"/>
      <c r="AF46" s="143"/>
      <c r="AG46" s="156"/>
      <c r="AH46" s="143"/>
      <c r="AI46" s="143"/>
      <c r="AJ46" s="143"/>
      <c r="AK46" s="143"/>
      <c r="AL46" s="143"/>
      <c r="AM46" s="143"/>
      <c r="AN46" s="143"/>
      <c r="AO46" s="143"/>
      <c r="AP46" s="143"/>
      <c r="AQ46" s="143"/>
      <c r="AR46" s="143"/>
      <c r="AS46" s="143"/>
      <c r="AT46" s="156"/>
      <c r="AU46" s="143"/>
      <c r="AV46" s="143"/>
      <c r="AW46" s="143"/>
      <c r="AX46" s="143"/>
      <c r="AY46" s="143"/>
      <c r="AZ46" s="143"/>
      <c r="BA46" s="143"/>
      <c r="BB46" s="143"/>
      <c r="BC46" s="143"/>
      <c r="BD46" s="143"/>
      <c r="BE46" s="143"/>
      <c r="BF46" s="143"/>
      <c r="BG46" s="143"/>
      <c r="BH46" s="143"/>
      <c r="BI46" s="149"/>
      <c r="BK46" s="22"/>
      <c r="BM46" s="140" t="s">
        <v>709</v>
      </c>
      <c r="BN46" s="140">
        <v>20160.0</v>
      </c>
      <c r="BO46" s="140">
        <v>161792.0</v>
      </c>
      <c r="BP46" s="140" t="s">
        <v>709</v>
      </c>
      <c r="BQ46" s="140">
        <v>1260.0</v>
      </c>
      <c r="BR46" s="140">
        <v>158.0</v>
      </c>
      <c r="BS46" s="140" t="s">
        <v>709</v>
      </c>
      <c r="BT46" s="140">
        <v>1.0</v>
      </c>
      <c r="BU46" s="140">
        <v>4.0</v>
      </c>
      <c r="BV46" s="140">
        <v>1.0</v>
      </c>
      <c r="BY46" s="140" t="s">
        <v>709</v>
      </c>
      <c r="BZ46" s="6">
        <v>10.0</v>
      </c>
      <c r="CA46" s="140">
        <v>10.0</v>
      </c>
      <c r="CC46" s="140" t="s">
        <v>709</v>
      </c>
      <c r="CD46" s="6">
        <v>10000.0</v>
      </c>
      <c r="CE46" s="140">
        <v>10000.0</v>
      </c>
    </row>
    <row r="47">
      <c r="B47" s="135"/>
      <c r="C47" s="136"/>
      <c r="D47" s="137"/>
      <c r="E47" s="137"/>
      <c r="F47" s="137"/>
      <c r="G47" s="138"/>
      <c r="H47" s="137"/>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8"/>
      <c r="AH47" s="137"/>
      <c r="AI47" s="137"/>
      <c r="AJ47" s="137"/>
      <c r="AK47" s="137"/>
      <c r="AL47" s="137"/>
      <c r="AM47" s="137"/>
      <c r="AN47" s="137"/>
      <c r="AO47" s="137"/>
      <c r="AP47" s="137"/>
      <c r="AQ47" s="137"/>
      <c r="AR47" s="137"/>
      <c r="AS47" s="137"/>
      <c r="AT47" s="138"/>
      <c r="AU47" s="137"/>
      <c r="AV47" s="137"/>
      <c r="AW47" s="137"/>
      <c r="AX47" s="137"/>
      <c r="AY47" s="137"/>
      <c r="AZ47" s="137"/>
      <c r="BA47" s="137"/>
      <c r="BB47" s="137"/>
      <c r="BC47" s="137"/>
      <c r="BD47" s="137"/>
      <c r="BE47" s="137"/>
      <c r="BF47" s="137"/>
      <c r="BG47" s="137"/>
      <c r="BH47" s="137"/>
      <c r="BI47" s="139"/>
      <c r="BK47" s="22"/>
      <c r="BM47" s="140" t="s">
        <v>710</v>
      </c>
      <c r="BN47" s="140">
        <v>31500.0</v>
      </c>
      <c r="BO47" s="140">
        <v>31808.0</v>
      </c>
      <c r="BP47" s="140" t="s">
        <v>710</v>
      </c>
      <c r="BQ47" s="140">
        <v>4500.0</v>
      </c>
      <c r="BR47" s="140">
        <v>71.0</v>
      </c>
      <c r="BS47" s="140" t="s">
        <v>710</v>
      </c>
      <c r="BT47" s="140">
        <v>1.0</v>
      </c>
      <c r="BU47" s="140">
        <v>4.0</v>
      </c>
      <c r="BV47" s="140">
        <v>1.0</v>
      </c>
      <c r="BY47" s="140" t="s">
        <v>710</v>
      </c>
      <c r="BZ47" s="6">
        <v>4006.0</v>
      </c>
      <c r="CA47" s="140">
        <v>10.0</v>
      </c>
      <c r="CC47" s="140" t="s">
        <v>710</v>
      </c>
      <c r="CD47" s="6">
        <v>10000.0</v>
      </c>
      <c r="CE47" s="140">
        <v>10000.0</v>
      </c>
    </row>
    <row r="48">
      <c r="B48" s="141" t="s">
        <v>718</v>
      </c>
      <c r="C48" s="142"/>
      <c r="D48" s="143"/>
      <c r="E48" s="143"/>
      <c r="F48" s="144"/>
      <c r="G48" s="145"/>
      <c r="H48" s="146" t="s">
        <v>349</v>
      </c>
      <c r="I48" s="147">
        <f>VLOOKUP(H48,'Machine List'!$A$1:$I$300,9,FALSE)</f>
        <v>4000</v>
      </c>
      <c r="J48" s="147">
        <f>IF(VLOOKUP(H48,'Machine List'!$A$1:$I$300,5,FALSE)="Multi",IF(VLOOKUP(H48,'Machine List'!$A$1:$I$300,6,FALSE)="Yes",AI48*3*10^AB48,AI48*(2*3)*10^(AB48-1)),0)</f>
        <v>6</v>
      </c>
      <c r="K48" s="147">
        <f>J48+IF(ISNUMBER(I48),I48,
  SWITCH(
      I48,
      "1T",1*10^AB48,
      "2T",2*10^AB48,
      "3T",3*10^AB48,
      "4T",4*10^AB48,
      "4000+500(7O-5)",4000+500*(7*I49-5),
      "13500 + 16C",13500+16*VLOOKUP(J50,'Machine Helper Sheet'!$G$1:$K$16,5,FALSE),
      1
  )
)</f>
        <v>4006</v>
      </c>
      <c r="L48" s="147">
        <f>IF(VLOOKUP(H48,'Machine List'!$A$1:$I$300,5,FALSE)="Multi",IF(VLOOKUP(H48,'Machine List'!$A$1:$I$300,6,FALSE)="Yes",AW48*3*10^AV48,AW48*(2*3)*10^(AV48-1)),0)</f>
        <v>6000</v>
      </c>
      <c r="M48" s="147">
        <f>L48+IF(ISNUMBER(I48),I48,
  SWITCH(
      I48,
      "1T",1*10^AV48,
      "2T",2*10^AV48,
      "3T",3*10^AV48,
      "4T",4*10^AV48,
      "4000+500(7O-5)",4000+500*(7*I49-5),
      1
  )
)</f>
        <v>10000</v>
      </c>
      <c r="N48" s="147" t="str">
        <f>VLOOKUP(H48,'Machine List'!$A$1:$I$300,8,FALSE)</f>
        <v>Tier</v>
      </c>
      <c r="O48" s="147">
        <f>IF(ISNUMBER(N48),N48,10^AB48)</f>
        <v>10</v>
      </c>
      <c r="P48" s="147">
        <f>IF(ISNUMBER(N48),N48,10^AV48)</f>
        <v>10000</v>
      </c>
      <c r="Q48" s="147">
        <f>VLOOKUP(H48,'Machine List'!$A$1:$B$138,2,FALSE)</f>
        <v>1</v>
      </c>
      <c r="R48" s="147" t="s">
        <v>594</v>
      </c>
      <c r="S48" s="143">
        <f>IF(ISNUMBER(Q48),Q48,
  SWITCH(
      Q48,
      "1",1,
      "2T",AB48*2,
      "4T",AB48*4,
      "6T",AB48*6,
      "8T",AB48*8,
      "10T",AB48*10,
      "12T",AB48*12,
      "14T",AB48*14,
      "16T",AB48*16,
      "24T",AB48*24,
      "2(T+1)",2*(AB48+1),
      "1T*C",AB48*J50,
      "2*P",L50*2,
      1
  )
)</f>
        <v>1</v>
      </c>
      <c r="T48" s="38" t="s">
        <v>277</v>
      </c>
      <c r="U48" s="147">
        <f>IF(OR(T48="No",T48=""),S48,T48)</f>
        <v>1</v>
      </c>
      <c r="V48" s="147">
        <f>IF(ISNUMBER(Q48),Q48,
  SWITCH(
      Q48,
      "1",1,
      "2T",AV48*2,
      "4T",AV48*4,
      "6T",AV48*6,
      "8T",AV48*8,
      "10T",AV48*10,
      "12T",AV48*12,
      "14T",AV48*14,
      "16T",AV48*16,
      "24T",AV48*24,
      "2(T+1)",2*(AV48+1),
      "1T*C",AV48*J50,
      "2*P",L50*2,
      1
  )
)</f>
        <v>1</v>
      </c>
      <c r="W48" s="147" t="str">
        <f>T48</f>
        <v>No</v>
      </c>
      <c r="X48" s="147">
        <f>IF(OR(W48="No",W48=""),V48,W48)</f>
        <v>1</v>
      </c>
      <c r="Y48" s="38">
        <f>VLOOKUP(H48,'Machine List'!$A$1:$C$138,3,FALSE)</f>
        <v>1</v>
      </c>
      <c r="Z48" s="38">
        <f>VLOOKUP(H48,'Machine List'!$A$1:$D$138,4,FALSE)</f>
        <v>1</v>
      </c>
      <c r="AA48" s="147" t="s">
        <v>390</v>
      </c>
      <c r="AB48" s="147">
        <f>VLOOKUP(AA48,'Item Helper Sheet'!$A$2:$B$16,2,FALSE)</f>
        <v>1</v>
      </c>
      <c r="AC48" s="147">
        <v>30.0</v>
      </c>
      <c r="AD48" s="147">
        <f>120*20</f>
        <v>2400</v>
      </c>
      <c r="AE48" s="147">
        <f>AD48*I50</f>
        <v>170400</v>
      </c>
      <c r="AF48" s="147">
        <f>AC48*AE48</f>
        <v>5112000</v>
      </c>
      <c r="AG48" s="148"/>
      <c r="AH48" s="147" t="str">
        <f>AA48</f>
        <v>01 - LV</v>
      </c>
      <c r="AI48" s="147">
        <v>1.0</v>
      </c>
      <c r="AJ48" s="147">
        <v>1.0</v>
      </c>
      <c r="AK48" s="147">
        <f>AJ48*8*4^AB48</f>
        <v>32</v>
      </c>
      <c r="AL48" s="147">
        <f>MIN(ROUNDDOWN(AK48/AN48,0),U48)</f>
        <v>1</v>
      </c>
      <c r="AM48" s="147">
        <f>IF(OR(T48="No",T48=""),AI48*S48,AI48*T48)</f>
        <v>1</v>
      </c>
      <c r="AN48" s="147">
        <f>ROUNDUP(AC48*VLOOKUP(H48,'Machine List'!$A$2:$D$219,4,FALSE),0)</f>
        <v>30</v>
      </c>
      <c r="AO48" s="147">
        <f>AN48*AM48</f>
        <v>30</v>
      </c>
      <c r="AP48" s="147">
        <f>ROUNDUP(AD48*I50,0)</f>
        <v>170400</v>
      </c>
      <c r="AQ48" s="38">
        <f>IF(ISNUMBER(Y48),ROUNDUP(AP48/Y48,0),
  SWITCH(
      Y48,
      "1+0.5C",ROUNDUP(AP48/(1+0.5*VLOOKUP(J50,'Machine Helper Sheet'!$G$1:$K$16,2,FALSE)),0),
      ROUNDUP(AP48/1,0)
  )
)</f>
        <v>170400</v>
      </c>
      <c r="AR48" s="147">
        <f>ROUNDUP(AQ48/AM48,0)</f>
        <v>170400</v>
      </c>
      <c r="AS48" s="147">
        <f>AO48*AR48</f>
        <v>5112000</v>
      </c>
      <c r="AT48" s="148"/>
      <c r="AU48" s="147" t="s">
        <v>401</v>
      </c>
      <c r="AV48" s="147">
        <f>VLOOKUP(AU48,'Item Helper Sheet'!$A$2:$B$16,2,FALSE)</f>
        <v>4</v>
      </c>
      <c r="AW48" s="147">
        <f>AI48</f>
        <v>1</v>
      </c>
      <c r="AX48" s="147">
        <v>1.0</v>
      </c>
      <c r="AY48" s="147">
        <f>AX48*8*4^AV48</f>
        <v>2048</v>
      </c>
      <c r="AZ48" s="147">
        <f>MIN(ROUNDDOWN(AY48/AN48,0),X48)</f>
        <v>1</v>
      </c>
      <c r="BA48" s="147">
        <f>AZ48*AW48</f>
        <v>1</v>
      </c>
      <c r="BB48" s="147">
        <f>AN48</f>
        <v>30</v>
      </c>
      <c r="BC48" s="147">
        <f>MIN(AV48-AB48,IF(AY48&gt;=BB49*4,
IF(AY48&gt;=BB49*4^2,
IF(AY48&gt;=BB49*4^3,
IF(AY48&gt;=BB49*4^4,
IF(AY48&gt;=BB49*4^5,
IF(AY48&gt;=BB49*4^6,
IF(AY48&gt;=BB49*4^7,
IF(AY48&gt;=BB49*4^8,
IF(AY48&gt;=BB49*4^9,
IF(AY48&gt;=BB49*4^10,
9),
8),
7),
6),
5),
4),
3),
2),
1),
0))</f>
        <v>3</v>
      </c>
      <c r="BD48" s="147">
        <f>BB48*AZ48*4^BC48</f>
        <v>1920</v>
      </c>
      <c r="BE48" s="147">
        <f>BD48*AW48</f>
        <v>1920</v>
      </c>
      <c r="BF48" s="143">
        <f>ROUNDUP(IF(R48="Yes",AP48/(2^((BC48)*2)),AP48/(2^(BC48))),0)</f>
        <v>2663</v>
      </c>
      <c r="BG48" s="45">
        <f>IF(ISNUMBER(Y48),ROUNDUP(BF48/Y48,0),
  SWITCH(
      Y48,
      "1+0.5C",ROUNDUP(BF48/(1+0.5*VLOOKUP(J50,'Machine Helper Sheet'!$G$1:$K$16,2,FALSE)),0),
      ROUNDUP(BF48/1,0)
  )
)</f>
        <v>2663</v>
      </c>
      <c r="BH48" s="143">
        <f>ROUNDUP(BG48/BA48,0)</f>
        <v>2663</v>
      </c>
      <c r="BI48" s="149">
        <f>BH48*BE48</f>
        <v>5112960</v>
      </c>
      <c r="BK48" s="22"/>
      <c r="BM48" s="140" t="s">
        <v>711</v>
      </c>
      <c r="BN48" s="140">
        <v>4320000.0</v>
      </c>
      <c r="BO48" s="140">
        <v>2880000.0</v>
      </c>
      <c r="BP48" s="140" t="s">
        <v>711</v>
      </c>
      <c r="BQ48" s="140">
        <v>3000.0</v>
      </c>
      <c r="BR48" s="140">
        <v>3000.0</v>
      </c>
      <c r="BS48" s="140" t="s">
        <v>711</v>
      </c>
      <c r="BT48" s="140">
        <v>3.0</v>
      </c>
      <c r="BU48" s="140">
        <v>4.0</v>
      </c>
      <c r="BV48" s="140">
        <v>2.0</v>
      </c>
      <c r="BY48" s="140" t="s">
        <v>711</v>
      </c>
      <c r="BZ48" s="6">
        <v>1600.0</v>
      </c>
      <c r="CA48" s="140">
        <v>1000.0</v>
      </c>
      <c r="CC48" s="140" t="s">
        <v>711</v>
      </c>
      <c r="CD48" s="6">
        <v>16000.0</v>
      </c>
      <c r="CE48" s="140">
        <v>10000.0</v>
      </c>
    </row>
    <row r="49">
      <c r="B49" s="150"/>
      <c r="C49" s="151" t="s">
        <v>110</v>
      </c>
      <c r="D49" s="147">
        <f>3*I50</f>
        <v>213</v>
      </c>
      <c r="E49" s="147" t="s">
        <v>108</v>
      </c>
      <c r="F49" s="152">
        <f>2*I50</f>
        <v>142</v>
      </c>
      <c r="G49" s="138"/>
      <c r="H49" s="153" t="s">
        <v>584</v>
      </c>
      <c r="I49" s="143">
        <f t="array" ref="I49">match(TRUE,ISBLANK(F49:F61),0)-1</f>
        <v>2</v>
      </c>
      <c r="J49" s="154" t="s">
        <v>420</v>
      </c>
      <c r="K49" s="154" t="s">
        <v>585</v>
      </c>
      <c r="L49" s="100" t="s">
        <v>704</v>
      </c>
      <c r="M49" s="147"/>
      <c r="N49" s="147"/>
      <c r="O49" s="147"/>
      <c r="P49" s="147"/>
      <c r="Q49" s="147"/>
      <c r="R49" s="155"/>
      <c r="S49" s="155"/>
      <c r="T49" s="155"/>
      <c r="U49" s="143"/>
      <c r="V49" s="143"/>
      <c r="W49" s="143"/>
      <c r="X49" s="143"/>
      <c r="Y49" s="143"/>
      <c r="Z49" s="143"/>
      <c r="AA49" s="143"/>
      <c r="AB49" s="143"/>
      <c r="AC49" s="143"/>
      <c r="AD49" s="143"/>
      <c r="AE49" s="143"/>
      <c r="AF49" s="143"/>
      <c r="AG49" s="156"/>
      <c r="AH49" s="143"/>
      <c r="AI49" s="143"/>
      <c r="AJ49" s="143"/>
      <c r="AK49" s="143"/>
      <c r="AL49" s="143"/>
      <c r="AM49" s="143"/>
      <c r="AN49" s="143"/>
      <c r="AO49" s="143"/>
      <c r="AP49" s="143"/>
      <c r="AQ49" s="143"/>
      <c r="AR49" s="143"/>
      <c r="AS49" s="143"/>
      <c r="AT49" s="156"/>
      <c r="AU49" s="143"/>
      <c r="AV49" s="143"/>
      <c r="AW49" s="143"/>
      <c r="AX49" s="143"/>
      <c r="AY49" s="143"/>
      <c r="AZ49" s="143"/>
      <c r="BA49" s="143"/>
      <c r="BB49" s="143">
        <f>BB48*AZ48</f>
        <v>30</v>
      </c>
      <c r="BC49" s="143"/>
      <c r="BD49" s="143"/>
      <c r="BE49" s="143"/>
      <c r="BF49" s="143"/>
      <c r="BG49" s="143"/>
      <c r="BH49" s="143"/>
      <c r="BI49" s="149"/>
      <c r="BK49" s="22"/>
      <c r="BM49" s="140" t="s">
        <v>712</v>
      </c>
      <c r="BN49" s="140">
        <v>336000.0</v>
      </c>
      <c r="BO49" s="140">
        <v>336000.0</v>
      </c>
      <c r="BP49" s="140" t="s">
        <v>712</v>
      </c>
      <c r="BQ49" s="140">
        <v>11200.0</v>
      </c>
      <c r="BR49" s="140">
        <v>175.0</v>
      </c>
      <c r="BS49" s="140" t="s">
        <v>712</v>
      </c>
      <c r="BT49" s="140">
        <v>1.0</v>
      </c>
      <c r="BU49" s="140">
        <v>4.0</v>
      </c>
      <c r="BV49" s="140">
        <v>1.0</v>
      </c>
      <c r="BY49" s="140" t="s">
        <v>712</v>
      </c>
      <c r="BZ49" s="6">
        <v>4006.0</v>
      </c>
      <c r="CA49" s="140">
        <v>10.0</v>
      </c>
      <c r="CC49" s="140" t="s">
        <v>712</v>
      </c>
      <c r="CD49" s="6">
        <v>10000.0</v>
      </c>
      <c r="CE49" s="140">
        <v>10000.0</v>
      </c>
    </row>
    <row r="50">
      <c r="B50" s="150"/>
      <c r="C50" s="151" t="s">
        <v>91</v>
      </c>
      <c r="D50" s="147">
        <f>500*I50</f>
        <v>35500</v>
      </c>
      <c r="E50" s="147" t="s">
        <v>248</v>
      </c>
      <c r="F50" s="152">
        <f>1000*I50</f>
        <v>71000</v>
      </c>
      <c r="G50" s="138"/>
      <c r="H50" s="157" t="s">
        <v>502</v>
      </c>
      <c r="I50" s="158">
        <v>71.0</v>
      </c>
      <c r="J50" s="154" t="s">
        <v>424</v>
      </c>
      <c r="K50" s="154">
        <v>0.0</v>
      </c>
      <c r="L50" s="100">
        <v>0.0</v>
      </c>
      <c r="M50" s="143"/>
      <c r="N50" s="143"/>
      <c r="O50" s="143"/>
      <c r="P50" s="143"/>
      <c r="Q50" s="143"/>
      <c r="R50" s="143"/>
      <c r="S50" s="155"/>
      <c r="T50" s="155"/>
      <c r="U50" s="143"/>
      <c r="V50" s="143"/>
      <c r="W50" s="143"/>
      <c r="X50" s="143"/>
      <c r="Y50" s="143"/>
      <c r="Z50" s="143"/>
      <c r="AA50" s="143"/>
      <c r="AB50" s="143"/>
      <c r="AC50" s="143"/>
      <c r="AD50" s="143"/>
      <c r="AE50" s="143"/>
      <c r="AF50" s="143"/>
      <c r="AG50" s="156"/>
      <c r="AH50" s="143"/>
      <c r="AI50" s="143"/>
      <c r="AJ50" s="143"/>
      <c r="AK50" s="143"/>
      <c r="AL50" s="143"/>
      <c r="AM50" s="143"/>
      <c r="AN50" s="143"/>
      <c r="AO50" s="143"/>
      <c r="AP50" s="143"/>
      <c r="AQ50" s="143"/>
      <c r="AR50" s="143"/>
      <c r="AS50" s="143"/>
      <c r="AT50" s="156"/>
      <c r="AU50" s="143"/>
      <c r="AV50" s="143"/>
      <c r="AW50" s="143"/>
      <c r="AX50" s="143"/>
      <c r="AY50" s="143"/>
      <c r="AZ50" s="143"/>
      <c r="BA50" s="143"/>
      <c r="BB50" s="143"/>
      <c r="BC50" s="143"/>
      <c r="BD50" s="143"/>
      <c r="BE50" s="143"/>
      <c r="BF50" s="143"/>
      <c r="BG50" s="143"/>
      <c r="BH50" s="143"/>
      <c r="BI50" s="149"/>
      <c r="BK50" s="22"/>
      <c r="BM50" s="140" t="s">
        <v>713</v>
      </c>
      <c r="BN50" s="140">
        <v>1.008E7</v>
      </c>
      <c r="BO50" s="140">
        <v>1.008E7</v>
      </c>
      <c r="BP50" s="140" t="s">
        <v>713</v>
      </c>
      <c r="BQ50" s="140">
        <v>84000.0</v>
      </c>
      <c r="BR50" s="140">
        <v>5250.0</v>
      </c>
      <c r="BS50" s="140" t="s">
        <v>713</v>
      </c>
      <c r="BT50" s="140">
        <v>2.0</v>
      </c>
      <c r="BU50" s="140">
        <v>4.0</v>
      </c>
      <c r="BV50" s="140">
        <v>1.0</v>
      </c>
      <c r="BY50" s="140" t="s">
        <v>713</v>
      </c>
      <c r="BZ50" s="6">
        <v>4060.0</v>
      </c>
      <c r="CA50" s="140">
        <v>100.0</v>
      </c>
      <c r="CC50" s="140" t="s">
        <v>713</v>
      </c>
      <c r="CD50" s="6">
        <v>10000.0</v>
      </c>
      <c r="CE50" s="140">
        <v>10000.0</v>
      </c>
    </row>
    <row r="51">
      <c r="B51" s="135"/>
      <c r="C51" s="136"/>
      <c r="D51" s="137"/>
      <c r="E51" s="137"/>
      <c r="F51" s="137"/>
      <c r="G51" s="138"/>
      <c r="H51" s="137"/>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8"/>
      <c r="AH51" s="137"/>
      <c r="AI51" s="137"/>
      <c r="AJ51" s="137"/>
      <c r="AK51" s="137"/>
      <c r="AL51" s="137"/>
      <c r="AM51" s="137"/>
      <c r="AN51" s="137"/>
      <c r="AO51" s="137"/>
      <c r="AP51" s="137"/>
      <c r="AQ51" s="137"/>
      <c r="AR51" s="137"/>
      <c r="AS51" s="137"/>
      <c r="AT51" s="138"/>
      <c r="AU51" s="137"/>
      <c r="AV51" s="137"/>
      <c r="AW51" s="137"/>
      <c r="AX51" s="137"/>
      <c r="AY51" s="137"/>
      <c r="AZ51" s="137"/>
      <c r="BA51" s="137"/>
      <c r="BB51" s="137"/>
      <c r="BC51" s="137"/>
      <c r="BD51" s="137"/>
      <c r="BE51" s="137"/>
      <c r="BF51" s="137"/>
      <c r="BG51" s="137"/>
      <c r="BH51" s="137"/>
      <c r="BI51" s="139"/>
      <c r="BK51" s="22"/>
      <c r="BM51" s="6" t="s">
        <v>714</v>
      </c>
      <c r="BN51" s="6">
        <v>2.016E7</v>
      </c>
      <c r="BO51" s="6">
        <v>2.016E7</v>
      </c>
      <c r="BP51" s="6" t="s">
        <v>714</v>
      </c>
      <c r="BQ51" s="6">
        <v>168000.0</v>
      </c>
      <c r="BR51" s="6">
        <v>10500.0</v>
      </c>
      <c r="BS51" s="6" t="s">
        <v>714</v>
      </c>
      <c r="BT51" s="6">
        <v>2.0</v>
      </c>
      <c r="BU51" s="6">
        <v>4.0</v>
      </c>
      <c r="BV51" s="6">
        <v>1.0</v>
      </c>
      <c r="BY51" s="6" t="s">
        <v>714</v>
      </c>
      <c r="BZ51" s="102">
        <v>4060.0</v>
      </c>
      <c r="CA51" s="6">
        <v>100.0</v>
      </c>
      <c r="CC51" s="6" t="s">
        <v>714</v>
      </c>
      <c r="CD51" s="102">
        <v>10000.0</v>
      </c>
      <c r="CE51" s="6">
        <v>10000.0</v>
      </c>
    </row>
    <row r="52">
      <c r="B52" s="141" t="s">
        <v>719</v>
      </c>
      <c r="C52" s="142"/>
      <c r="D52" s="143"/>
      <c r="E52" s="143"/>
      <c r="F52" s="144"/>
      <c r="G52" s="145"/>
      <c r="H52" s="146" t="s">
        <v>301</v>
      </c>
      <c r="I52" s="147">
        <f>VLOOKUP(H52,'Machine List'!$A$1:$I$300,9,FALSE)</f>
        <v>1000</v>
      </c>
      <c r="J52" s="147">
        <f>IF(VLOOKUP(H52,'Machine List'!$A$1:$I$300,5,FALSE)="Multi",IF(VLOOKUP(H52,'Machine List'!$A$1:$I$300,6,FALSE)="Yes",AI52*3*10^AB52,AI52*(2*3)*10^(AB52-1)),0)</f>
        <v>6000</v>
      </c>
      <c r="K52" s="147">
        <f>J52+IF(ISNUMBER(I52),I52,
  SWITCH(
      I52,
      "1T",1*10^AB52,
      "2T",2*10^AB52,
      "3T",3*10^AB52,
      "4T",4*10^AB52,
      "4000+500(7O-5)",4000+500*(7*I53-5),
      "13500 + 16C",13500+16*VLOOKUP(J54,'Machine Helper Sheet'!$G$1:$K$16,5,FALSE),
      1
  )
)</f>
        <v>7000</v>
      </c>
      <c r="L52" s="147">
        <f>IF(VLOOKUP(H52,'Machine List'!$A$1:$I$300,5,FALSE)="Multi",IF(VLOOKUP(H52,'Machine List'!$A$1:$I$300,6,FALSE)="Yes",AW52*3*10^AV52,AW52*(2*3)*10^(AV52-1)),0)</f>
        <v>6000</v>
      </c>
      <c r="M52" s="147">
        <f>L52+IF(ISNUMBER(I52),I52,
  SWITCH(
      I52,
      "1T",1*10^AV52,
      "2T",2*10^AV52,
      "3T",3*10^AV52,
      "4T",4*10^AV52,
      "4000+500(7O-5)",4000+500*(7*I53-5),
      1
  )
)</f>
        <v>7000</v>
      </c>
      <c r="N52" s="147" t="str">
        <f>VLOOKUP(H52,'Machine List'!$A$1:$I$300,8,FALSE)</f>
        <v>Tier</v>
      </c>
      <c r="O52" s="147">
        <f>IF(ISNUMBER(N52),N52,10^AB52)</f>
        <v>10000</v>
      </c>
      <c r="P52" s="147">
        <f>IF(ISNUMBER(N52),N52,10^AV52)</f>
        <v>10000</v>
      </c>
      <c r="Q52" s="147">
        <f>VLOOKUP(H52,'Machine List'!$A$1:$B$138,2,FALSE)</f>
        <v>1</v>
      </c>
      <c r="R52" s="147" t="s">
        <v>277</v>
      </c>
      <c r="S52" s="143">
        <f>IF(ISNUMBER(Q52),Q52,
  SWITCH(
      Q52,
      "1",1,
      "2T",AB52*2,
      "4T",AB52*4,
      "6T",AB52*6,
      "8T",AB52*8,
      "10T",AB52*10,
      "12T",AB52*12,
      "14T",AB52*14,
      "16T",AB52*16,
      "24T",AB52*24,
      "2(T+1)",2*(AB52+1),
      "1T*C",AB52*J54,
      "2*P",L54*2,
      1
  )
)</f>
        <v>1</v>
      </c>
      <c r="T52" s="38" t="s">
        <v>277</v>
      </c>
      <c r="U52" s="147">
        <f>IF(OR(T52="No",T52=""),S52,T52)</f>
        <v>1</v>
      </c>
      <c r="V52" s="147">
        <f>IF(ISNUMBER(Q52),Q52,
  SWITCH(
      Q52,
      "1",1,
      "2T",AV52*2,
      "4T",AV52*4,
      "6T",AV52*6,
      "8T",AV52*8,
      "10T",AV52*10,
      "12T",AV52*12,
      "14T",AV52*14,
      "16T",AV52*16,
      "24T",AV52*24,
      "2(T+1)",2*(AV52+1),
      "1T*C",AV52*J54,
      "2*P",L54*2,
      1
  )
)</f>
        <v>1</v>
      </c>
      <c r="W52" s="147" t="str">
        <f>T52</f>
        <v>No</v>
      </c>
      <c r="X52" s="147">
        <f>IF(OR(W52="No",W52=""),V52,W52)</f>
        <v>1</v>
      </c>
      <c r="Y52" s="38">
        <f>VLOOKUP(H52,'Machine List'!$A$1:$C$138,3,FALSE)</f>
        <v>1</v>
      </c>
      <c r="Z52" s="38">
        <f>VLOOKUP(H52,'Machine List'!$A$1:$D$138,4,FALSE)</f>
        <v>1</v>
      </c>
      <c r="AA52" s="147" t="s">
        <v>401</v>
      </c>
      <c r="AB52" s="147">
        <f>VLOOKUP(AA52,'Item Helper Sheet'!$A$2:$B$16,2,FALSE)</f>
        <v>4</v>
      </c>
      <c r="AC52" s="147">
        <v>1920.0</v>
      </c>
      <c r="AD52" s="147">
        <f>140*20</f>
        <v>2800</v>
      </c>
      <c r="AE52" s="147">
        <f>AD52*I54</f>
        <v>67200</v>
      </c>
      <c r="AF52" s="147">
        <f>AC52*AE52</f>
        <v>129024000</v>
      </c>
      <c r="AG52" s="148"/>
      <c r="AH52" s="147" t="str">
        <f>AA52</f>
        <v>04 - EV</v>
      </c>
      <c r="AI52" s="147">
        <v>1.0</v>
      </c>
      <c r="AJ52" s="147">
        <v>1.0</v>
      </c>
      <c r="AK52" s="147">
        <f>AJ52*8*4^AB52</f>
        <v>2048</v>
      </c>
      <c r="AL52" s="147">
        <f>MIN(ROUNDDOWN(AK52/AN52,0),U52)</f>
        <v>1</v>
      </c>
      <c r="AM52" s="147">
        <f>IF(OR(T52="No",T52=""),AI52*S52,AI52*T52)</f>
        <v>1</v>
      </c>
      <c r="AN52" s="147">
        <f>ROUNDUP(AC52*VLOOKUP(H52,'Machine List'!$A$2:$D$219,4,FALSE),0)</f>
        <v>1920</v>
      </c>
      <c r="AO52" s="147">
        <f>AN52*AM52</f>
        <v>1920</v>
      </c>
      <c r="AP52" s="147">
        <f>ROUNDUP(AD52*I54,0)</f>
        <v>67200</v>
      </c>
      <c r="AQ52" s="38">
        <f>IF(ISNUMBER(Y52),ROUNDUP(AP52/Y52,0),
  SWITCH(
      Y52,
      "1+0.5C",ROUNDUP(AP52/(1+0.5*VLOOKUP(J54,'Machine Helper Sheet'!$G$1:$K$16,2,FALSE)),0),
      ROUNDUP(AP52/1,0)
  )
)</f>
        <v>67200</v>
      </c>
      <c r="AR52" s="147">
        <f>ROUNDUP(AQ52/AM52,0)</f>
        <v>67200</v>
      </c>
      <c r="AS52" s="147">
        <f>AO52*AR52</f>
        <v>129024000</v>
      </c>
      <c r="AT52" s="148"/>
      <c r="AU52" s="147" t="s">
        <v>401</v>
      </c>
      <c r="AV52" s="147">
        <f>VLOOKUP(AU52,'Item Helper Sheet'!$A$2:$B$16,2,FALSE)</f>
        <v>4</v>
      </c>
      <c r="AW52" s="147">
        <f>AI52</f>
        <v>1</v>
      </c>
      <c r="AX52" s="147">
        <v>1.0</v>
      </c>
      <c r="AY52" s="147">
        <f>AX52*8*4^AV52</f>
        <v>2048</v>
      </c>
      <c r="AZ52" s="147">
        <f>MIN(ROUNDDOWN(AY52/AN52,0),X52)</f>
        <v>1</v>
      </c>
      <c r="BA52" s="147">
        <f>AZ52*AW52</f>
        <v>1</v>
      </c>
      <c r="BB52" s="147">
        <f>AN52</f>
        <v>1920</v>
      </c>
      <c r="BC52" s="147">
        <f>MIN(AV52-AB52,IF(AY52&gt;=BB53*4,
IF(AY52&gt;=BB53*4^2,
IF(AY52&gt;=BB53*4^3,
IF(AY52&gt;=BB53*4^4,
IF(AY52&gt;=BB53*4^5,
IF(AY52&gt;=BB53*4^6,
IF(AY52&gt;=BB53*4^7,
IF(AY52&gt;=BB53*4^8,
IF(AY52&gt;=BB53*4^9,
IF(AY52&gt;=BB53*4^10,
9),
8),
7),
6),
5),
4),
3),
2),
1),
0))</f>
        <v>0</v>
      </c>
      <c r="BD52" s="147">
        <f>BB52*AZ52*4^BC52</f>
        <v>1920</v>
      </c>
      <c r="BE52" s="147">
        <f>BD52*AW52</f>
        <v>1920</v>
      </c>
      <c r="BF52" s="143">
        <f>ROUNDUP(IF(R52="Yes",AP52/(2^((BC52)*2)),AP52/(2^(BC52))),0)</f>
        <v>67200</v>
      </c>
      <c r="BG52" s="45">
        <f>IF(ISNUMBER(Y52),ROUNDUP(BF52/Y52,0),
  SWITCH(
      Y52,
      "1+0.5C",ROUNDUP(BF52/(1+0.5*VLOOKUP(J54,'Machine Helper Sheet'!$G$1:$K$16,2,FALSE)),0),
      ROUNDUP(BF52/1,0)
  )
)</f>
        <v>67200</v>
      </c>
      <c r="BH52" s="143">
        <f>ROUNDUP(BG52/BA52,0)</f>
        <v>67200</v>
      </c>
      <c r="BI52" s="149">
        <f>BH52*BE52</f>
        <v>129024000</v>
      </c>
      <c r="BK52" s="22"/>
      <c r="BM52" s="140" t="s">
        <v>715</v>
      </c>
      <c r="BN52" s="140">
        <v>3.6864E8</v>
      </c>
      <c r="BO52" s="140">
        <v>3.6864E8</v>
      </c>
      <c r="BP52" s="140" t="s">
        <v>715</v>
      </c>
      <c r="BQ52" s="140">
        <v>192000.0</v>
      </c>
      <c r="BR52" s="140">
        <v>192000.0</v>
      </c>
      <c r="BS52" s="140" t="s">
        <v>715</v>
      </c>
      <c r="BT52" s="140">
        <v>4.0</v>
      </c>
      <c r="BU52" s="140">
        <v>4.0</v>
      </c>
      <c r="BV52" s="140">
        <v>1.0</v>
      </c>
      <c r="BY52" s="140" t="s">
        <v>715</v>
      </c>
      <c r="BZ52" s="6">
        <v>10000.0</v>
      </c>
      <c r="CA52" s="140">
        <v>10000.0</v>
      </c>
      <c r="CC52" s="140" t="s">
        <v>715</v>
      </c>
      <c r="CD52" s="6">
        <v>10000.0</v>
      </c>
      <c r="CE52" s="140">
        <v>10000.0</v>
      </c>
    </row>
    <row r="53">
      <c r="B53" s="150"/>
      <c r="C53" s="151" t="s">
        <v>108</v>
      </c>
      <c r="D53" s="147">
        <f>4*I54</f>
        <v>96</v>
      </c>
      <c r="E53" s="147" t="s">
        <v>112</v>
      </c>
      <c r="F53" s="152">
        <f>7*I54</f>
        <v>168</v>
      </c>
      <c r="G53" s="138"/>
      <c r="H53" s="153" t="s">
        <v>584</v>
      </c>
      <c r="I53" s="143">
        <f t="array" ref="I53">match(TRUE,ISBLANK(F53:F65),0)-1</f>
        <v>1</v>
      </c>
      <c r="J53" s="154" t="s">
        <v>420</v>
      </c>
      <c r="K53" s="154" t="s">
        <v>585</v>
      </c>
      <c r="L53" s="100" t="s">
        <v>704</v>
      </c>
      <c r="M53" s="147"/>
      <c r="N53" s="147"/>
      <c r="O53" s="147"/>
      <c r="P53" s="147"/>
      <c r="Q53" s="147"/>
      <c r="R53" s="155"/>
      <c r="S53" s="155"/>
      <c r="T53" s="155"/>
      <c r="U53" s="143"/>
      <c r="V53" s="143"/>
      <c r="W53" s="143"/>
      <c r="X53" s="143"/>
      <c r="Y53" s="143"/>
      <c r="Z53" s="143"/>
      <c r="AA53" s="143"/>
      <c r="AB53" s="143"/>
      <c r="AC53" s="143"/>
      <c r="AD53" s="143"/>
      <c r="AE53" s="143"/>
      <c r="AF53" s="143"/>
      <c r="AG53" s="156"/>
      <c r="AH53" s="143"/>
      <c r="AI53" s="143"/>
      <c r="AJ53" s="143"/>
      <c r="AK53" s="143"/>
      <c r="AL53" s="143"/>
      <c r="AM53" s="143"/>
      <c r="AN53" s="143"/>
      <c r="AO53" s="143"/>
      <c r="AP53" s="143"/>
      <c r="AQ53" s="143"/>
      <c r="AR53" s="143"/>
      <c r="AS53" s="143"/>
      <c r="AT53" s="156"/>
      <c r="AU53" s="143"/>
      <c r="AV53" s="143"/>
      <c r="AW53" s="143"/>
      <c r="AX53" s="143"/>
      <c r="AY53" s="143"/>
      <c r="AZ53" s="143"/>
      <c r="BA53" s="143"/>
      <c r="BB53" s="143">
        <f>BB52*AZ52</f>
        <v>1920</v>
      </c>
      <c r="BC53" s="143"/>
      <c r="BD53" s="143"/>
      <c r="BE53" s="143"/>
      <c r="BF53" s="143"/>
      <c r="BG53" s="143"/>
      <c r="BH53" s="143"/>
      <c r="BI53" s="149"/>
      <c r="BK53" s="22"/>
      <c r="BM53" s="6" t="s">
        <v>716</v>
      </c>
      <c r="BN53" s="6">
        <v>900000.0</v>
      </c>
      <c r="BO53" s="6">
        <v>900480.0</v>
      </c>
      <c r="BP53" s="6" t="s">
        <v>716</v>
      </c>
      <c r="BQ53" s="6">
        <v>30000.0</v>
      </c>
      <c r="BR53" s="6">
        <v>469.0</v>
      </c>
      <c r="BS53" s="6" t="s">
        <v>716</v>
      </c>
      <c r="BT53" s="6">
        <v>1.0</v>
      </c>
      <c r="BU53" s="6">
        <v>4.0</v>
      </c>
      <c r="BV53" s="6">
        <v>1.0</v>
      </c>
      <c r="BY53" s="6" t="s">
        <v>716</v>
      </c>
      <c r="BZ53" s="6">
        <v>4006.0</v>
      </c>
      <c r="CA53" s="6">
        <v>10.0</v>
      </c>
      <c r="CC53" s="6" t="s">
        <v>716</v>
      </c>
      <c r="CD53" s="6">
        <v>10000.0</v>
      </c>
      <c r="CE53" s="6">
        <v>10000.0</v>
      </c>
    </row>
    <row r="54">
      <c r="B54" s="150"/>
      <c r="C54" s="151" t="s">
        <v>32</v>
      </c>
      <c r="D54" s="147">
        <f>3*I54</f>
        <v>72</v>
      </c>
      <c r="E54" s="147"/>
      <c r="F54" s="152"/>
      <c r="G54" s="138"/>
      <c r="H54" s="157" t="s">
        <v>502</v>
      </c>
      <c r="I54" s="158">
        <v>24.0</v>
      </c>
      <c r="J54" s="154" t="s">
        <v>432</v>
      </c>
      <c r="K54" s="154">
        <v>0.0</v>
      </c>
      <c r="L54" s="100">
        <v>0.0</v>
      </c>
      <c r="M54" s="143"/>
      <c r="N54" s="143"/>
      <c r="O54" s="143"/>
      <c r="P54" s="143"/>
      <c r="Q54" s="143"/>
      <c r="R54" s="143"/>
      <c r="S54" s="155"/>
      <c r="T54" s="155"/>
      <c r="U54" s="143"/>
      <c r="V54" s="143"/>
      <c r="W54" s="143"/>
      <c r="X54" s="143"/>
      <c r="Y54" s="143"/>
      <c r="Z54" s="143"/>
      <c r="AA54" s="143"/>
      <c r="AB54" s="143"/>
      <c r="AC54" s="143"/>
      <c r="AD54" s="143"/>
      <c r="AE54" s="143"/>
      <c r="AF54" s="143"/>
      <c r="AG54" s="156"/>
      <c r="AH54" s="143"/>
      <c r="AI54" s="143"/>
      <c r="AJ54" s="143"/>
      <c r="AK54" s="143"/>
      <c r="AL54" s="143"/>
      <c r="AM54" s="143"/>
      <c r="AN54" s="143"/>
      <c r="AO54" s="143"/>
      <c r="AP54" s="143"/>
      <c r="AQ54" s="143"/>
      <c r="AR54" s="143"/>
      <c r="AS54" s="143"/>
      <c r="AT54" s="156"/>
      <c r="AU54" s="143"/>
      <c r="AV54" s="143"/>
      <c r="AW54" s="143"/>
      <c r="AX54" s="143"/>
      <c r="AY54" s="143"/>
      <c r="AZ54" s="143"/>
      <c r="BA54" s="143"/>
      <c r="BB54" s="143"/>
      <c r="BC54" s="143"/>
      <c r="BD54" s="143"/>
      <c r="BE54" s="143"/>
      <c r="BF54" s="143"/>
      <c r="BG54" s="143"/>
      <c r="BH54" s="143"/>
      <c r="BI54" s="149"/>
      <c r="BK54" s="22"/>
      <c r="BM54" s="140" t="s">
        <v>717</v>
      </c>
      <c r="BN54" s="140">
        <v>272640.0</v>
      </c>
      <c r="BO54" s="140">
        <v>1090560.0</v>
      </c>
      <c r="BP54" s="140" t="s">
        <v>717</v>
      </c>
      <c r="BQ54" s="140">
        <v>4260.0</v>
      </c>
      <c r="BR54" s="140">
        <v>1065.0</v>
      </c>
      <c r="BS54" s="140" t="s">
        <v>717</v>
      </c>
      <c r="BT54" s="140">
        <v>2.0</v>
      </c>
      <c r="BU54" s="140">
        <v>4.0</v>
      </c>
      <c r="BV54" s="140">
        <v>1.0</v>
      </c>
      <c r="BY54" s="140" t="s">
        <v>717</v>
      </c>
      <c r="BZ54" s="6">
        <v>100.0</v>
      </c>
      <c r="CA54" s="140">
        <v>100.0</v>
      </c>
      <c r="CC54" s="140" t="s">
        <v>717</v>
      </c>
      <c r="CD54" s="6">
        <v>10000.0</v>
      </c>
      <c r="CE54" s="140">
        <v>10000.0</v>
      </c>
    </row>
    <row r="55">
      <c r="B55" s="135"/>
      <c r="C55" s="136"/>
      <c r="D55" s="137"/>
      <c r="E55" s="137"/>
      <c r="F55" s="137"/>
      <c r="G55" s="138"/>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8"/>
      <c r="AH55" s="137"/>
      <c r="AI55" s="137"/>
      <c r="AJ55" s="137"/>
      <c r="AK55" s="137"/>
      <c r="AL55" s="137"/>
      <c r="AM55" s="137"/>
      <c r="AN55" s="137"/>
      <c r="AO55" s="137"/>
      <c r="AP55" s="137"/>
      <c r="AQ55" s="137"/>
      <c r="AR55" s="137"/>
      <c r="AS55" s="137"/>
      <c r="AT55" s="138"/>
      <c r="AU55" s="137"/>
      <c r="AV55" s="137"/>
      <c r="AW55" s="137"/>
      <c r="AX55" s="137"/>
      <c r="AY55" s="137"/>
      <c r="AZ55" s="137"/>
      <c r="BA55" s="137"/>
      <c r="BB55" s="137"/>
      <c r="BC55" s="137"/>
      <c r="BD55" s="137"/>
      <c r="BE55" s="137"/>
      <c r="BF55" s="137"/>
      <c r="BG55" s="137"/>
      <c r="BH55" s="137"/>
      <c r="BI55" s="139"/>
      <c r="BK55" s="22"/>
      <c r="BM55" s="140" t="s">
        <v>718</v>
      </c>
      <c r="BN55" s="140">
        <v>5112000.0</v>
      </c>
      <c r="BO55" s="140">
        <v>5112960.0</v>
      </c>
      <c r="BP55" s="140" t="s">
        <v>718</v>
      </c>
      <c r="BQ55" s="140">
        <v>170400.0</v>
      </c>
      <c r="BR55" s="140">
        <v>2663.0</v>
      </c>
      <c r="BS55" s="140" t="s">
        <v>718</v>
      </c>
      <c r="BT55" s="140">
        <v>1.0</v>
      </c>
      <c r="BU55" s="140">
        <v>4.0</v>
      </c>
      <c r="BV55" s="140">
        <v>1.0</v>
      </c>
      <c r="BY55" s="140" t="s">
        <v>718</v>
      </c>
      <c r="BZ55" s="6">
        <v>4006.0</v>
      </c>
      <c r="CA55" s="140">
        <v>10.0</v>
      </c>
      <c r="CC55" s="140" t="s">
        <v>718</v>
      </c>
      <c r="CD55" s="6">
        <v>10000.0</v>
      </c>
      <c r="CE55" s="140">
        <v>10000.0</v>
      </c>
    </row>
    <row r="56">
      <c r="B56" s="141" t="s">
        <v>720</v>
      </c>
      <c r="C56" s="142"/>
      <c r="D56" s="143"/>
      <c r="E56" s="143"/>
      <c r="F56" s="144"/>
      <c r="G56" s="145"/>
      <c r="H56" s="146" t="s">
        <v>309</v>
      </c>
      <c r="I56" s="147" t="str">
        <f>VLOOKUP(H56,'Machine List'!$A$1:$I$300,9,FALSE)</f>
        <v>1T</v>
      </c>
      <c r="J56" s="147">
        <f>IF(VLOOKUP(H56,'Machine List'!$A$1:$I$300,5,FALSE)="Multi",IF(VLOOKUP(H56,'Machine List'!$A$1:$I$300,6,FALSE)="Yes",AI56*3*10^AB56,AI56*(2*3)*10^(AB56-1)),0)</f>
        <v>0</v>
      </c>
      <c r="K56" s="147">
        <f>J56+IF(ISNUMBER(I56),I56,
  SWITCH(
      I56,
      "1T",1*10^AB56,
      "2T",2*10^AB56,
      "3T",3*10^AB56,
      "4T",4*10^AB56,
      "4000+500(7O-5)",4000+500*(7*I57-5),
      "13500 + 16C",13500+16*VLOOKUP(J58,'Machine Helper Sheet'!$G$1:$K$16,5,FALSE),
      1
  )
)</f>
        <v>1000</v>
      </c>
      <c r="L56" s="147">
        <f>IF(VLOOKUP(H56,'Machine List'!$A$1:$I$300,5,FALSE)="Multi",IF(VLOOKUP(H56,'Machine List'!$A$1:$I$300,6,FALSE)="Yes",AW56*3*10^AV56,AW56*(2*3)*10^(AV56-1)),0)</f>
        <v>0</v>
      </c>
      <c r="M56" s="147">
        <f>L56+IF(ISNUMBER(I56),I56,
  SWITCH(
      I56,
      "1T",1*10^AV56,
      "2T",2*10^AV56,
      "3T",3*10^AV56,
      "4T",4*10^AV56,
      "4000+500(7O-5)",4000+500*(7*I57-5),
      1
  )
)</f>
        <v>10000</v>
      </c>
      <c r="N56" s="147" t="str">
        <f>VLOOKUP(H56,'Machine List'!$A$1:$I$300,8,FALSE)</f>
        <v>Tier</v>
      </c>
      <c r="O56" s="147">
        <f>IF(ISNUMBER(N56),N56,10^AB56)</f>
        <v>1000</v>
      </c>
      <c r="P56" s="147">
        <f>IF(ISNUMBER(N56),N56,10^AV56)</f>
        <v>10000</v>
      </c>
      <c r="Q56" s="147">
        <f>VLOOKUP(H56,'Machine List'!$A$1:$B$138,2,FALSE)</f>
        <v>1</v>
      </c>
      <c r="R56" s="147" t="s">
        <v>277</v>
      </c>
      <c r="S56" s="143">
        <f>IF(ISNUMBER(Q56),Q56,
  SWITCH(
      Q56,
      "1",1,
      "2T",AB56*2,
      "4T",AB56*4,
      "6T",AB56*6,
      "8T",AB56*8,
      "10T",AB56*10,
      "12T",AB56*12,
      "14T",AB56*14,
      "16T",AB56*16,
      "24T",AB56*24,
      "2(T+1)",2*(AB56+1),
      "1T*C",AB56*J58,
      "2*P",L58*2,
      1
  )
)</f>
        <v>1</v>
      </c>
      <c r="T56" s="38" t="s">
        <v>277</v>
      </c>
      <c r="U56" s="147">
        <f>IF(OR(T56="No",T56=""),S56,T56)</f>
        <v>1</v>
      </c>
      <c r="V56" s="147">
        <f>IF(ISNUMBER(Q56),Q56,
  SWITCH(
      Q56,
      "1",1,
      "2T",AV56*2,
      "4T",AV56*4,
      "6T",AV56*6,
      "8T",AV56*8,
      "10T",AV56*10,
      "12T",AV56*12,
      "14T",AV56*14,
      "16T",AV56*16,
      "24T",AV56*24,
      "2(T+1)",2*(AV56+1),
      "1T*C",AV56*J58,
      "2*P",L58*2,
      1
  )
)</f>
        <v>1</v>
      </c>
      <c r="W56" s="147" t="str">
        <f>T56</f>
        <v>No</v>
      </c>
      <c r="X56" s="147">
        <f>IF(OR(W56="No",W56=""),V56,W56)</f>
        <v>1</v>
      </c>
      <c r="Y56" s="38">
        <f>VLOOKUP(H56,'Machine List'!$A$1:$C$138,3,FALSE)</f>
        <v>1</v>
      </c>
      <c r="Z56" s="38">
        <f>VLOOKUP(H56,'Machine List'!$A$1:$D$138,4,FALSE)</f>
        <v>1</v>
      </c>
      <c r="AA56" s="147" t="s">
        <v>397</v>
      </c>
      <c r="AB56" s="147">
        <f>VLOOKUP(AA56,'Item Helper Sheet'!$A$2:$B$16,2,FALSE)</f>
        <v>3</v>
      </c>
      <c r="AC56" s="147">
        <v>480.0</v>
      </c>
      <c r="AD56" s="147">
        <f>5*20</f>
        <v>100</v>
      </c>
      <c r="AE56" s="147">
        <f>AD56*I58</f>
        <v>16700</v>
      </c>
      <c r="AF56" s="147">
        <f>AC56*AE56</f>
        <v>8016000</v>
      </c>
      <c r="AG56" s="148"/>
      <c r="AH56" s="147" t="str">
        <f>AA56</f>
        <v>03 - HV</v>
      </c>
      <c r="AI56" s="147">
        <v>1.0</v>
      </c>
      <c r="AJ56" s="147">
        <v>1.0</v>
      </c>
      <c r="AK56" s="147">
        <f>AJ56*8*4^AB56</f>
        <v>512</v>
      </c>
      <c r="AL56" s="147">
        <f>MIN(ROUNDDOWN(AK56/AN56,0),U56)</f>
        <v>1</v>
      </c>
      <c r="AM56" s="147">
        <f>IF(OR(T56="No",T56=""),AI56*S56,AI56*T56)</f>
        <v>1</v>
      </c>
      <c r="AN56" s="147">
        <f>ROUNDUP(AC56*VLOOKUP(H56,'Machine List'!$A$2:$D$219,4,FALSE),0)</f>
        <v>480</v>
      </c>
      <c r="AO56" s="147">
        <f>AN56*AM56</f>
        <v>480</v>
      </c>
      <c r="AP56" s="147">
        <f>ROUNDUP(AD56*I58,0)</f>
        <v>16700</v>
      </c>
      <c r="AQ56" s="38">
        <f>IF(ISNUMBER(Y56),ROUNDUP(AP56/Y56,0),
  SWITCH(
      Y56,
      "1+0.5C",ROUNDUP(AP56/(1+0.5*VLOOKUP(J58,'Machine Helper Sheet'!$G$1:$K$16,2,FALSE)),0),
      ROUNDUP(AP56/1,0)
  )
)</f>
        <v>16700</v>
      </c>
      <c r="AR56" s="147">
        <f>ROUNDUP(AQ56/AM56,0)</f>
        <v>16700</v>
      </c>
      <c r="AS56" s="147">
        <f>AO56*AR56</f>
        <v>8016000</v>
      </c>
      <c r="AT56" s="148"/>
      <c r="AU56" s="147" t="s">
        <v>401</v>
      </c>
      <c r="AV56" s="147">
        <f>VLOOKUP(AU56,'Item Helper Sheet'!$A$2:$B$16,2,FALSE)</f>
        <v>4</v>
      </c>
      <c r="AW56" s="147">
        <f>AI56</f>
        <v>1</v>
      </c>
      <c r="AX56" s="147">
        <v>1.0</v>
      </c>
      <c r="AY56" s="147">
        <f>AX56*8*4^AV56</f>
        <v>2048</v>
      </c>
      <c r="AZ56" s="147">
        <f>MIN(ROUNDDOWN(AY56/AN56,0),X56)</f>
        <v>1</v>
      </c>
      <c r="BA56" s="147">
        <f>AZ56*AW56</f>
        <v>1</v>
      </c>
      <c r="BB56" s="147">
        <f>AN56</f>
        <v>480</v>
      </c>
      <c r="BC56" s="147">
        <f>MIN(AV56-AB56,IF(AY56&gt;=BB57*4,
IF(AY56&gt;=BB57*4^2,
IF(AY56&gt;=BB57*4^3,
IF(AY56&gt;=BB57*4^4,
IF(AY56&gt;=BB57*4^5,
IF(AY56&gt;=BB57*4^6,
IF(AY56&gt;=BB57*4^7,
IF(AY56&gt;=BB57*4^8,
IF(AY56&gt;=BB57*4^9,
IF(AY56&gt;=BB57*4^10,
9),
8),
7),
6),
5),
4),
3),
2),
1),
0))</f>
        <v>1</v>
      </c>
      <c r="BD56" s="147">
        <f>BB56*AZ56*4^BC56</f>
        <v>1920</v>
      </c>
      <c r="BE56" s="147">
        <f>BD56*AW56</f>
        <v>1920</v>
      </c>
      <c r="BF56" s="143">
        <f>ROUNDUP(IF(R56="Yes",AP56/(2^((BC56)*2)),AP56/(2^(BC56))),0)</f>
        <v>8350</v>
      </c>
      <c r="BG56" s="45">
        <f>IF(ISNUMBER(Y56),ROUNDUP(BF56/Y56,0),
  SWITCH(
      Y56,
      "1+0.5C",ROUNDUP(BF56/(1+0.5*VLOOKUP(J58,'Machine Helper Sheet'!$G$1:$K$16,2,FALSE)),0),
      ROUNDUP(BF56/1,0)
  )
)</f>
        <v>8350</v>
      </c>
      <c r="BH56" s="143">
        <f>ROUNDUP(BG56/BA56,0)</f>
        <v>8350</v>
      </c>
      <c r="BI56" s="149">
        <f>BH56*BE56</f>
        <v>16032000</v>
      </c>
      <c r="BK56" s="22"/>
      <c r="BM56" s="140" t="s">
        <v>719</v>
      </c>
      <c r="BN56" s="140">
        <v>1.29024E8</v>
      </c>
      <c r="BO56" s="140">
        <v>1.29024E8</v>
      </c>
      <c r="BP56" s="140" t="s">
        <v>719</v>
      </c>
      <c r="BQ56" s="140">
        <v>67200.0</v>
      </c>
      <c r="BR56" s="140">
        <v>67200.0</v>
      </c>
      <c r="BS56" s="140" t="s">
        <v>719</v>
      </c>
      <c r="BT56" s="140">
        <v>4.0</v>
      </c>
      <c r="BU56" s="140">
        <v>4.0</v>
      </c>
      <c r="BV56" s="140">
        <v>1.0</v>
      </c>
      <c r="BY56" s="140" t="s">
        <v>719</v>
      </c>
      <c r="BZ56" s="6">
        <v>7000.0</v>
      </c>
      <c r="CA56" s="140">
        <v>10000.0</v>
      </c>
      <c r="CC56" s="140" t="s">
        <v>719</v>
      </c>
      <c r="CD56" s="6">
        <v>7000.0</v>
      </c>
      <c r="CE56" s="140">
        <v>10000.0</v>
      </c>
    </row>
    <row r="57">
      <c r="B57" s="150"/>
      <c r="C57" s="151" t="s">
        <v>112</v>
      </c>
      <c r="D57" s="147">
        <f>1*I58</f>
        <v>167</v>
      </c>
      <c r="E57" s="147" t="s">
        <v>113</v>
      </c>
      <c r="F57" s="152">
        <f>144*I58</f>
        <v>24048</v>
      </c>
      <c r="G57" s="138"/>
      <c r="H57" s="153" t="s">
        <v>584</v>
      </c>
      <c r="I57" s="143">
        <f t="array" ref="I57">match(TRUE,ISBLANK(F57:F69),0)-1</f>
        <v>1</v>
      </c>
      <c r="J57" s="154" t="s">
        <v>420</v>
      </c>
      <c r="K57" s="154" t="s">
        <v>585</v>
      </c>
      <c r="L57" s="100" t="s">
        <v>704</v>
      </c>
      <c r="M57" s="147"/>
      <c r="N57" s="147"/>
      <c r="O57" s="147"/>
      <c r="P57" s="147"/>
      <c r="Q57" s="147"/>
      <c r="R57" s="155"/>
      <c r="S57" s="155"/>
      <c r="T57" s="155"/>
      <c r="U57" s="143"/>
      <c r="V57" s="143"/>
      <c r="W57" s="143"/>
      <c r="X57" s="143"/>
      <c r="Y57" s="143"/>
      <c r="Z57" s="143"/>
      <c r="AA57" s="143"/>
      <c r="AB57" s="143"/>
      <c r="AC57" s="143"/>
      <c r="AD57" s="143"/>
      <c r="AE57" s="143"/>
      <c r="AF57" s="143"/>
      <c r="AG57" s="156"/>
      <c r="AH57" s="143"/>
      <c r="AI57" s="143"/>
      <c r="AJ57" s="143"/>
      <c r="AK57" s="143"/>
      <c r="AL57" s="143"/>
      <c r="AM57" s="143"/>
      <c r="AN57" s="143"/>
      <c r="AO57" s="143"/>
      <c r="AP57" s="143"/>
      <c r="AQ57" s="143"/>
      <c r="AR57" s="143"/>
      <c r="AS57" s="143"/>
      <c r="AT57" s="156"/>
      <c r="AU57" s="143"/>
      <c r="AV57" s="143"/>
      <c r="AW57" s="143"/>
      <c r="AX57" s="143"/>
      <c r="AY57" s="143"/>
      <c r="AZ57" s="143"/>
      <c r="BA57" s="143"/>
      <c r="BB57" s="143">
        <f>BB56*AZ56</f>
        <v>480</v>
      </c>
      <c r="BC57" s="143"/>
      <c r="BD57" s="143"/>
      <c r="BE57" s="143"/>
      <c r="BF57" s="143"/>
      <c r="BG57" s="143"/>
      <c r="BH57" s="143"/>
      <c r="BI57" s="149"/>
      <c r="BK57" s="22"/>
      <c r="BM57" s="140" t="s">
        <v>720</v>
      </c>
      <c r="BN57" s="140">
        <v>8016000.0</v>
      </c>
      <c r="BO57" s="140">
        <v>1.6032E7</v>
      </c>
      <c r="BP57" s="140" t="s">
        <v>720</v>
      </c>
      <c r="BQ57" s="140">
        <v>16700.0</v>
      </c>
      <c r="BR57" s="140">
        <v>8350.0</v>
      </c>
      <c r="BS57" s="140" t="s">
        <v>720</v>
      </c>
      <c r="BT57" s="140">
        <v>3.0</v>
      </c>
      <c r="BU57" s="140">
        <v>4.0</v>
      </c>
      <c r="BV57" s="140">
        <v>1.0</v>
      </c>
      <c r="BY57" s="140" t="s">
        <v>720</v>
      </c>
      <c r="BZ57" s="6">
        <v>1000.0</v>
      </c>
      <c r="CA57" s="140">
        <v>1000.0</v>
      </c>
      <c r="CC57" s="140" t="s">
        <v>720</v>
      </c>
      <c r="CD57" s="6">
        <v>10000.0</v>
      </c>
      <c r="CE57" s="140">
        <v>10000.0</v>
      </c>
    </row>
    <row r="58">
      <c r="B58" s="150"/>
      <c r="C58" s="151"/>
      <c r="D58" s="147"/>
      <c r="E58" s="147"/>
      <c r="F58" s="152"/>
      <c r="G58" s="138"/>
      <c r="H58" s="157" t="s">
        <v>502</v>
      </c>
      <c r="I58" s="158">
        <v>167.0</v>
      </c>
      <c r="J58" s="154" t="s">
        <v>424</v>
      </c>
      <c r="K58" s="154">
        <v>0.0</v>
      </c>
      <c r="L58" s="100">
        <v>0.0</v>
      </c>
      <c r="M58" s="143"/>
      <c r="N58" s="143"/>
      <c r="O58" s="143"/>
      <c r="P58" s="143"/>
      <c r="Q58" s="143"/>
      <c r="R58" s="143"/>
      <c r="S58" s="155"/>
      <c r="T58" s="155"/>
      <c r="U58" s="143"/>
      <c r="V58" s="143"/>
      <c r="W58" s="143"/>
      <c r="X58" s="143"/>
      <c r="Y58" s="143"/>
      <c r="Z58" s="143"/>
      <c r="AA58" s="143"/>
      <c r="AB58" s="143"/>
      <c r="AC58" s="143"/>
      <c r="AD58" s="143"/>
      <c r="AE58" s="143"/>
      <c r="AF58" s="143"/>
      <c r="AG58" s="156"/>
      <c r="AH58" s="143"/>
      <c r="AI58" s="143"/>
      <c r="AJ58" s="143"/>
      <c r="AK58" s="143"/>
      <c r="AL58" s="143"/>
      <c r="AM58" s="143"/>
      <c r="AN58" s="143"/>
      <c r="AO58" s="143"/>
      <c r="AP58" s="143"/>
      <c r="AQ58" s="143"/>
      <c r="AR58" s="143"/>
      <c r="AS58" s="143"/>
      <c r="AT58" s="156"/>
      <c r="AU58" s="143"/>
      <c r="AV58" s="143"/>
      <c r="AW58" s="143"/>
      <c r="AX58" s="143"/>
      <c r="AY58" s="143"/>
      <c r="AZ58" s="143"/>
      <c r="BA58" s="143"/>
      <c r="BB58" s="143"/>
      <c r="BC58" s="143"/>
      <c r="BD58" s="143"/>
      <c r="BE58" s="143"/>
      <c r="BF58" s="143"/>
      <c r="BG58" s="143"/>
      <c r="BH58" s="143"/>
      <c r="BI58" s="149"/>
      <c r="BK58" s="22"/>
      <c r="BM58" s="140" t="s">
        <v>721</v>
      </c>
      <c r="BN58" s="140">
        <v>9000.0</v>
      </c>
      <c r="BO58" s="140">
        <v>72960.0</v>
      </c>
      <c r="BP58" s="140" t="s">
        <v>721</v>
      </c>
      <c r="BQ58" s="140">
        <v>300.0</v>
      </c>
      <c r="BR58" s="140">
        <v>38.0</v>
      </c>
      <c r="BS58" s="140" t="s">
        <v>721</v>
      </c>
      <c r="BT58" s="140">
        <v>1.0</v>
      </c>
      <c r="BU58" s="140">
        <v>4.0</v>
      </c>
      <c r="BV58" s="140">
        <v>1.0</v>
      </c>
      <c r="BY58" s="140" t="s">
        <v>721</v>
      </c>
      <c r="BZ58" s="6">
        <v>10.0</v>
      </c>
      <c r="CA58" s="140">
        <v>10.0</v>
      </c>
      <c r="CC58" s="140" t="s">
        <v>721</v>
      </c>
      <c r="CD58" s="6">
        <v>10000.0</v>
      </c>
      <c r="CE58" s="140">
        <v>10000.0</v>
      </c>
    </row>
    <row r="59">
      <c r="B59" s="135"/>
      <c r="C59" s="136"/>
      <c r="D59" s="137"/>
      <c r="E59" s="137"/>
      <c r="F59" s="137"/>
      <c r="G59" s="138"/>
      <c r="H59" s="137"/>
      <c r="I59" s="137"/>
      <c r="J59" s="137"/>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8"/>
      <c r="AH59" s="137"/>
      <c r="AI59" s="137"/>
      <c r="AJ59" s="137"/>
      <c r="AK59" s="137"/>
      <c r="AL59" s="137"/>
      <c r="AM59" s="137"/>
      <c r="AN59" s="137"/>
      <c r="AO59" s="137"/>
      <c r="AP59" s="137"/>
      <c r="AQ59" s="137"/>
      <c r="AR59" s="137"/>
      <c r="AS59" s="137"/>
      <c r="AT59" s="138"/>
      <c r="AU59" s="137"/>
      <c r="AV59" s="137"/>
      <c r="AW59" s="137"/>
      <c r="AX59" s="137"/>
      <c r="AY59" s="137"/>
      <c r="AZ59" s="137"/>
      <c r="BA59" s="137"/>
      <c r="BB59" s="137"/>
      <c r="BC59" s="137"/>
      <c r="BD59" s="137"/>
      <c r="BE59" s="137"/>
      <c r="BF59" s="137"/>
      <c r="BG59" s="137"/>
      <c r="BH59" s="137"/>
      <c r="BI59" s="139"/>
      <c r="BK59" s="22"/>
      <c r="BM59" s="140" t="s">
        <v>722</v>
      </c>
      <c r="BN59" s="140">
        <v>800.0</v>
      </c>
      <c r="BO59" s="140">
        <v>6400.0</v>
      </c>
      <c r="BP59" s="140" t="s">
        <v>722</v>
      </c>
      <c r="BQ59" s="140">
        <v>400.0</v>
      </c>
      <c r="BR59" s="140">
        <v>50.0</v>
      </c>
      <c r="BS59" s="140" t="s">
        <v>722</v>
      </c>
      <c r="BT59" s="140">
        <v>1.0</v>
      </c>
      <c r="BU59" s="140">
        <v>4.0</v>
      </c>
      <c r="BV59" s="140">
        <v>1.0</v>
      </c>
      <c r="BY59" s="140" t="s">
        <v>722</v>
      </c>
      <c r="BZ59" s="6">
        <v>10.0</v>
      </c>
      <c r="CA59" s="140">
        <v>10.0</v>
      </c>
      <c r="CC59" s="140" t="s">
        <v>722</v>
      </c>
      <c r="CD59" s="6">
        <v>10000.0</v>
      </c>
      <c r="CE59" s="140">
        <v>10000.0</v>
      </c>
    </row>
    <row r="60">
      <c r="B60" s="141" t="s">
        <v>721</v>
      </c>
      <c r="C60" s="142"/>
      <c r="D60" s="143"/>
      <c r="E60" s="143"/>
      <c r="F60" s="144"/>
      <c r="G60" s="145"/>
      <c r="H60" s="146" t="s">
        <v>287</v>
      </c>
      <c r="I60" s="147" t="str">
        <f>VLOOKUP(H60,'Machine List'!$A$1:$I$300,9,FALSE)</f>
        <v>1T</v>
      </c>
      <c r="J60" s="147">
        <f>IF(VLOOKUP(H60,'Machine List'!$A$1:$I$300,5,FALSE)="Multi",IF(VLOOKUP(H60,'Machine List'!$A$1:$I$300,6,FALSE)="Yes",AI60*3*10^AB60,AI60*(2*3)*10^(AB60-1)),0)</f>
        <v>0</v>
      </c>
      <c r="K60" s="147">
        <f>J60+IF(ISNUMBER(I60),I60,
  SWITCH(
      I60,
      "1T",1*10^AB60,
      "2T",2*10^AB60,
      "3T",3*10^AB60,
      "4T",4*10^AB60,
      "4000+500(7O-5)",4000+500*(7*I61-5),
      "13500 + 16C",13500+16*VLOOKUP(J62,'Machine Helper Sheet'!$G$1:$K$16,5,FALSE),
      1
  )
)</f>
        <v>10</v>
      </c>
      <c r="L60" s="147">
        <f>IF(VLOOKUP(H60,'Machine List'!$A$1:$I$300,5,FALSE)="Multi",IF(VLOOKUP(H60,'Machine List'!$A$1:$I$300,6,FALSE)="Yes",AW60*3*10^AV60,AW60*(2*3)*10^(AV60-1)),0)</f>
        <v>0</v>
      </c>
      <c r="M60" s="147">
        <f>L60+IF(ISNUMBER(I60),I60,
  SWITCH(
      I60,
      "1T",1*10^AV60,
      "2T",2*10^AV60,
      "3T",3*10^AV60,
      "4T",4*10^AV60,
      "4000+500(7O-5)",4000+500*(7*I61-5),
      1
  )
)</f>
        <v>10000</v>
      </c>
      <c r="N60" s="147" t="str">
        <f>VLOOKUP(H60,'Machine List'!$A$1:$I$300,8,FALSE)</f>
        <v>Tier</v>
      </c>
      <c r="O60" s="147">
        <f>IF(ISNUMBER(N60),N60,10^AB60)</f>
        <v>10</v>
      </c>
      <c r="P60" s="147">
        <f>IF(ISNUMBER(N60),N60,10^AV60)</f>
        <v>10000</v>
      </c>
      <c r="Q60" s="147">
        <f>VLOOKUP(H60,'Machine List'!$A$1:$B$138,2,FALSE)</f>
        <v>1</v>
      </c>
      <c r="R60" s="147" t="s">
        <v>277</v>
      </c>
      <c r="S60" s="143">
        <f>IF(ISNUMBER(Q60),Q60,
  SWITCH(
      Q60,
      "1",1,
      "2T",AB60*2,
      "4T",AB60*4,
      "6T",AB60*6,
      "8T",AB60*8,
      "10T",AB60*10,
      "12T",AB60*12,
      "14T",AB60*14,
      "16T",AB60*16,
      "24T",AB60*24,
      "2(T+1)",2*(AB60+1),
      "1T*C",AB60*J62,
      "2*P",L62*2,
      1
  )
)</f>
        <v>1</v>
      </c>
      <c r="T60" s="38" t="s">
        <v>277</v>
      </c>
      <c r="U60" s="147">
        <f>IF(OR(T60="No",T60=""),S60,T60)</f>
        <v>1</v>
      </c>
      <c r="V60" s="147">
        <f>IF(ISNUMBER(Q60),Q60,
  SWITCH(
      Q60,
      "1",1,
      "2T",AV60*2,
      "4T",AV60*4,
      "6T",AV60*6,
      "8T",AV60*8,
      "10T",AV60*10,
      "12T",AV60*12,
      "14T",AV60*14,
      "16T",AV60*16,
      "24T",AV60*24,
      "2(T+1)",2*(AV60+1),
      "1T*C",AV60*J62,
      "2*P",L62*2,
      1
  )
)</f>
        <v>1</v>
      </c>
      <c r="W60" s="147" t="str">
        <f>T60</f>
        <v>No</v>
      </c>
      <c r="X60" s="147">
        <f>IF(OR(W60="No",W60=""),V60,W60)</f>
        <v>1</v>
      </c>
      <c r="Y60" s="38">
        <f>VLOOKUP(H60,'Machine List'!$A$1:$C$138,3,FALSE)</f>
        <v>1</v>
      </c>
      <c r="Z60" s="38">
        <f>VLOOKUP(H60,'Machine List'!$A$1:$D$138,4,FALSE)</f>
        <v>1</v>
      </c>
      <c r="AA60" s="147" t="s">
        <v>390</v>
      </c>
      <c r="AB60" s="147">
        <f>VLOOKUP(AA60,'Item Helper Sheet'!$A$2:$B$16,2,FALSE)</f>
        <v>1</v>
      </c>
      <c r="AC60" s="147">
        <v>30.0</v>
      </c>
      <c r="AD60" s="147">
        <f>15*20</f>
        <v>300</v>
      </c>
      <c r="AE60" s="147">
        <f>AD60*I62</f>
        <v>300</v>
      </c>
      <c r="AF60" s="147">
        <f>AC60*AE60</f>
        <v>9000</v>
      </c>
      <c r="AG60" s="148"/>
      <c r="AH60" s="147" t="str">
        <f>AA60</f>
        <v>01 - LV</v>
      </c>
      <c r="AI60" s="147">
        <v>1.0</v>
      </c>
      <c r="AJ60" s="147">
        <v>1.0</v>
      </c>
      <c r="AK60" s="147">
        <f>AJ60*8*4^AB60</f>
        <v>32</v>
      </c>
      <c r="AL60" s="147">
        <f>MIN(ROUNDDOWN(AK60/AN60,0),U60)</f>
        <v>1</v>
      </c>
      <c r="AM60" s="147">
        <f>IF(OR(T60="No",T60=""),AI60*S60,AI60*T60)</f>
        <v>1</v>
      </c>
      <c r="AN60" s="147">
        <f>ROUNDUP(AC60*VLOOKUP(H60,'Machine List'!$A$2:$D$219,4,FALSE),0)</f>
        <v>30</v>
      </c>
      <c r="AO60" s="147">
        <f>AN60*AM60</f>
        <v>30</v>
      </c>
      <c r="AP60" s="147">
        <f>ROUNDUP(AD60*I62,0)</f>
        <v>300</v>
      </c>
      <c r="AQ60" s="38">
        <f>IF(ISNUMBER(Y60),ROUNDUP(AP60/Y60,0),
  SWITCH(
      Y60,
      "1+0.5C",ROUNDUP(AP60/(1+0.5*VLOOKUP(J62,'Machine Helper Sheet'!$G$1:$K$16,2,FALSE)),0),
      ROUNDUP(AP60/1,0)
  )
)</f>
        <v>300</v>
      </c>
      <c r="AR60" s="147">
        <f>ROUNDUP(AQ60/AM60,0)</f>
        <v>300</v>
      </c>
      <c r="AS60" s="147">
        <f>AO60*AR60</f>
        <v>9000</v>
      </c>
      <c r="AT60" s="148"/>
      <c r="AU60" s="147" t="s">
        <v>401</v>
      </c>
      <c r="AV60" s="147">
        <f>VLOOKUP(AU60,'Item Helper Sheet'!$A$2:$B$16,2,FALSE)</f>
        <v>4</v>
      </c>
      <c r="AW60" s="147">
        <f>AI60</f>
        <v>1</v>
      </c>
      <c r="AX60" s="147">
        <v>1.0</v>
      </c>
      <c r="AY60" s="147">
        <f>AX60*8*4^AV60</f>
        <v>2048</v>
      </c>
      <c r="AZ60" s="147">
        <f>MIN(ROUNDDOWN(AY60/AN60,0),X60)</f>
        <v>1</v>
      </c>
      <c r="BA60" s="147">
        <f>AZ60*AW60</f>
        <v>1</v>
      </c>
      <c r="BB60" s="147">
        <f>AN60</f>
        <v>30</v>
      </c>
      <c r="BC60" s="147">
        <f>MIN(AV60-AB60,IF(AY60&gt;=BB61*4,
IF(AY60&gt;=BB61*4^2,
IF(AY60&gt;=BB61*4^3,
IF(AY60&gt;=BB61*4^4,
IF(AY60&gt;=BB61*4^5,
IF(AY60&gt;=BB61*4^6,
IF(AY60&gt;=BB61*4^7,
IF(AY60&gt;=BB61*4^8,
IF(AY60&gt;=BB61*4^9,
IF(AY60&gt;=BB61*4^10,
9),
8),
7),
6),
5),
4),
3),
2),
1),
0))</f>
        <v>3</v>
      </c>
      <c r="BD60" s="147">
        <f>BB60*AZ60*4^BC60</f>
        <v>1920</v>
      </c>
      <c r="BE60" s="147">
        <f>BD60*AW60</f>
        <v>1920</v>
      </c>
      <c r="BF60" s="143">
        <f>ROUNDUP(IF(R60="Yes",AP60/(2^((BC60)*2)),AP60/(2^(BC60))),0)</f>
        <v>38</v>
      </c>
      <c r="BG60" s="45">
        <f>IF(ISNUMBER(Y60),ROUNDUP(BF60/Y60,0),
  SWITCH(
      Y60,
      "1+0.5C",ROUNDUP(BF60/(1+0.5*VLOOKUP(J62,'Machine Helper Sheet'!$G$1:$K$16,2,FALSE)),0),
      ROUNDUP(BF60/1,0)
  )
)</f>
        <v>38</v>
      </c>
      <c r="BH60" s="143">
        <f>ROUNDUP(BG60/BA60,0)</f>
        <v>38</v>
      </c>
      <c r="BI60" s="149">
        <f>BH60*BE60</f>
        <v>72960</v>
      </c>
      <c r="BK60" s="22"/>
      <c r="BM60" s="140" t="s">
        <v>723</v>
      </c>
      <c r="BN60" s="140">
        <v>2040000.0</v>
      </c>
      <c r="BO60" s="140">
        <v>4080000.0</v>
      </c>
      <c r="BP60" s="140" t="s">
        <v>723</v>
      </c>
      <c r="BQ60" s="140">
        <v>6000.0</v>
      </c>
      <c r="BR60" s="140">
        <v>3000.0</v>
      </c>
      <c r="BS60" s="140" t="s">
        <v>723</v>
      </c>
      <c r="BT60" s="140">
        <v>3.0</v>
      </c>
      <c r="BU60" s="140">
        <v>4.0</v>
      </c>
      <c r="BV60" s="140">
        <v>1.0</v>
      </c>
      <c r="BY60" s="140" t="s">
        <v>723</v>
      </c>
      <c r="BZ60" s="6">
        <v>1600.0</v>
      </c>
      <c r="CA60" s="140">
        <v>1000.0</v>
      </c>
      <c r="CC60" s="140" t="s">
        <v>723</v>
      </c>
      <c r="CD60" s="6">
        <v>7000.0</v>
      </c>
      <c r="CE60" s="140">
        <v>10000.0</v>
      </c>
    </row>
    <row r="61">
      <c r="B61" s="150"/>
      <c r="C61" s="151" t="s">
        <v>256</v>
      </c>
      <c r="D61" s="147">
        <f>1*I62</f>
        <v>1</v>
      </c>
      <c r="E61" s="147" t="s">
        <v>257</v>
      </c>
      <c r="F61" s="152">
        <f>1*I62</f>
        <v>1</v>
      </c>
      <c r="G61" s="138"/>
      <c r="H61" s="153" t="s">
        <v>584</v>
      </c>
      <c r="I61" s="143">
        <f t="array" ref="I61">match(TRUE,ISBLANK(F61:F73),0)-1</f>
        <v>1</v>
      </c>
      <c r="J61" s="154" t="s">
        <v>420</v>
      </c>
      <c r="K61" s="154" t="s">
        <v>585</v>
      </c>
      <c r="L61" s="100" t="s">
        <v>704</v>
      </c>
      <c r="M61" s="147"/>
      <c r="N61" s="147"/>
      <c r="O61" s="147"/>
      <c r="P61" s="147"/>
      <c r="Q61" s="147"/>
      <c r="R61" s="155"/>
      <c r="S61" s="155"/>
      <c r="T61" s="155"/>
      <c r="U61" s="143"/>
      <c r="V61" s="143"/>
      <c r="W61" s="143"/>
      <c r="X61" s="143"/>
      <c r="Y61" s="143"/>
      <c r="Z61" s="143"/>
      <c r="AA61" s="143"/>
      <c r="AB61" s="143"/>
      <c r="AC61" s="143"/>
      <c r="AD61" s="143"/>
      <c r="AE61" s="143"/>
      <c r="AF61" s="143"/>
      <c r="AG61" s="156"/>
      <c r="AH61" s="143"/>
      <c r="AI61" s="143"/>
      <c r="AJ61" s="143"/>
      <c r="AK61" s="143"/>
      <c r="AL61" s="143"/>
      <c r="AM61" s="143"/>
      <c r="AN61" s="143"/>
      <c r="AO61" s="143"/>
      <c r="AP61" s="143"/>
      <c r="AQ61" s="143"/>
      <c r="AR61" s="143"/>
      <c r="AS61" s="143"/>
      <c r="AT61" s="156"/>
      <c r="AU61" s="143"/>
      <c r="AV61" s="143"/>
      <c r="AW61" s="143"/>
      <c r="AX61" s="143"/>
      <c r="AY61" s="143"/>
      <c r="AZ61" s="143"/>
      <c r="BA61" s="143"/>
      <c r="BB61" s="143">
        <f>BB60*AZ60</f>
        <v>30</v>
      </c>
      <c r="BC61" s="143"/>
      <c r="BD61" s="143"/>
      <c r="BE61" s="143"/>
      <c r="BF61" s="143"/>
      <c r="BG61" s="143"/>
      <c r="BH61" s="143"/>
      <c r="BI61" s="149"/>
      <c r="BK61" s="22"/>
      <c r="BM61" s="140" t="s">
        <v>724</v>
      </c>
      <c r="BN61" s="140">
        <v>720000.0</v>
      </c>
      <c r="BO61" s="140">
        <v>1440000.0</v>
      </c>
      <c r="BP61" s="140" t="s">
        <v>724</v>
      </c>
      <c r="BQ61" s="140">
        <v>1500.0</v>
      </c>
      <c r="BR61" s="140">
        <v>750.0</v>
      </c>
      <c r="BS61" s="140" t="s">
        <v>724</v>
      </c>
      <c r="BT61" s="140">
        <v>3.0</v>
      </c>
      <c r="BU61" s="140">
        <v>4.0</v>
      </c>
      <c r="BV61" s="140">
        <v>1.0</v>
      </c>
      <c r="BY61" s="140" t="s">
        <v>724</v>
      </c>
      <c r="BZ61" s="6">
        <v>1000.0</v>
      </c>
      <c r="CA61" s="140">
        <v>1000.0</v>
      </c>
      <c r="CC61" s="140" t="s">
        <v>724</v>
      </c>
      <c r="CD61" s="6">
        <v>10000.0</v>
      </c>
      <c r="CE61" s="140">
        <v>10000.0</v>
      </c>
    </row>
    <row r="62">
      <c r="B62" s="150"/>
      <c r="C62" s="151" t="s">
        <v>48</v>
      </c>
      <c r="D62" s="147">
        <f>4000*I62</f>
        <v>4000</v>
      </c>
      <c r="E62" s="147"/>
      <c r="F62" s="152"/>
      <c r="G62" s="138"/>
      <c r="H62" s="157" t="s">
        <v>502</v>
      </c>
      <c r="I62" s="158">
        <v>1.0</v>
      </c>
      <c r="J62" s="154" t="s">
        <v>424</v>
      </c>
      <c r="K62" s="154">
        <v>0.0</v>
      </c>
      <c r="L62" s="100">
        <v>0.0</v>
      </c>
      <c r="M62" s="143"/>
      <c r="N62" s="143"/>
      <c r="O62" s="143"/>
      <c r="P62" s="143"/>
      <c r="Q62" s="143"/>
      <c r="R62" s="143"/>
      <c r="S62" s="155"/>
      <c r="T62" s="155"/>
      <c r="U62" s="143"/>
      <c r="V62" s="143"/>
      <c r="W62" s="143"/>
      <c r="X62" s="143"/>
      <c r="Y62" s="143"/>
      <c r="Z62" s="143"/>
      <c r="AA62" s="143"/>
      <c r="AB62" s="143"/>
      <c r="AC62" s="143"/>
      <c r="AD62" s="143"/>
      <c r="AE62" s="143"/>
      <c r="AF62" s="143"/>
      <c r="AG62" s="156"/>
      <c r="AH62" s="143"/>
      <c r="AI62" s="143"/>
      <c r="AJ62" s="143"/>
      <c r="AK62" s="143"/>
      <c r="AL62" s="143"/>
      <c r="AM62" s="143"/>
      <c r="AN62" s="143"/>
      <c r="AO62" s="143"/>
      <c r="AP62" s="143"/>
      <c r="AQ62" s="143"/>
      <c r="AR62" s="143"/>
      <c r="AS62" s="143"/>
      <c r="AT62" s="156"/>
      <c r="AU62" s="143"/>
      <c r="AV62" s="143"/>
      <c r="AW62" s="143"/>
      <c r="AX62" s="143"/>
      <c r="AY62" s="143"/>
      <c r="AZ62" s="143"/>
      <c r="BA62" s="143"/>
      <c r="BB62" s="143"/>
      <c r="BC62" s="143"/>
      <c r="BD62" s="143"/>
      <c r="BE62" s="143"/>
      <c r="BF62" s="143"/>
      <c r="BG62" s="143"/>
      <c r="BH62" s="143"/>
      <c r="BI62" s="149"/>
      <c r="BK62" s="22"/>
      <c r="BM62" s="140" t="s">
        <v>725</v>
      </c>
      <c r="BN62" s="140">
        <v>768000.0</v>
      </c>
      <c r="BO62" s="140">
        <v>768000.0</v>
      </c>
      <c r="BP62" s="140" t="s">
        <v>725</v>
      </c>
      <c r="BQ62" s="140">
        <v>1000.0</v>
      </c>
      <c r="BR62" s="140">
        <v>1000.0</v>
      </c>
      <c r="BS62" s="140" t="s">
        <v>725</v>
      </c>
      <c r="BT62" s="140">
        <v>4.0</v>
      </c>
      <c r="BU62" s="140">
        <v>4.0</v>
      </c>
      <c r="BV62" s="140">
        <v>1.0</v>
      </c>
      <c r="BY62" s="140" t="s">
        <v>725</v>
      </c>
      <c r="BZ62" s="6">
        <v>10000.0</v>
      </c>
      <c r="CA62" s="140">
        <v>10000.0</v>
      </c>
      <c r="CC62" s="140" t="s">
        <v>725</v>
      </c>
      <c r="CD62" s="6">
        <v>10000.0</v>
      </c>
      <c r="CE62" s="140">
        <v>10000.0</v>
      </c>
    </row>
    <row r="63">
      <c r="B63" s="135"/>
      <c r="C63" s="136"/>
      <c r="D63" s="137"/>
      <c r="E63" s="137"/>
      <c r="F63" s="137"/>
      <c r="G63" s="138"/>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8"/>
      <c r="AH63" s="137"/>
      <c r="AI63" s="137"/>
      <c r="AJ63" s="137"/>
      <c r="AK63" s="137"/>
      <c r="AL63" s="137"/>
      <c r="AM63" s="137"/>
      <c r="AN63" s="137"/>
      <c r="AO63" s="137"/>
      <c r="AP63" s="137"/>
      <c r="AQ63" s="137"/>
      <c r="AR63" s="137"/>
      <c r="AS63" s="137"/>
      <c r="AT63" s="138"/>
      <c r="AU63" s="137"/>
      <c r="AV63" s="137"/>
      <c r="AW63" s="137"/>
      <c r="AX63" s="137"/>
      <c r="AY63" s="137"/>
      <c r="AZ63" s="137"/>
      <c r="BA63" s="137"/>
      <c r="BB63" s="137"/>
      <c r="BC63" s="137"/>
      <c r="BD63" s="137"/>
      <c r="BE63" s="137"/>
      <c r="BF63" s="137"/>
      <c r="BG63" s="137"/>
      <c r="BH63" s="137"/>
      <c r="BI63" s="139"/>
      <c r="BK63" s="22"/>
      <c r="BM63" s="140" t="s">
        <v>726</v>
      </c>
      <c r="BN63" s="140">
        <v>624000.0</v>
      </c>
      <c r="BO63" s="140">
        <v>1248000.0</v>
      </c>
      <c r="BP63" s="140" t="s">
        <v>726</v>
      </c>
      <c r="BQ63" s="140">
        <v>1300.0</v>
      </c>
      <c r="BR63" s="140">
        <v>650.0</v>
      </c>
      <c r="BS63" s="140" t="s">
        <v>726</v>
      </c>
      <c r="BT63" s="140">
        <v>3.0</v>
      </c>
      <c r="BU63" s="140">
        <v>4.0</v>
      </c>
      <c r="BV63" s="140">
        <v>1.0</v>
      </c>
      <c r="BY63" s="140" t="s">
        <v>726</v>
      </c>
      <c r="BZ63" s="6">
        <v>1000.0</v>
      </c>
      <c r="CA63" s="140">
        <v>1000.0</v>
      </c>
      <c r="CC63" s="140" t="s">
        <v>726</v>
      </c>
      <c r="CD63" s="6">
        <v>10000.0</v>
      </c>
      <c r="CE63" s="140">
        <v>10000.0</v>
      </c>
    </row>
    <row r="64">
      <c r="B64" s="141" t="s">
        <v>722</v>
      </c>
      <c r="C64" s="142"/>
      <c r="D64" s="143"/>
      <c r="E64" s="143"/>
      <c r="F64" s="144"/>
      <c r="G64" s="145"/>
      <c r="H64" s="146" t="s">
        <v>351</v>
      </c>
      <c r="I64" s="147" t="str">
        <f>VLOOKUP(H64,'Machine List'!$A$1:$I$300,9,FALSE)</f>
        <v>1T</v>
      </c>
      <c r="J64" s="147">
        <f>IF(VLOOKUP(H64,'Machine List'!$A$1:$I$300,5,FALSE)="Multi",IF(VLOOKUP(H64,'Machine List'!$A$1:$I$300,6,FALSE)="Yes",AI64*3*10^AB64,AI64*(2*3)*10^(AB64-1)),0)</f>
        <v>0</v>
      </c>
      <c r="K64" s="147">
        <f>J64+IF(ISNUMBER(I64),I64,
  SWITCH(
      I64,
      "1T",1*10^AB64,
      "2T",2*10^AB64,
      "3T",3*10^AB64,
      "4T",4*10^AB64,
      "4000+500(7O-5)",4000+500*(7*I65-5),
      "13500 + 16C",13500+16*VLOOKUP(J66,'Machine Helper Sheet'!$G$1:$K$16,5,FALSE),
      1
  )
)</f>
        <v>10</v>
      </c>
      <c r="L64" s="147">
        <f>IF(VLOOKUP(H64,'Machine List'!$A$1:$I$300,5,FALSE)="Multi",IF(VLOOKUP(H64,'Machine List'!$A$1:$I$300,6,FALSE)="Yes",AW64*3*10^AV64,AW64*(2*3)*10^(AV64-1)),0)</f>
        <v>0</v>
      </c>
      <c r="M64" s="147">
        <f>L64+IF(ISNUMBER(I64),I64,
  SWITCH(
      I64,
      "1T",1*10^AV64,
      "2T",2*10^AV64,
      "3T",3*10^AV64,
      "4T",4*10^AV64,
      "4000+500(7O-5)",4000+500*(7*I65-5),
      1
  )
)</f>
        <v>10000</v>
      </c>
      <c r="N64" s="147" t="str">
        <f>VLOOKUP(H64,'Machine List'!$A$1:$I$300,8,FALSE)</f>
        <v>Tier</v>
      </c>
      <c r="O64" s="147">
        <f>IF(ISNUMBER(N64),N64,10^AB64)</f>
        <v>10</v>
      </c>
      <c r="P64" s="147">
        <f>IF(ISNUMBER(N64),N64,10^AV64)</f>
        <v>10000</v>
      </c>
      <c r="Q64" s="147">
        <f>VLOOKUP(H64,'Machine List'!$A$1:$B$138,2,FALSE)</f>
        <v>1</v>
      </c>
      <c r="R64" s="147" t="s">
        <v>277</v>
      </c>
      <c r="S64" s="143">
        <f>IF(ISNUMBER(Q64),Q64,
  SWITCH(
      Q64,
      "1",1,
      "2T",AB64*2,
      "4T",AB64*4,
      "6T",AB64*6,
      "8T",AB64*8,
      "10T",AB64*10,
      "12T",AB64*12,
      "14T",AB64*14,
      "16T",AB64*16,
      "24T",AB64*24,
      "2(T+1)",2*(AB64+1),
      "1T*C",AB64*J66,
      "2*P",L66*2,
      1
  )
)</f>
        <v>1</v>
      </c>
      <c r="T64" s="38" t="s">
        <v>277</v>
      </c>
      <c r="U64" s="147">
        <f>IF(OR(T64="No",T64=""),S64,T64)</f>
        <v>1</v>
      </c>
      <c r="V64" s="147">
        <f>IF(ISNUMBER(Q64),Q64,
  SWITCH(
      Q64,
      "1",1,
      "2T",AV64*2,
      "4T",AV64*4,
      "6T",AV64*6,
      "8T",AV64*8,
      "10T",AV64*10,
      "12T",AV64*12,
      "14T",AV64*14,
      "16T",AV64*16,
      "24T",AV64*24,
      "2(T+1)",2*(AV64+1),
      "1T*C",AV64*J66,
      "2*P",L66*2,
      1
  )
)</f>
        <v>1</v>
      </c>
      <c r="W64" s="147" t="str">
        <f>T64</f>
        <v>No</v>
      </c>
      <c r="X64" s="147">
        <f>IF(OR(W64="No",W64=""),V64,W64)</f>
        <v>1</v>
      </c>
      <c r="Y64" s="38">
        <f>VLOOKUP(H64,'Machine List'!$A$1:$C$138,3,FALSE)</f>
        <v>1</v>
      </c>
      <c r="Z64" s="38">
        <f>VLOOKUP(H64,'Machine List'!$A$1:$D$138,4,FALSE)</f>
        <v>1</v>
      </c>
      <c r="AA64" s="147" t="s">
        <v>390</v>
      </c>
      <c r="AB64" s="147">
        <f>VLOOKUP(AA64,'Item Helper Sheet'!$A$2:$B$16,2,FALSE)</f>
        <v>1</v>
      </c>
      <c r="AC64" s="147">
        <v>2.0</v>
      </c>
      <c r="AD64" s="147">
        <f>20*20</f>
        <v>400</v>
      </c>
      <c r="AE64" s="147">
        <f>AD64*I66</f>
        <v>400</v>
      </c>
      <c r="AF64" s="147">
        <f>AC64*AE64</f>
        <v>800</v>
      </c>
      <c r="AG64" s="148"/>
      <c r="AH64" s="147" t="str">
        <f>AA64</f>
        <v>01 - LV</v>
      </c>
      <c r="AI64" s="147">
        <v>1.0</v>
      </c>
      <c r="AJ64" s="147">
        <v>1.0</v>
      </c>
      <c r="AK64" s="147">
        <f>AJ64*8*4^AB64</f>
        <v>32</v>
      </c>
      <c r="AL64" s="147">
        <f>MIN(ROUNDDOWN(AK64/AN64,0),U64)</f>
        <v>1</v>
      </c>
      <c r="AM64" s="147">
        <f>IF(OR(T64="No",T64=""),AI64*S64,AI64*T64)</f>
        <v>1</v>
      </c>
      <c r="AN64" s="147">
        <f>ROUNDUP(AC64*VLOOKUP(H64,'Machine List'!$A$2:$D$219,4,FALSE),0)</f>
        <v>2</v>
      </c>
      <c r="AO64" s="147">
        <f>AN64*AM64</f>
        <v>2</v>
      </c>
      <c r="AP64" s="147">
        <f>ROUNDUP(AD64*I66,0)</f>
        <v>400</v>
      </c>
      <c r="AQ64" s="38">
        <f>IF(ISNUMBER(Y64),ROUNDUP(AP64/Y64,0),
  SWITCH(
      Y64,
      "1+0.5C",ROUNDUP(AP64/(1+0.5*VLOOKUP(J66,'Machine Helper Sheet'!$G$1:$K$16,2,FALSE)),0),
      ROUNDUP(AP64/1,0)
  )
)</f>
        <v>400</v>
      </c>
      <c r="AR64" s="147">
        <f>ROUNDUP(AQ64/AM64,0)</f>
        <v>400</v>
      </c>
      <c r="AS64" s="147">
        <f>AO64*AR64</f>
        <v>800</v>
      </c>
      <c r="AT64" s="148"/>
      <c r="AU64" s="147" t="s">
        <v>401</v>
      </c>
      <c r="AV64" s="147">
        <f>VLOOKUP(AU64,'Item Helper Sheet'!$A$2:$B$16,2,FALSE)</f>
        <v>4</v>
      </c>
      <c r="AW64" s="147">
        <f>AI64</f>
        <v>1</v>
      </c>
      <c r="AX64" s="147">
        <v>1.0</v>
      </c>
      <c r="AY64" s="147">
        <f>AX64*8*4^AV64</f>
        <v>2048</v>
      </c>
      <c r="AZ64" s="147">
        <f>MIN(ROUNDDOWN(AY64/AN64,0),X64)</f>
        <v>1</v>
      </c>
      <c r="BA64" s="147">
        <f>AZ64*AW64</f>
        <v>1</v>
      </c>
      <c r="BB64" s="147">
        <f>AN64</f>
        <v>2</v>
      </c>
      <c r="BC64" s="147">
        <f>MIN(AV64-AB64,IF(AY64&gt;=BB65*4,
IF(AY64&gt;=BB65*4^2,
IF(AY64&gt;=BB65*4^3,
IF(AY64&gt;=BB65*4^4,
IF(AY64&gt;=BB65*4^5,
IF(AY64&gt;=BB65*4^6,
IF(AY64&gt;=BB65*4^7,
IF(AY64&gt;=BB65*4^8,
IF(AY64&gt;=BB65*4^9,
IF(AY64&gt;=BB65*4^10,
9),
8),
7),
6),
5),
4),
3),
2),
1),
0))</f>
        <v>3</v>
      </c>
      <c r="BD64" s="147">
        <f>BB64*AZ64*4^BC64</f>
        <v>128</v>
      </c>
      <c r="BE64" s="147">
        <f>BD64*AW64</f>
        <v>128</v>
      </c>
      <c r="BF64" s="143">
        <f>ROUNDUP(IF(R64="Yes",AP64/(2^((BC64)*2)),AP64/(2^(BC64))),0)</f>
        <v>50</v>
      </c>
      <c r="BG64" s="45">
        <f>IF(ISNUMBER(Y64),ROUNDUP(BF64/Y64,0),
  SWITCH(
      Y64,
      "1+0.5C",ROUNDUP(BF64/(1+0.5*VLOOKUP(J66,'Machine Helper Sheet'!$G$1:$K$16,2,FALSE)),0),
      ROUNDUP(BF64/1,0)
  )
)</f>
        <v>50</v>
      </c>
      <c r="BH64" s="143">
        <f>ROUNDUP(BG64/BA64,0)</f>
        <v>50</v>
      </c>
      <c r="BI64" s="149">
        <f>BH64*BE64</f>
        <v>6400</v>
      </c>
      <c r="BK64" s="22"/>
      <c r="BM64" s="140" t="s">
        <v>727</v>
      </c>
      <c r="BN64" s="140">
        <v>2208000.0</v>
      </c>
      <c r="BO64" s="140">
        <v>4416000.0</v>
      </c>
      <c r="BP64" s="140" t="s">
        <v>727</v>
      </c>
      <c r="BQ64" s="140">
        <v>4600.0</v>
      </c>
      <c r="BR64" s="140">
        <v>2300.0</v>
      </c>
      <c r="BS64" s="140" t="s">
        <v>727</v>
      </c>
      <c r="BT64" s="140">
        <v>3.0</v>
      </c>
      <c r="BU64" s="140">
        <v>4.0</v>
      </c>
      <c r="BV64" s="140">
        <v>1.0</v>
      </c>
      <c r="BY64" s="140" t="s">
        <v>727</v>
      </c>
      <c r="BZ64" s="6">
        <v>1000.0</v>
      </c>
      <c r="CA64" s="140">
        <v>1000.0</v>
      </c>
      <c r="CC64" s="140" t="s">
        <v>727</v>
      </c>
      <c r="CD64" s="6">
        <v>10000.0</v>
      </c>
      <c r="CE64" s="140">
        <v>10000.0</v>
      </c>
    </row>
    <row r="65">
      <c r="B65" s="150"/>
      <c r="C65" s="147" t="s">
        <v>257</v>
      </c>
      <c r="D65" s="147">
        <f>1*I66</f>
        <v>1</v>
      </c>
      <c r="E65" s="147" t="s">
        <v>258</v>
      </c>
      <c r="F65" s="152">
        <f>5*I66</f>
        <v>5</v>
      </c>
      <c r="G65" s="138"/>
      <c r="H65" s="153" t="s">
        <v>584</v>
      </c>
      <c r="I65" s="143">
        <f t="array" ref="I65">match(TRUE,ISBLANK(F65:F77),0)-1</f>
        <v>1</v>
      </c>
      <c r="J65" s="154" t="s">
        <v>420</v>
      </c>
      <c r="K65" s="154" t="s">
        <v>585</v>
      </c>
      <c r="L65" s="100" t="s">
        <v>704</v>
      </c>
      <c r="M65" s="147"/>
      <c r="N65" s="147"/>
      <c r="O65" s="147"/>
      <c r="P65" s="147"/>
      <c r="Q65" s="147"/>
      <c r="R65" s="155"/>
      <c r="S65" s="155"/>
      <c r="T65" s="155"/>
      <c r="U65" s="143"/>
      <c r="V65" s="143"/>
      <c r="W65" s="143"/>
      <c r="X65" s="143"/>
      <c r="Y65" s="143"/>
      <c r="Z65" s="143"/>
      <c r="AA65" s="143"/>
      <c r="AB65" s="143"/>
      <c r="AC65" s="143"/>
      <c r="AD65" s="143"/>
      <c r="AE65" s="143"/>
      <c r="AF65" s="143"/>
      <c r="AG65" s="156"/>
      <c r="AH65" s="143"/>
      <c r="AI65" s="143"/>
      <c r="AJ65" s="143"/>
      <c r="AK65" s="143"/>
      <c r="AL65" s="143"/>
      <c r="AM65" s="143"/>
      <c r="AN65" s="143"/>
      <c r="AO65" s="143"/>
      <c r="AP65" s="143"/>
      <c r="AQ65" s="143"/>
      <c r="AR65" s="143"/>
      <c r="AS65" s="143"/>
      <c r="AT65" s="156"/>
      <c r="AU65" s="143"/>
      <c r="AV65" s="143"/>
      <c r="AW65" s="143"/>
      <c r="AX65" s="143"/>
      <c r="AY65" s="143"/>
      <c r="AZ65" s="143"/>
      <c r="BA65" s="143"/>
      <c r="BB65" s="143">
        <f>BB64*AZ64</f>
        <v>2</v>
      </c>
      <c r="BC65" s="143"/>
      <c r="BD65" s="143"/>
      <c r="BE65" s="143"/>
      <c r="BF65" s="143"/>
      <c r="BG65" s="143"/>
      <c r="BH65" s="143"/>
      <c r="BI65" s="149"/>
      <c r="BK65" s="22"/>
      <c r="BM65" s="6" t="s">
        <v>728</v>
      </c>
      <c r="BN65" s="6">
        <v>8.2944E8</v>
      </c>
      <c r="BO65" s="6">
        <v>8.2944E8</v>
      </c>
      <c r="BP65" s="6" t="s">
        <v>728</v>
      </c>
      <c r="BQ65" s="6">
        <v>432000.0</v>
      </c>
      <c r="BR65" s="6">
        <v>216000.0</v>
      </c>
      <c r="BS65" s="6" t="s">
        <v>728</v>
      </c>
      <c r="BT65" s="6">
        <v>4.0</v>
      </c>
      <c r="BU65" s="6">
        <v>4.0</v>
      </c>
      <c r="BV65" s="6">
        <v>2.0</v>
      </c>
      <c r="BY65" s="6" t="s">
        <v>728</v>
      </c>
      <c r="BZ65" s="6">
        <v>16000.0</v>
      </c>
      <c r="CA65" s="6">
        <v>10000.0</v>
      </c>
      <c r="CC65" s="6" t="s">
        <v>728</v>
      </c>
      <c r="CD65" s="6">
        <v>44000.0</v>
      </c>
      <c r="CE65" s="6">
        <v>10000.0</v>
      </c>
    </row>
    <row r="66">
      <c r="B66" s="150"/>
      <c r="C66" s="151"/>
      <c r="D66" s="147"/>
      <c r="E66" s="147"/>
      <c r="F66" s="152"/>
      <c r="G66" s="138"/>
      <c r="H66" s="157" t="s">
        <v>502</v>
      </c>
      <c r="I66" s="158">
        <v>1.0</v>
      </c>
      <c r="J66" s="154" t="s">
        <v>424</v>
      </c>
      <c r="K66" s="154">
        <v>0.0</v>
      </c>
      <c r="L66" s="100">
        <v>0.0</v>
      </c>
      <c r="M66" s="143"/>
      <c r="N66" s="143"/>
      <c r="O66" s="143"/>
      <c r="P66" s="143"/>
      <c r="Q66" s="143"/>
      <c r="R66" s="143"/>
      <c r="S66" s="155"/>
      <c r="T66" s="155"/>
      <c r="U66" s="143"/>
      <c r="V66" s="143"/>
      <c r="W66" s="143"/>
      <c r="X66" s="143"/>
      <c r="Y66" s="143"/>
      <c r="Z66" s="143"/>
      <c r="AA66" s="143"/>
      <c r="AB66" s="143"/>
      <c r="AC66" s="143"/>
      <c r="AD66" s="143"/>
      <c r="AE66" s="143"/>
      <c r="AF66" s="143"/>
      <c r="AG66" s="156"/>
      <c r="AH66" s="143"/>
      <c r="AI66" s="143"/>
      <c r="AJ66" s="143"/>
      <c r="AK66" s="143"/>
      <c r="AL66" s="143"/>
      <c r="AM66" s="143"/>
      <c r="AN66" s="143"/>
      <c r="AO66" s="143"/>
      <c r="AP66" s="143"/>
      <c r="AQ66" s="143"/>
      <c r="AR66" s="143"/>
      <c r="AS66" s="143"/>
      <c r="AT66" s="156"/>
      <c r="AU66" s="143"/>
      <c r="AV66" s="143"/>
      <c r="AW66" s="143"/>
      <c r="AX66" s="143"/>
      <c r="AY66" s="143"/>
      <c r="AZ66" s="143"/>
      <c r="BA66" s="143"/>
      <c r="BB66" s="143"/>
      <c r="BC66" s="143"/>
      <c r="BD66" s="143"/>
      <c r="BE66" s="143"/>
      <c r="BF66" s="143"/>
      <c r="BG66" s="143"/>
      <c r="BH66" s="143"/>
      <c r="BI66" s="149"/>
      <c r="BK66" s="22"/>
      <c r="BM66" s="6" t="s">
        <v>729</v>
      </c>
      <c r="BN66" s="6">
        <v>240.0</v>
      </c>
      <c r="BO66" s="6">
        <v>240000.0</v>
      </c>
      <c r="BP66" s="6" t="s">
        <v>729</v>
      </c>
      <c r="BQ66" s="6">
        <v>240000.0</v>
      </c>
      <c r="BR66" s="6">
        <v>240000.0</v>
      </c>
      <c r="BS66" s="6" t="s">
        <v>729</v>
      </c>
      <c r="BT66" s="6">
        <v>4.0</v>
      </c>
      <c r="BU66" s="6">
        <v>4.0</v>
      </c>
      <c r="BV66" s="6">
        <v>1.0</v>
      </c>
      <c r="BY66" s="6" t="s">
        <v>729</v>
      </c>
      <c r="BZ66" s="6">
        <v>16000.0</v>
      </c>
      <c r="CA66" s="6">
        <v>10000.0</v>
      </c>
      <c r="CC66" s="6" t="s">
        <v>729</v>
      </c>
      <c r="CD66" s="6">
        <v>16000.0</v>
      </c>
      <c r="CE66" s="6">
        <v>10000.0</v>
      </c>
    </row>
    <row r="67">
      <c r="B67" s="135"/>
      <c r="C67" s="136"/>
      <c r="D67" s="137"/>
      <c r="E67" s="137"/>
      <c r="F67" s="137"/>
      <c r="G67" s="138"/>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8"/>
      <c r="AH67" s="137"/>
      <c r="AI67" s="137"/>
      <c r="AJ67" s="137"/>
      <c r="AK67" s="137"/>
      <c r="AL67" s="137"/>
      <c r="AM67" s="137"/>
      <c r="AN67" s="137"/>
      <c r="AO67" s="137"/>
      <c r="AP67" s="137"/>
      <c r="AQ67" s="137"/>
      <c r="AR67" s="137"/>
      <c r="AS67" s="137"/>
      <c r="AT67" s="138"/>
      <c r="AU67" s="137"/>
      <c r="AV67" s="137"/>
      <c r="AW67" s="137"/>
      <c r="AX67" s="137"/>
      <c r="AY67" s="137"/>
      <c r="AZ67" s="137"/>
      <c r="BA67" s="137"/>
      <c r="BB67" s="137"/>
      <c r="BC67" s="137"/>
      <c r="BD67" s="137"/>
      <c r="BE67" s="137"/>
      <c r="BF67" s="137"/>
      <c r="BG67" s="137"/>
      <c r="BH67" s="137"/>
      <c r="BI67" s="139"/>
      <c r="BK67" s="22"/>
      <c r="BM67" s="6" t="s">
        <v>487</v>
      </c>
      <c r="BN67" s="6">
        <v>1.38275594E9</v>
      </c>
      <c r="BO67" s="6">
        <v>1.39619552E9</v>
      </c>
    </row>
    <row r="68">
      <c r="B68" s="141" t="s">
        <v>723</v>
      </c>
      <c r="C68" s="142"/>
      <c r="D68" s="143"/>
      <c r="E68" s="143"/>
      <c r="F68" s="144"/>
      <c r="G68" s="145"/>
      <c r="H68" s="146" t="s">
        <v>301</v>
      </c>
      <c r="I68" s="147">
        <f>VLOOKUP(H68,'Machine List'!$A$1:$I$300,9,FALSE)</f>
        <v>1000</v>
      </c>
      <c r="J68" s="147">
        <f>IF(VLOOKUP(H68,'Machine List'!$A$1:$I$300,5,FALSE)="Multi",IF(VLOOKUP(H68,'Machine List'!$A$1:$I$300,6,FALSE)="Yes",AI68*3*10^AB68,AI68*(2*3)*10^(AB68-1)),0)</f>
        <v>600</v>
      </c>
      <c r="K68" s="147">
        <f>J68+IF(ISNUMBER(I68),I68,
  SWITCH(
      I68,
      "1T",1*10^AB68,
      "2T",2*10^AB68,
      "3T",3*10^AB68,
      "4T",4*10^AB68,
      "4000+500(7O-5)",4000+500*(7*I69-5),
      "13500 + 16C",13500+16*VLOOKUP(J70,'Machine Helper Sheet'!$G$1:$K$16,5,FALSE),
      1
  )
)</f>
        <v>1600</v>
      </c>
      <c r="L68" s="147">
        <f>IF(VLOOKUP(H68,'Machine List'!$A$1:$I$300,5,FALSE)="Multi",IF(VLOOKUP(H68,'Machine List'!$A$1:$I$300,6,FALSE)="Yes",AW68*3*10^AV68,AW68*(2*3)*10^(AV68-1)),0)</f>
        <v>6000</v>
      </c>
      <c r="M68" s="147">
        <f>L68+IF(ISNUMBER(I68),I68,
  SWITCH(
      I68,
      "1T",1*10^AV68,
      "2T",2*10^AV68,
      "3T",3*10^AV68,
      "4T",4*10^AV68,
      "4000+500(7O-5)",4000+500*(7*I69-5),
      1
  )
)</f>
        <v>7000</v>
      </c>
      <c r="N68" s="147" t="str">
        <f>VLOOKUP(H68,'Machine List'!$A$1:$I$300,8,FALSE)</f>
        <v>Tier</v>
      </c>
      <c r="O68" s="147">
        <f>IF(ISNUMBER(N68),N68,10^AB68)</f>
        <v>1000</v>
      </c>
      <c r="P68" s="147">
        <f>IF(ISNUMBER(N68),N68,10^AV68)</f>
        <v>10000</v>
      </c>
      <c r="Q68" s="147">
        <f>VLOOKUP(H68,'Machine List'!$A$1:$B$138,2,FALSE)</f>
        <v>1</v>
      </c>
      <c r="R68" s="147" t="s">
        <v>277</v>
      </c>
      <c r="S68" s="143">
        <f>IF(ISNUMBER(Q68),Q68,
  SWITCH(
      Q68,
      "1",1,
      "2T",AB68*2,
      "4T",AB68*4,
      "6T",AB68*6,
      "8T",AB68*8,
      "10T",AB68*10,
      "12T",AB68*12,
      "14T",AB68*14,
      "16T",AB68*16,
      "24T",AB68*24,
      "2(T+1)",2*(AB68+1),
      "1T*C",AB68*J70,
      "2*P",L70*2,
      1
  )
)</f>
        <v>1</v>
      </c>
      <c r="T68" s="38" t="s">
        <v>277</v>
      </c>
      <c r="U68" s="147">
        <f>IF(OR(T68="No",T68=""),S68,T68)</f>
        <v>1</v>
      </c>
      <c r="V68" s="147">
        <f>IF(ISNUMBER(Q68),Q68,
  SWITCH(
      Q68,
      "1",1,
      "2T",AV68*2,
      "4T",AV68*4,
      "6T",AV68*6,
      "8T",AV68*8,
      "10T",AV68*10,
      "12T",AV68*12,
      "14T",AV68*14,
      "16T",AV68*16,
      "24T",AV68*24,
      "2(T+1)",2*(AV68+1),
      "1T*C",AV68*J70,
      "2*P",L70*2,
      1
  )
)</f>
        <v>1</v>
      </c>
      <c r="W68" s="147" t="str">
        <f>T68</f>
        <v>No</v>
      </c>
      <c r="X68" s="147">
        <f>IF(OR(W68="No",W68=""),V68,W68)</f>
        <v>1</v>
      </c>
      <c r="Y68" s="38">
        <f>VLOOKUP(H68,'Machine List'!$A$1:$C$138,3,FALSE)</f>
        <v>1</v>
      </c>
      <c r="Z68" s="38">
        <f>VLOOKUP(H68,'Machine List'!$A$1:$D$138,4,FALSE)</f>
        <v>1</v>
      </c>
      <c r="AA68" s="147" t="s">
        <v>397</v>
      </c>
      <c r="AB68" s="147">
        <f>VLOOKUP(AA68,'Item Helper Sheet'!$A$2:$B$16,2,FALSE)</f>
        <v>3</v>
      </c>
      <c r="AC68" s="147">
        <v>340.0</v>
      </c>
      <c r="AD68" s="147">
        <f>60*20</f>
        <v>1200</v>
      </c>
      <c r="AE68" s="147">
        <f>AD68*I70</f>
        <v>6000</v>
      </c>
      <c r="AF68" s="147">
        <f>AC68*AE68</f>
        <v>2040000</v>
      </c>
      <c r="AG68" s="148"/>
      <c r="AH68" s="147" t="str">
        <f>AA68</f>
        <v>03 - HV</v>
      </c>
      <c r="AI68" s="147">
        <v>1.0</v>
      </c>
      <c r="AJ68" s="147">
        <v>1.0</v>
      </c>
      <c r="AK68" s="147">
        <f>AJ68*8*4^AB68</f>
        <v>512</v>
      </c>
      <c r="AL68" s="147">
        <f>MIN(ROUNDDOWN(AK68/AN68,0),U68)</f>
        <v>1</v>
      </c>
      <c r="AM68" s="147">
        <f>IF(OR(T68="No",T68=""),AI68*S68,AI68*T68)</f>
        <v>1</v>
      </c>
      <c r="AN68" s="147">
        <f>ROUNDUP(AC68*VLOOKUP(H68,'Machine List'!$A$2:$D$219,4,FALSE),0)</f>
        <v>340</v>
      </c>
      <c r="AO68" s="147">
        <f>AN68*AM68</f>
        <v>340</v>
      </c>
      <c r="AP68" s="147">
        <f>ROUNDUP(AD68*I70,0)</f>
        <v>6000</v>
      </c>
      <c r="AQ68" s="38">
        <f>IF(ISNUMBER(Y68),ROUNDUP(AP68/Y68,0),
  SWITCH(
      Y68,
      "1+0.5C",ROUNDUP(AP68/(1+0.5*VLOOKUP(J70,'Machine Helper Sheet'!$G$1:$K$16,2,FALSE)),0),
      ROUNDUP(AP68/1,0)
  )
)</f>
        <v>6000</v>
      </c>
      <c r="AR68" s="147">
        <f>ROUNDUP(AQ68/AM68,0)</f>
        <v>6000</v>
      </c>
      <c r="AS68" s="147">
        <f>AO68*AR68</f>
        <v>2040000</v>
      </c>
      <c r="AT68" s="148"/>
      <c r="AU68" s="147" t="s">
        <v>401</v>
      </c>
      <c r="AV68" s="147">
        <f>VLOOKUP(AU68,'Item Helper Sheet'!$A$2:$B$16,2,FALSE)</f>
        <v>4</v>
      </c>
      <c r="AW68" s="147">
        <f>AI68</f>
        <v>1</v>
      </c>
      <c r="AX68" s="147">
        <v>1.0</v>
      </c>
      <c r="AY68" s="147">
        <f>AX68*8*4^AV68</f>
        <v>2048</v>
      </c>
      <c r="AZ68" s="147">
        <f>MIN(ROUNDDOWN(AY68/AN68,0),X68)</f>
        <v>1</v>
      </c>
      <c r="BA68" s="147">
        <f>AZ68*AW68</f>
        <v>1</v>
      </c>
      <c r="BB68" s="147">
        <f>AN68</f>
        <v>340</v>
      </c>
      <c r="BC68" s="147">
        <f>MIN(AV68-AB68,IF(AY68&gt;=BB69*4,
IF(AY68&gt;=BB69*4^2,
IF(AY68&gt;=BB69*4^3,
IF(AY68&gt;=BB69*4^4,
IF(AY68&gt;=BB69*4^5,
IF(AY68&gt;=BB69*4^6,
IF(AY68&gt;=BB69*4^7,
IF(AY68&gt;=BB69*4^8,
IF(AY68&gt;=BB69*4^9,
IF(AY68&gt;=BB69*4^10,
9),
8),
7),
6),
5),
4),
3),
2),
1),
0))</f>
        <v>1</v>
      </c>
      <c r="BD68" s="147">
        <f>BB68*AZ68*4^BC68</f>
        <v>1360</v>
      </c>
      <c r="BE68" s="147">
        <f>BD68*AW68</f>
        <v>1360</v>
      </c>
      <c r="BF68" s="143">
        <f>ROUNDUP(IF(R68="Yes",AP68/(2^((BC68)*2)),AP68/(2^(BC68))),0)</f>
        <v>3000</v>
      </c>
      <c r="BG68" s="45">
        <f>IF(ISNUMBER(Y68),ROUNDUP(BF68/Y68,0),
  SWITCH(
      Y68,
      "1+0.5C",ROUNDUP(BF68/(1+0.5*VLOOKUP(J70,'Machine Helper Sheet'!$G$1:$K$16,2,FALSE)),0),
      ROUNDUP(BF68/1,0)
  )
)</f>
        <v>3000</v>
      </c>
      <c r="BH68" s="143">
        <f>ROUNDUP(BG68/BA68,0)</f>
        <v>3000</v>
      </c>
      <c r="BI68" s="149">
        <f>BH68*BE68</f>
        <v>4080000</v>
      </c>
      <c r="BK68" s="22"/>
    </row>
    <row r="69">
      <c r="B69" s="150"/>
      <c r="C69" s="147" t="s">
        <v>258</v>
      </c>
      <c r="D69" s="147">
        <f>1*I70</f>
        <v>5</v>
      </c>
      <c r="E69" s="147" t="s">
        <v>49</v>
      </c>
      <c r="F69" s="152">
        <f>1*I70</f>
        <v>5</v>
      </c>
      <c r="G69" s="138"/>
      <c r="H69" s="153" t="s">
        <v>584</v>
      </c>
      <c r="I69" s="143">
        <f t="array" ref="I69">match(TRUE,ISBLANK(F69:F81),0)-1</f>
        <v>1</v>
      </c>
      <c r="J69" s="154" t="s">
        <v>420</v>
      </c>
      <c r="K69" s="154" t="s">
        <v>585</v>
      </c>
      <c r="L69" s="100" t="s">
        <v>704</v>
      </c>
      <c r="M69" s="147"/>
      <c r="N69" s="147"/>
      <c r="O69" s="147"/>
      <c r="P69" s="147"/>
      <c r="Q69" s="147"/>
      <c r="R69" s="155"/>
      <c r="S69" s="155"/>
      <c r="T69" s="155"/>
      <c r="U69" s="143"/>
      <c r="V69" s="143"/>
      <c r="W69" s="143"/>
      <c r="X69" s="143"/>
      <c r="Y69" s="143"/>
      <c r="Z69" s="143"/>
      <c r="AA69" s="143"/>
      <c r="AB69" s="143"/>
      <c r="AC69" s="143"/>
      <c r="AD69" s="143"/>
      <c r="AE69" s="143"/>
      <c r="AF69" s="143"/>
      <c r="AG69" s="156"/>
      <c r="AH69" s="143"/>
      <c r="AI69" s="143"/>
      <c r="AJ69" s="143"/>
      <c r="AK69" s="143"/>
      <c r="AL69" s="143"/>
      <c r="AM69" s="143"/>
      <c r="AN69" s="143"/>
      <c r="AO69" s="143"/>
      <c r="AP69" s="143"/>
      <c r="AQ69" s="143"/>
      <c r="AR69" s="143"/>
      <c r="AS69" s="143"/>
      <c r="AT69" s="156"/>
      <c r="AU69" s="143"/>
      <c r="AV69" s="143"/>
      <c r="AW69" s="143"/>
      <c r="AX69" s="143"/>
      <c r="AY69" s="143"/>
      <c r="AZ69" s="143"/>
      <c r="BA69" s="143"/>
      <c r="BB69" s="143">
        <f>BB68*AZ68</f>
        <v>340</v>
      </c>
      <c r="BC69" s="143"/>
      <c r="BD69" s="143"/>
      <c r="BE69" s="143"/>
      <c r="BF69" s="143"/>
      <c r="BG69" s="143"/>
      <c r="BH69" s="143"/>
      <c r="BI69" s="149"/>
      <c r="BK69" s="22"/>
    </row>
    <row r="70">
      <c r="B70" s="150"/>
      <c r="C70" s="151"/>
      <c r="D70" s="147"/>
      <c r="E70" s="147"/>
      <c r="F70" s="152"/>
      <c r="G70" s="138"/>
      <c r="H70" s="157" t="s">
        <v>502</v>
      </c>
      <c r="I70" s="158">
        <v>5.0</v>
      </c>
      <c r="J70" s="154" t="s">
        <v>427</v>
      </c>
      <c r="K70" s="154">
        <v>0.0</v>
      </c>
      <c r="L70" s="100">
        <v>0.0</v>
      </c>
      <c r="M70" s="143"/>
      <c r="N70" s="143"/>
      <c r="O70" s="143"/>
      <c r="P70" s="143"/>
      <c r="Q70" s="143"/>
      <c r="R70" s="143"/>
      <c r="S70" s="155"/>
      <c r="T70" s="155"/>
      <c r="U70" s="143"/>
      <c r="V70" s="143"/>
      <c r="W70" s="143"/>
      <c r="X70" s="143"/>
      <c r="Y70" s="143"/>
      <c r="Z70" s="143"/>
      <c r="AA70" s="143"/>
      <c r="AB70" s="143"/>
      <c r="AC70" s="143"/>
      <c r="AD70" s="143"/>
      <c r="AE70" s="143"/>
      <c r="AF70" s="143"/>
      <c r="AG70" s="156"/>
      <c r="AH70" s="143"/>
      <c r="AI70" s="143"/>
      <c r="AJ70" s="143"/>
      <c r="AK70" s="143"/>
      <c r="AL70" s="143"/>
      <c r="AM70" s="143"/>
      <c r="AN70" s="143"/>
      <c r="AO70" s="143"/>
      <c r="AP70" s="143"/>
      <c r="AQ70" s="143"/>
      <c r="AR70" s="143"/>
      <c r="AS70" s="143"/>
      <c r="AT70" s="156"/>
      <c r="AU70" s="143"/>
      <c r="AV70" s="143"/>
      <c r="AW70" s="143"/>
      <c r="AX70" s="143"/>
      <c r="AY70" s="143"/>
      <c r="AZ70" s="143"/>
      <c r="BA70" s="143"/>
      <c r="BB70" s="143"/>
      <c r="BC70" s="143"/>
      <c r="BD70" s="143"/>
      <c r="BE70" s="143"/>
      <c r="BF70" s="143"/>
      <c r="BG70" s="143"/>
      <c r="BH70" s="143"/>
      <c r="BI70" s="149"/>
      <c r="BK70" s="22"/>
      <c r="BM70" s="6" t="s">
        <v>475</v>
      </c>
      <c r="BN70" s="6" t="s">
        <v>462</v>
      </c>
      <c r="BO70" s="6"/>
      <c r="BP70" s="6"/>
      <c r="BQ70" s="6"/>
      <c r="BR70" s="6"/>
      <c r="BS70" s="6"/>
      <c r="BT70" s="6"/>
      <c r="BU70" s="6"/>
      <c r="BV70" s="6"/>
      <c r="BW70" s="6"/>
      <c r="BX70" s="6"/>
      <c r="BZ70" s="6" t="s">
        <v>619</v>
      </c>
      <c r="CA70" s="6" t="s">
        <v>495</v>
      </c>
      <c r="CB70" s="6"/>
      <c r="CC70" s="6"/>
      <c r="CD70" s="6"/>
      <c r="CE70" s="6"/>
      <c r="CG70" s="6" t="s">
        <v>560</v>
      </c>
      <c r="CH70" s="6" t="s">
        <v>694</v>
      </c>
      <c r="CI70" s="6"/>
      <c r="CJ70" s="6"/>
    </row>
    <row r="71">
      <c r="B71" s="135"/>
      <c r="C71" s="136"/>
      <c r="D71" s="137"/>
      <c r="E71" s="137"/>
      <c r="F71" s="137"/>
      <c r="G71" s="138"/>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8"/>
      <c r="AH71" s="137"/>
      <c r="AI71" s="137"/>
      <c r="AJ71" s="137"/>
      <c r="AK71" s="137"/>
      <c r="AL71" s="137"/>
      <c r="AM71" s="137"/>
      <c r="AN71" s="137"/>
      <c r="AO71" s="137"/>
      <c r="AP71" s="137"/>
      <c r="AQ71" s="137"/>
      <c r="AR71" s="137"/>
      <c r="AS71" s="137"/>
      <c r="AT71" s="138"/>
      <c r="AU71" s="137"/>
      <c r="AV71" s="137"/>
      <c r="AW71" s="137"/>
      <c r="AX71" s="137"/>
      <c r="AY71" s="137"/>
      <c r="AZ71" s="137"/>
      <c r="BA71" s="137"/>
      <c r="BB71" s="137"/>
      <c r="BC71" s="137"/>
      <c r="BD71" s="137"/>
      <c r="BE71" s="137"/>
      <c r="BF71" s="137"/>
      <c r="BG71" s="137"/>
      <c r="BH71" s="137"/>
      <c r="BI71" s="139"/>
      <c r="BK71" s="22"/>
      <c r="BM71" s="6" t="s">
        <v>457</v>
      </c>
      <c r="BN71" s="140" t="s">
        <v>287</v>
      </c>
      <c r="BO71" s="140" t="s">
        <v>376</v>
      </c>
      <c r="BP71" s="140" t="s">
        <v>297</v>
      </c>
      <c r="BQ71" s="140" t="s">
        <v>301</v>
      </c>
      <c r="BR71" s="140" t="s">
        <v>309</v>
      </c>
      <c r="BS71" s="140" t="s">
        <v>379</v>
      </c>
      <c r="BT71" s="6" t="s">
        <v>349</v>
      </c>
      <c r="BU71" s="6" t="s">
        <v>350</v>
      </c>
      <c r="BV71" s="140" t="s">
        <v>351</v>
      </c>
      <c r="BW71" s="6" t="s">
        <v>363</v>
      </c>
      <c r="BX71" s="6" t="s">
        <v>487</v>
      </c>
      <c r="BZ71" s="6" t="s">
        <v>462</v>
      </c>
      <c r="CA71" s="6" t="s">
        <v>390</v>
      </c>
      <c r="CB71" s="140" t="s">
        <v>393</v>
      </c>
      <c r="CC71" s="140" t="s">
        <v>397</v>
      </c>
      <c r="CD71" s="140" t="s">
        <v>401</v>
      </c>
      <c r="CE71" s="6" t="s">
        <v>487</v>
      </c>
      <c r="CG71" s="6" t="s">
        <v>462</v>
      </c>
      <c r="CH71" s="6">
        <v>1.0</v>
      </c>
      <c r="CI71" s="6" t="s">
        <v>378</v>
      </c>
      <c r="CJ71" s="6" t="s">
        <v>487</v>
      </c>
    </row>
    <row r="72">
      <c r="B72" s="141" t="s">
        <v>724</v>
      </c>
      <c r="C72" s="142"/>
      <c r="D72" s="143"/>
      <c r="E72" s="143"/>
      <c r="F72" s="144"/>
      <c r="G72" s="145"/>
      <c r="H72" s="146" t="s">
        <v>297</v>
      </c>
      <c r="I72" s="147" t="str">
        <f>VLOOKUP(H72,'Machine List'!$A$1:$I$300,9,FALSE)</f>
        <v>1T</v>
      </c>
      <c r="J72" s="147">
        <f>IF(VLOOKUP(H72,'Machine List'!$A$1:$I$300,5,FALSE)="Multi",IF(VLOOKUP(H72,'Machine List'!$A$1:$I$300,6,FALSE)="Yes",AI72*3*10^AB72,AI72*(2*3)*10^(AB72-1)),0)</f>
        <v>0</v>
      </c>
      <c r="K72" s="147">
        <f>J72+IF(ISNUMBER(I72),I72,
  SWITCH(
      I72,
      "1T",1*10^AB72,
      "2T",2*10^AB72,
      "3T",3*10^AB72,
      "4T",4*10^AB72,
      "4000+500(7O-5)",4000+500*(7*I73-5),
      "13500 + 16C",13500+16*VLOOKUP(J74,'Machine Helper Sheet'!$G$1:$K$16,5,FALSE),
      1
  )
)</f>
        <v>1000</v>
      </c>
      <c r="L72" s="147">
        <f>IF(VLOOKUP(H72,'Machine List'!$A$1:$I$300,5,FALSE)="Multi",IF(VLOOKUP(H72,'Machine List'!$A$1:$I$300,6,FALSE)="Yes",AW72*3*10^AV72,AW72*(2*3)*10^(AV72-1)),0)</f>
        <v>0</v>
      </c>
      <c r="M72" s="147">
        <f>L72+IF(ISNUMBER(I72),I72,
  SWITCH(
      I72,
      "1T",1*10^AV72,
      "2T",2*10^AV72,
      "3T",3*10^AV72,
      "4T",4*10^AV72,
      "4000+500(7O-5)",4000+500*(7*I73-5),
      1
  )
)</f>
        <v>10000</v>
      </c>
      <c r="N72" s="147" t="str">
        <f>VLOOKUP(H72,'Machine List'!$A$1:$I$300,8,FALSE)</f>
        <v>Tier</v>
      </c>
      <c r="O72" s="147">
        <f>IF(ISNUMBER(N72),N72,10^AB72)</f>
        <v>1000</v>
      </c>
      <c r="P72" s="147">
        <f>IF(ISNUMBER(N72),N72,10^AV72)</f>
        <v>10000</v>
      </c>
      <c r="Q72" s="147">
        <f>VLOOKUP(H72,'Machine List'!$A$1:$B$138,2,FALSE)</f>
        <v>1</v>
      </c>
      <c r="R72" s="147" t="s">
        <v>277</v>
      </c>
      <c r="S72" s="143">
        <f>IF(ISNUMBER(Q72),Q72,
  SWITCH(
      Q72,
      "1",1,
      "2T",AB72*2,
      "4T",AB72*4,
      "6T",AB72*6,
      "8T",AB72*8,
      "10T",AB72*10,
      "12T",AB72*12,
      "14T",AB72*14,
      "16T",AB72*16,
      "24T",AB72*24,
      "2(T+1)",2*(AB72+1),
      "1T*C",AB72*J74,
      "2*P",L74*2,
      1
  )
)</f>
        <v>1</v>
      </c>
      <c r="T72" s="38" t="s">
        <v>277</v>
      </c>
      <c r="U72" s="147">
        <f>IF(OR(T72="No",T72=""),S72,T72)</f>
        <v>1</v>
      </c>
      <c r="V72" s="147">
        <f>IF(ISNUMBER(Q72),Q72,
  SWITCH(
      Q72,
      "1",1,
      "2T",AV72*2,
      "4T",AV72*4,
      "6T",AV72*6,
      "8T",AV72*8,
      "10T",AV72*10,
      "12T",AV72*12,
      "14T",AV72*14,
      "16T",AV72*16,
      "24T",AV72*24,
      "2(T+1)",2*(AV72+1),
      "1T*C",AV72*J74,
      "2*P",L74*2,
      1
  )
)</f>
        <v>1</v>
      </c>
      <c r="W72" s="147" t="str">
        <f>T72</f>
        <v>No</v>
      </c>
      <c r="X72" s="147">
        <f>IF(OR(W72="No",W72=""),V72,W72)</f>
        <v>1</v>
      </c>
      <c r="Y72" s="38">
        <f>VLOOKUP(H72,'Machine List'!$A$1:$C$138,3,FALSE)</f>
        <v>1</v>
      </c>
      <c r="Z72" s="38">
        <f>VLOOKUP(H72,'Machine List'!$A$1:$D$138,4,FALSE)</f>
        <v>1</v>
      </c>
      <c r="AA72" s="147" t="s">
        <v>397</v>
      </c>
      <c r="AB72" s="147">
        <f>VLOOKUP(AA72,'Item Helper Sheet'!$A$2:$B$16,2,FALSE)</f>
        <v>3</v>
      </c>
      <c r="AC72" s="147">
        <v>480.0</v>
      </c>
      <c r="AD72" s="147">
        <f>15*20</f>
        <v>300</v>
      </c>
      <c r="AE72" s="147">
        <f>AD72*I74</f>
        <v>1500</v>
      </c>
      <c r="AF72" s="147">
        <f>AC72*AE72</f>
        <v>720000</v>
      </c>
      <c r="AG72" s="148"/>
      <c r="AH72" s="147" t="str">
        <f>AA72</f>
        <v>03 - HV</v>
      </c>
      <c r="AI72" s="147">
        <v>1.0</v>
      </c>
      <c r="AJ72" s="147">
        <v>1.0</v>
      </c>
      <c r="AK72" s="147">
        <f>AJ72*8*4^AB72</f>
        <v>512</v>
      </c>
      <c r="AL72" s="147">
        <f>MIN(ROUNDDOWN(AK72/AN72,0),U72)</f>
        <v>1</v>
      </c>
      <c r="AM72" s="147">
        <f>IF(OR(T72="No",T72=""),AI72*S72,AI72*T72)</f>
        <v>1</v>
      </c>
      <c r="AN72" s="147">
        <f>ROUNDUP(AC72*VLOOKUP(H72,'Machine List'!$A$2:$D$219,4,FALSE),0)</f>
        <v>480</v>
      </c>
      <c r="AO72" s="147">
        <f>AN72*AM72</f>
        <v>480</v>
      </c>
      <c r="AP72" s="147">
        <f>ROUNDUP(AD72*I74,0)</f>
        <v>1500</v>
      </c>
      <c r="AQ72" s="38">
        <f>IF(ISNUMBER(Y72),ROUNDUP(AP72/Y72,0),
  SWITCH(
      Y72,
      "1+0.5C",ROUNDUP(AP72/(1+0.5*VLOOKUP(J74,'Machine Helper Sheet'!$G$1:$K$16,2,FALSE)),0),
      ROUNDUP(AP72/1,0)
  )
)</f>
        <v>1500</v>
      </c>
      <c r="AR72" s="147">
        <f>ROUNDUP(AQ72/AM72,0)</f>
        <v>1500</v>
      </c>
      <c r="AS72" s="147">
        <f>AO72*AR72</f>
        <v>720000</v>
      </c>
      <c r="AT72" s="148"/>
      <c r="AU72" s="147" t="s">
        <v>401</v>
      </c>
      <c r="AV72" s="147">
        <f>VLOOKUP(AU72,'Item Helper Sheet'!$A$2:$B$16,2,FALSE)</f>
        <v>4</v>
      </c>
      <c r="AW72" s="147">
        <f>AI72</f>
        <v>1</v>
      </c>
      <c r="AX72" s="147">
        <v>1.0</v>
      </c>
      <c r="AY72" s="147">
        <f>AX72*8*4^AV72</f>
        <v>2048</v>
      </c>
      <c r="AZ72" s="147">
        <f>MIN(ROUNDDOWN(AY72/AN72,0),X72)</f>
        <v>1</v>
      </c>
      <c r="BA72" s="147">
        <f>AZ72*AW72</f>
        <v>1</v>
      </c>
      <c r="BB72" s="147">
        <f>AN72</f>
        <v>480</v>
      </c>
      <c r="BC72" s="147">
        <f>MIN(AV72-AB72,IF(AY72&gt;=BB73*4,
IF(AY72&gt;=BB73*4^2,
IF(AY72&gt;=BB73*4^3,
IF(AY72&gt;=BB73*4^4,
IF(AY72&gt;=BB73*4^5,
IF(AY72&gt;=BB73*4^6,
IF(AY72&gt;=BB73*4^7,
IF(AY72&gt;=BB73*4^8,
IF(AY72&gt;=BB73*4^9,
IF(AY72&gt;=BB73*4^10,
9),
8),
7),
6),
5),
4),
3),
2),
1),
0))</f>
        <v>1</v>
      </c>
      <c r="BD72" s="147">
        <f>BB72*AZ72*4^BC72</f>
        <v>1920</v>
      </c>
      <c r="BE72" s="147">
        <f>BD72*AW72</f>
        <v>1920</v>
      </c>
      <c r="BF72" s="143">
        <f>ROUNDUP(IF(R72="Yes",AP72/(2^((BC72)*2)),AP72/(2^(BC72))),0)</f>
        <v>750</v>
      </c>
      <c r="BG72" s="45">
        <f>IF(ISNUMBER(Y72),ROUNDUP(BF72/Y72,0),
  SWITCH(
      Y72,
      "1+0.5C",ROUNDUP(BF72/(1+0.5*VLOOKUP(J74,'Machine Helper Sheet'!$G$1:$K$16,2,FALSE)),0),
      ROUNDUP(BF72/1,0)
  )
)</f>
        <v>750</v>
      </c>
      <c r="BH72" s="143">
        <f>ROUNDUP(BG72/BA72,0)</f>
        <v>750</v>
      </c>
      <c r="BI72" s="149">
        <f>BH72*BE72</f>
        <v>1440000</v>
      </c>
      <c r="BK72" s="22"/>
      <c r="BM72" s="6" t="s">
        <v>708</v>
      </c>
      <c r="BN72" s="6"/>
      <c r="BO72" s="6"/>
      <c r="BP72" s="6"/>
      <c r="BQ72" s="6"/>
      <c r="BR72" s="6"/>
      <c r="BS72" s="6"/>
      <c r="BT72" s="6">
        <v>1.0</v>
      </c>
      <c r="BU72" s="6"/>
      <c r="BV72" s="6"/>
      <c r="BW72" s="6"/>
      <c r="BX72" s="6">
        <v>1.0</v>
      </c>
      <c r="BZ72" s="140" t="s">
        <v>287</v>
      </c>
      <c r="CA72" s="6">
        <v>1.0</v>
      </c>
      <c r="CB72" s="6"/>
      <c r="CC72" s="6"/>
      <c r="CD72" s="6"/>
      <c r="CE72" s="6">
        <v>1.0</v>
      </c>
      <c r="CG72" s="140" t="s">
        <v>287</v>
      </c>
      <c r="CH72" s="140">
        <v>32.0</v>
      </c>
      <c r="CI72" s="6"/>
      <c r="CJ72" s="140">
        <v>32.0</v>
      </c>
    </row>
    <row r="73">
      <c r="B73" s="150"/>
      <c r="C73" s="151" t="s">
        <v>49</v>
      </c>
      <c r="D73" s="147">
        <f>1*I74</f>
        <v>5</v>
      </c>
      <c r="E73" s="147" t="s">
        <v>259</v>
      </c>
      <c r="F73" s="152">
        <f>1*I74</f>
        <v>5</v>
      </c>
      <c r="G73" s="138"/>
      <c r="H73" s="153" t="s">
        <v>584</v>
      </c>
      <c r="I73" s="143">
        <f t="array" ref="I73">match(TRUE,ISBLANK(F73:F85),0)-1</f>
        <v>2</v>
      </c>
      <c r="J73" s="154" t="s">
        <v>420</v>
      </c>
      <c r="K73" s="154" t="s">
        <v>585</v>
      </c>
      <c r="L73" s="100" t="s">
        <v>704</v>
      </c>
      <c r="M73" s="147"/>
      <c r="N73" s="147"/>
      <c r="O73" s="147"/>
      <c r="P73" s="147"/>
      <c r="Q73" s="147"/>
      <c r="R73" s="155"/>
      <c r="S73" s="155"/>
      <c r="T73" s="155"/>
      <c r="U73" s="143"/>
      <c r="V73" s="143"/>
      <c r="W73" s="143"/>
      <c r="X73" s="143"/>
      <c r="Y73" s="143"/>
      <c r="Z73" s="143"/>
      <c r="AA73" s="143"/>
      <c r="AB73" s="143"/>
      <c r="AC73" s="143"/>
      <c r="AD73" s="143"/>
      <c r="AE73" s="143"/>
      <c r="AF73" s="143"/>
      <c r="AG73" s="156"/>
      <c r="AH73" s="143"/>
      <c r="AI73" s="143"/>
      <c r="AJ73" s="143"/>
      <c r="AK73" s="143"/>
      <c r="AL73" s="143"/>
      <c r="AM73" s="143"/>
      <c r="AN73" s="143"/>
      <c r="AO73" s="143"/>
      <c r="AP73" s="143"/>
      <c r="AQ73" s="143"/>
      <c r="AR73" s="143"/>
      <c r="AS73" s="143"/>
      <c r="AT73" s="156"/>
      <c r="AU73" s="143"/>
      <c r="AV73" s="143"/>
      <c r="AW73" s="143"/>
      <c r="AX73" s="143"/>
      <c r="AY73" s="143"/>
      <c r="AZ73" s="143"/>
      <c r="BA73" s="143"/>
      <c r="BB73" s="143">
        <f>BB72*AZ72</f>
        <v>480</v>
      </c>
      <c r="BC73" s="143"/>
      <c r="BD73" s="143"/>
      <c r="BE73" s="143"/>
      <c r="BF73" s="143"/>
      <c r="BG73" s="143"/>
      <c r="BH73" s="143"/>
      <c r="BI73" s="149"/>
      <c r="BK73" s="22"/>
      <c r="BM73" s="140" t="s">
        <v>709</v>
      </c>
      <c r="BN73" s="6"/>
      <c r="BO73" s="6"/>
      <c r="BP73" s="140">
        <v>1.0</v>
      </c>
      <c r="BQ73" s="6"/>
      <c r="BR73" s="6"/>
      <c r="BS73" s="6"/>
      <c r="BT73" s="6"/>
      <c r="BU73" s="6"/>
      <c r="BV73" s="6"/>
      <c r="BW73" s="6"/>
      <c r="BX73" s="140">
        <v>1.0</v>
      </c>
      <c r="BZ73" s="140" t="s">
        <v>376</v>
      </c>
      <c r="CA73" s="6"/>
      <c r="CB73" s="6"/>
      <c r="CC73" s="6">
        <v>1.0</v>
      </c>
      <c r="CD73" s="6"/>
      <c r="CE73" s="6">
        <v>1.0</v>
      </c>
      <c r="CG73" s="140" t="s">
        <v>376</v>
      </c>
      <c r="CH73" s="6"/>
      <c r="CI73" s="140">
        <v>512.0</v>
      </c>
      <c r="CJ73" s="140">
        <v>512.0</v>
      </c>
    </row>
    <row r="74">
      <c r="B74" s="150"/>
      <c r="C74" s="151" t="s">
        <v>91</v>
      </c>
      <c r="D74" s="147">
        <f>400*I74</f>
        <v>2000</v>
      </c>
      <c r="E74" s="147" t="s">
        <v>85</v>
      </c>
      <c r="F74" s="152">
        <f>800*I74</f>
        <v>4000</v>
      </c>
      <c r="G74" s="138"/>
      <c r="H74" s="157" t="s">
        <v>502</v>
      </c>
      <c r="I74" s="158">
        <v>5.0</v>
      </c>
      <c r="J74" s="154" t="s">
        <v>424</v>
      </c>
      <c r="K74" s="154">
        <v>0.0</v>
      </c>
      <c r="L74" s="100">
        <v>0.0</v>
      </c>
      <c r="M74" s="143"/>
      <c r="N74" s="143"/>
      <c r="O74" s="143"/>
      <c r="P74" s="143"/>
      <c r="Q74" s="143"/>
      <c r="R74" s="143"/>
      <c r="S74" s="155"/>
      <c r="T74" s="155"/>
      <c r="U74" s="143"/>
      <c r="V74" s="143"/>
      <c r="W74" s="143"/>
      <c r="X74" s="143"/>
      <c r="Y74" s="143"/>
      <c r="Z74" s="143"/>
      <c r="AA74" s="143"/>
      <c r="AB74" s="143"/>
      <c r="AC74" s="143"/>
      <c r="AD74" s="143"/>
      <c r="AE74" s="143"/>
      <c r="AF74" s="143"/>
      <c r="AG74" s="156"/>
      <c r="AH74" s="143"/>
      <c r="AI74" s="143"/>
      <c r="AJ74" s="143"/>
      <c r="AK74" s="143"/>
      <c r="AL74" s="143"/>
      <c r="AM74" s="143"/>
      <c r="AN74" s="143"/>
      <c r="AO74" s="143"/>
      <c r="AP74" s="143"/>
      <c r="AQ74" s="143"/>
      <c r="AR74" s="143"/>
      <c r="AS74" s="143"/>
      <c r="AT74" s="156"/>
      <c r="AU74" s="143"/>
      <c r="AV74" s="143"/>
      <c r="AW74" s="143"/>
      <c r="AX74" s="143"/>
      <c r="AY74" s="143"/>
      <c r="AZ74" s="143"/>
      <c r="BA74" s="143"/>
      <c r="BB74" s="143"/>
      <c r="BC74" s="143"/>
      <c r="BD74" s="143"/>
      <c r="BE74" s="143"/>
      <c r="BF74" s="143"/>
      <c r="BG74" s="143"/>
      <c r="BH74" s="143"/>
      <c r="BI74" s="149"/>
      <c r="BK74" s="22"/>
      <c r="BM74" s="140" t="s">
        <v>710</v>
      </c>
      <c r="BN74" s="6"/>
      <c r="BO74" s="6"/>
      <c r="BP74" s="6"/>
      <c r="BQ74" s="6"/>
      <c r="BR74" s="6"/>
      <c r="BS74" s="6"/>
      <c r="BT74" s="140">
        <v>1.0</v>
      </c>
      <c r="BU74" s="6"/>
      <c r="BV74" s="6"/>
      <c r="BW74" s="6"/>
      <c r="BX74" s="140">
        <v>1.0</v>
      </c>
      <c r="BZ74" s="140" t="s">
        <v>297</v>
      </c>
      <c r="CA74" s="6">
        <v>1.0</v>
      </c>
      <c r="CB74" s="6">
        <v>1.0</v>
      </c>
      <c r="CC74" s="6">
        <v>1.0</v>
      </c>
      <c r="CD74" s="6"/>
      <c r="CE74" s="6">
        <v>3.0</v>
      </c>
      <c r="CG74" s="140" t="s">
        <v>297</v>
      </c>
      <c r="CH74" s="140">
        <v>672.0</v>
      </c>
      <c r="CI74" s="6"/>
      <c r="CJ74" s="140">
        <v>672.0</v>
      </c>
    </row>
    <row r="75">
      <c r="B75" s="135"/>
      <c r="C75" s="136"/>
      <c r="D75" s="137"/>
      <c r="E75" s="137"/>
      <c r="F75" s="137"/>
      <c r="G75" s="138"/>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8"/>
      <c r="AH75" s="137"/>
      <c r="AI75" s="137"/>
      <c r="AJ75" s="137"/>
      <c r="AK75" s="137"/>
      <c r="AL75" s="137"/>
      <c r="AM75" s="137"/>
      <c r="AN75" s="137"/>
      <c r="AO75" s="137"/>
      <c r="AP75" s="137"/>
      <c r="AQ75" s="137"/>
      <c r="AR75" s="137"/>
      <c r="AS75" s="137"/>
      <c r="AT75" s="138"/>
      <c r="AU75" s="137"/>
      <c r="AV75" s="137"/>
      <c r="AW75" s="137"/>
      <c r="AX75" s="137"/>
      <c r="AY75" s="137"/>
      <c r="AZ75" s="137"/>
      <c r="BA75" s="137"/>
      <c r="BB75" s="137"/>
      <c r="BC75" s="137"/>
      <c r="BD75" s="137"/>
      <c r="BE75" s="137"/>
      <c r="BF75" s="137"/>
      <c r="BG75" s="137"/>
      <c r="BH75" s="137"/>
      <c r="BI75" s="139"/>
      <c r="BK75" s="22"/>
      <c r="BM75" s="140" t="s">
        <v>711</v>
      </c>
      <c r="BN75" s="6"/>
      <c r="BO75" s="140">
        <v>1.0</v>
      </c>
      <c r="BP75" s="6"/>
      <c r="BQ75" s="6"/>
      <c r="BR75" s="6"/>
      <c r="BS75" s="6"/>
      <c r="BT75" s="6"/>
      <c r="BU75" s="6"/>
      <c r="BV75" s="6"/>
      <c r="BW75" s="6"/>
      <c r="BX75" s="140">
        <v>1.0</v>
      </c>
      <c r="BZ75" s="140" t="s">
        <v>301</v>
      </c>
      <c r="CA75" s="6"/>
      <c r="CB75" s="6"/>
      <c r="CC75" s="6">
        <v>1.0</v>
      </c>
      <c r="CD75" s="6">
        <v>1.0</v>
      </c>
      <c r="CE75" s="6">
        <v>2.0</v>
      </c>
      <c r="CG75" s="140" t="s">
        <v>301</v>
      </c>
      <c r="CH75" s="140">
        <v>2560.0</v>
      </c>
      <c r="CI75" s="6"/>
      <c r="CJ75" s="140">
        <v>2560.0</v>
      </c>
    </row>
    <row r="76">
      <c r="B76" s="141" t="s">
        <v>725</v>
      </c>
      <c r="C76" s="142"/>
      <c r="D76" s="143"/>
      <c r="E76" s="143"/>
      <c r="F76" s="144"/>
      <c r="G76" s="145"/>
      <c r="H76" s="146" t="s">
        <v>309</v>
      </c>
      <c r="I76" s="147" t="str">
        <f>VLOOKUP(H76,'Machine List'!$A$1:$I$300,9,FALSE)</f>
        <v>1T</v>
      </c>
      <c r="J76" s="147">
        <f>IF(VLOOKUP(H76,'Machine List'!$A$1:$I$300,5,FALSE)="Multi",IF(VLOOKUP(H76,'Machine List'!$A$1:$I$300,6,FALSE)="Yes",AI76*3*10^AB76,AI76*(2*3)*10^(AB76-1)),0)</f>
        <v>0</v>
      </c>
      <c r="K76" s="147">
        <f>J76+IF(ISNUMBER(I76),I76,
  SWITCH(
      I76,
      "1T",1*10^AB76,
      "2T",2*10^AB76,
      "3T",3*10^AB76,
      "4T",4*10^AB76,
      "4000+500(7O-5)",4000+500*(7*I77-5),
      "13500 + 16C",13500+16*VLOOKUP(J78,'Machine Helper Sheet'!$G$1:$K$16,5,FALSE),
      1
  )
)</f>
        <v>10000</v>
      </c>
      <c r="L76" s="147">
        <f>IF(VLOOKUP(H76,'Machine List'!$A$1:$I$300,5,FALSE)="Multi",IF(VLOOKUP(H76,'Machine List'!$A$1:$I$300,6,FALSE)="Yes",AW76*3*10^AV76,AW76*(2*3)*10^(AV76-1)),0)</f>
        <v>0</v>
      </c>
      <c r="M76" s="147">
        <f>L76+IF(ISNUMBER(I76),I76,
  SWITCH(
      I76,
      "1T",1*10^AV76,
      "2T",2*10^AV76,
      "3T",3*10^AV76,
      "4T",4*10^AV76,
      "4000+500(7O-5)",4000+500*(7*I77-5),
      1
  )
)</f>
        <v>10000</v>
      </c>
      <c r="N76" s="147" t="str">
        <f>VLOOKUP(H76,'Machine List'!$A$1:$I$300,8,FALSE)</f>
        <v>Tier</v>
      </c>
      <c r="O76" s="147">
        <f>IF(ISNUMBER(N76),N76,10^AB76)</f>
        <v>10000</v>
      </c>
      <c r="P76" s="147">
        <f>IF(ISNUMBER(N76),N76,10^AV76)</f>
        <v>10000</v>
      </c>
      <c r="Q76" s="147">
        <f>VLOOKUP(H76,'Machine List'!$A$1:$B$138,2,FALSE)</f>
        <v>1</v>
      </c>
      <c r="R76" s="147" t="s">
        <v>277</v>
      </c>
      <c r="S76" s="143">
        <f>IF(ISNUMBER(Q76),Q76,
  SWITCH(
      Q76,
      "1",1,
      "2T",AB76*2,
      "4T",AB76*4,
      "6T",AB76*6,
      "8T",AB76*8,
      "10T",AB76*10,
      "12T",AB76*12,
      "14T",AB76*14,
      "16T",AB76*16,
      "24T",AB76*24,
      "2(T+1)",2*(AB76+1),
      "1T*C",AB76*J78,
      "2*P",L78*2,
      1
  )
)</f>
        <v>1</v>
      </c>
      <c r="T76" s="38" t="s">
        <v>277</v>
      </c>
      <c r="U76" s="147">
        <f>IF(OR(T76="No",T76=""),S76,T76)</f>
        <v>1</v>
      </c>
      <c r="V76" s="147">
        <f>IF(ISNUMBER(Q76),Q76,
  SWITCH(
      Q76,
      "1",1,
      "2T",AV76*2,
      "4T",AV76*4,
      "6T",AV76*6,
      "8T",AV76*8,
      "10T",AV76*10,
      "12T",AV76*12,
      "14T",AV76*14,
      "16T",AV76*16,
      "24T",AV76*24,
      "2(T+1)",2*(AV76+1),
      "1T*C",AV76*J78,
      "2*P",L78*2,
      1
  )
)</f>
        <v>1</v>
      </c>
      <c r="W76" s="147" t="str">
        <f>T76</f>
        <v>No</v>
      </c>
      <c r="X76" s="147">
        <f>IF(OR(W76="No",W76=""),V76,W76)</f>
        <v>1</v>
      </c>
      <c r="Y76" s="38">
        <f>VLOOKUP(H76,'Machine List'!$A$1:$C$138,3,FALSE)</f>
        <v>1</v>
      </c>
      <c r="Z76" s="38">
        <f>VLOOKUP(H76,'Machine List'!$A$1:$D$138,4,FALSE)</f>
        <v>1</v>
      </c>
      <c r="AA76" s="147" t="s">
        <v>401</v>
      </c>
      <c r="AB76" s="147">
        <f>VLOOKUP(AA76,'Item Helper Sheet'!$A$2:$B$16,2,FALSE)</f>
        <v>4</v>
      </c>
      <c r="AC76" s="147">
        <v>768.0</v>
      </c>
      <c r="AD76" s="147">
        <f>10*20</f>
        <v>200</v>
      </c>
      <c r="AE76" s="147">
        <f>AD76*I78</f>
        <v>1000</v>
      </c>
      <c r="AF76" s="147">
        <f>AC76*AE76</f>
        <v>768000</v>
      </c>
      <c r="AG76" s="148"/>
      <c r="AH76" s="147" t="str">
        <f>AA76</f>
        <v>04 - EV</v>
      </c>
      <c r="AI76" s="147">
        <v>1.0</v>
      </c>
      <c r="AJ76" s="147">
        <v>1.0</v>
      </c>
      <c r="AK76" s="147">
        <f>AJ76*8*4^AB76</f>
        <v>2048</v>
      </c>
      <c r="AL76" s="147">
        <f>MIN(ROUNDDOWN(AK76/AN76,0),U76)</f>
        <v>1</v>
      </c>
      <c r="AM76" s="147">
        <f>IF(OR(T76="No",T76=""),AI76*S76,AI76*T76)</f>
        <v>1</v>
      </c>
      <c r="AN76" s="147">
        <f>ROUNDUP(AC76*VLOOKUP(H76,'Machine List'!$A$2:$D$219,4,FALSE),0)</f>
        <v>768</v>
      </c>
      <c r="AO76" s="147">
        <f>AN76*AM76</f>
        <v>768</v>
      </c>
      <c r="AP76" s="147">
        <f>ROUNDUP(AD76*I78,0)</f>
        <v>1000</v>
      </c>
      <c r="AQ76" s="38">
        <f>IF(ISNUMBER(Y76),ROUNDUP(AP76/Y76,0),
  SWITCH(
      Y76,
      "1+0.5C",ROUNDUP(AP76/(1+0.5*VLOOKUP(J78,'Machine Helper Sheet'!$G$1:$K$16,2,FALSE)),0),
      ROUNDUP(AP76/1,0)
  )
)</f>
        <v>1000</v>
      </c>
      <c r="AR76" s="147">
        <f>ROUNDUP(AQ76/AM76,0)</f>
        <v>1000</v>
      </c>
      <c r="AS76" s="147">
        <f>AO76*AR76</f>
        <v>768000</v>
      </c>
      <c r="AT76" s="148"/>
      <c r="AU76" s="147" t="s">
        <v>401</v>
      </c>
      <c r="AV76" s="147">
        <f>VLOOKUP(AU76,'Item Helper Sheet'!$A$2:$B$16,2,FALSE)</f>
        <v>4</v>
      </c>
      <c r="AW76" s="147">
        <f>AI76</f>
        <v>1</v>
      </c>
      <c r="AX76" s="147">
        <v>1.0</v>
      </c>
      <c r="AY76" s="147">
        <f>AX76*8*4^AV76</f>
        <v>2048</v>
      </c>
      <c r="AZ76" s="147">
        <f>MIN(ROUNDDOWN(AY76/AN76,0),X76)</f>
        <v>1</v>
      </c>
      <c r="BA76" s="147">
        <f>AZ76*AW76</f>
        <v>1</v>
      </c>
      <c r="BB76" s="147">
        <f>AN76</f>
        <v>768</v>
      </c>
      <c r="BC76" s="147">
        <f>MIN(AV76-AB76,IF(AY76&gt;=BB77*4,
IF(AY76&gt;=BB77*4^2,
IF(AY76&gt;=BB77*4^3,
IF(AY76&gt;=BB77*4^4,
IF(AY76&gt;=BB77*4^5,
IF(AY76&gt;=BB77*4^6,
IF(AY76&gt;=BB77*4^7,
IF(AY76&gt;=BB77*4^8,
IF(AY76&gt;=BB77*4^9,
IF(AY76&gt;=BB77*4^10,
9),
8),
7),
6),
5),
4),
3),
2),
1),
0))</f>
        <v>0</v>
      </c>
      <c r="BD76" s="147">
        <f>BB76*AZ76*4^BC76</f>
        <v>768</v>
      </c>
      <c r="BE76" s="147">
        <f>BD76*AW76</f>
        <v>768</v>
      </c>
      <c r="BF76" s="143">
        <f>ROUNDUP(IF(R76="Yes",AP76/(2^((BC76)*2)),AP76/(2^(BC76))),0)</f>
        <v>1000</v>
      </c>
      <c r="BG76" s="45">
        <f>IF(ISNUMBER(Y76),ROUNDUP(BF76/Y76,0),
  SWITCH(
      Y76,
      "1+0.5C",ROUNDUP(BF76/(1+0.5*VLOOKUP(J78,'Machine Helper Sheet'!$G$1:$K$16,2,FALSE)),0),
      ROUNDUP(BF76/1,0)
  )
)</f>
        <v>1000</v>
      </c>
      <c r="BH76" s="143">
        <f>ROUNDUP(BG76/BA76,0)</f>
        <v>1000</v>
      </c>
      <c r="BI76" s="149">
        <f>BH76*BE76</f>
        <v>768000</v>
      </c>
      <c r="BK76" s="22"/>
      <c r="BM76" s="140" t="s">
        <v>712</v>
      </c>
      <c r="BN76" s="6"/>
      <c r="BO76" s="6"/>
      <c r="BP76" s="6"/>
      <c r="BQ76" s="6"/>
      <c r="BR76" s="6"/>
      <c r="BS76" s="6"/>
      <c r="BT76" s="140">
        <v>1.0</v>
      </c>
      <c r="BU76" s="6"/>
      <c r="BV76" s="6"/>
      <c r="BW76" s="6"/>
      <c r="BX76" s="140">
        <v>1.0</v>
      </c>
      <c r="BZ76" s="140" t="s">
        <v>309</v>
      </c>
      <c r="CA76" s="6"/>
      <c r="CB76" s="6"/>
      <c r="CC76" s="6">
        <v>3.0</v>
      </c>
      <c r="CD76" s="6">
        <v>1.0</v>
      </c>
      <c r="CE76" s="6">
        <v>4.0</v>
      </c>
      <c r="CG76" s="140" t="s">
        <v>309</v>
      </c>
      <c r="CH76" s="140">
        <v>3584.0</v>
      </c>
      <c r="CI76" s="6"/>
      <c r="CJ76" s="140">
        <v>3584.0</v>
      </c>
    </row>
    <row r="77">
      <c r="B77" s="150"/>
      <c r="C77" s="151" t="s">
        <v>259</v>
      </c>
      <c r="D77" s="147">
        <f>1*I78</f>
        <v>5</v>
      </c>
      <c r="E77" s="147" t="s">
        <v>260</v>
      </c>
      <c r="F77" s="152">
        <f>144*I78</f>
        <v>720</v>
      </c>
      <c r="G77" s="138"/>
      <c r="H77" s="153" t="s">
        <v>584</v>
      </c>
      <c r="I77" s="143">
        <f t="array" ref="I77">match(TRUE,ISBLANK(F77:F89),0)-1</f>
        <v>1</v>
      </c>
      <c r="J77" s="154" t="s">
        <v>420</v>
      </c>
      <c r="K77" s="154" t="s">
        <v>585</v>
      </c>
      <c r="L77" s="100" t="s">
        <v>704</v>
      </c>
      <c r="M77" s="147"/>
      <c r="N77" s="147"/>
      <c r="O77" s="147"/>
      <c r="P77" s="147"/>
      <c r="Q77" s="147"/>
      <c r="R77" s="155"/>
      <c r="S77" s="155"/>
      <c r="T77" s="155"/>
      <c r="U77" s="143"/>
      <c r="V77" s="143"/>
      <c r="W77" s="143"/>
      <c r="X77" s="143"/>
      <c r="Y77" s="143"/>
      <c r="Z77" s="143"/>
      <c r="AA77" s="143"/>
      <c r="AB77" s="143"/>
      <c r="AC77" s="143"/>
      <c r="AD77" s="143"/>
      <c r="AE77" s="143"/>
      <c r="AF77" s="143"/>
      <c r="AG77" s="156"/>
      <c r="AH77" s="143"/>
      <c r="AI77" s="143"/>
      <c r="AJ77" s="143"/>
      <c r="AK77" s="143"/>
      <c r="AL77" s="143"/>
      <c r="AM77" s="143"/>
      <c r="AN77" s="143"/>
      <c r="AO77" s="143"/>
      <c r="AP77" s="143"/>
      <c r="AQ77" s="143"/>
      <c r="AR77" s="143"/>
      <c r="AS77" s="143"/>
      <c r="AT77" s="156"/>
      <c r="AU77" s="143"/>
      <c r="AV77" s="143"/>
      <c r="AW77" s="143"/>
      <c r="AX77" s="143"/>
      <c r="AY77" s="143"/>
      <c r="AZ77" s="143"/>
      <c r="BA77" s="143"/>
      <c r="BB77" s="143">
        <f>BB76*AZ76</f>
        <v>768</v>
      </c>
      <c r="BC77" s="143"/>
      <c r="BD77" s="143"/>
      <c r="BE77" s="143"/>
      <c r="BF77" s="143"/>
      <c r="BG77" s="143"/>
      <c r="BH77" s="143"/>
      <c r="BI77" s="149"/>
      <c r="BK77" s="22"/>
      <c r="BM77" s="140" t="s">
        <v>713</v>
      </c>
      <c r="BN77" s="6"/>
      <c r="BO77" s="6"/>
      <c r="BP77" s="6"/>
      <c r="BQ77" s="6"/>
      <c r="BR77" s="6"/>
      <c r="BS77" s="6"/>
      <c r="BT77" s="140">
        <v>1.0</v>
      </c>
      <c r="BU77" s="6"/>
      <c r="BV77" s="6"/>
      <c r="BW77" s="6"/>
      <c r="BX77" s="140">
        <v>1.0</v>
      </c>
      <c r="BZ77" s="140" t="s">
        <v>379</v>
      </c>
      <c r="CA77" s="6"/>
      <c r="CB77" s="6"/>
      <c r="CC77" s="6"/>
      <c r="CD77" s="6">
        <v>1.0</v>
      </c>
      <c r="CE77" s="6">
        <v>1.0</v>
      </c>
      <c r="CG77" s="140" t="s">
        <v>379</v>
      </c>
      <c r="CH77" s="140">
        <v>2048.0</v>
      </c>
      <c r="CI77" s="6"/>
      <c r="CJ77" s="140">
        <v>2048.0</v>
      </c>
    </row>
    <row r="78">
      <c r="B78" s="150"/>
      <c r="C78" s="151"/>
      <c r="D78" s="147"/>
      <c r="E78" s="147"/>
      <c r="F78" s="152"/>
      <c r="G78" s="138"/>
      <c r="H78" s="157" t="s">
        <v>502</v>
      </c>
      <c r="I78" s="158">
        <v>5.0</v>
      </c>
      <c r="J78" s="154" t="s">
        <v>424</v>
      </c>
      <c r="K78" s="154">
        <v>0.0</v>
      </c>
      <c r="L78" s="100">
        <v>0.0</v>
      </c>
      <c r="M78" s="143"/>
      <c r="N78" s="143"/>
      <c r="O78" s="143"/>
      <c r="P78" s="143"/>
      <c r="Q78" s="143"/>
      <c r="R78" s="143"/>
      <c r="S78" s="155"/>
      <c r="T78" s="155"/>
      <c r="U78" s="143"/>
      <c r="V78" s="143"/>
      <c r="W78" s="143"/>
      <c r="X78" s="143"/>
      <c r="Y78" s="143"/>
      <c r="Z78" s="143"/>
      <c r="AA78" s="143"/>
      <c r="AB78" s="143"/>
      <c r="AC78" s="143"/>
      <c r="AD78" s="143"/>
      <c r="AE78" s="143"/>
      <c r="AF78" s="143"/>
      <c r="AG78" s="156"/>
      <c r="AH78" s="143"/>
      <c r="AI78" s="143"/>
      <c r="AJ78" s="143"/>
      <c r="AK78" s="143"/>
      <c r="AL78" s="143"/>
      <c r="AM78" s="143"/>
      <c r="AN78" s="143"/>
      <c r="AO78" s="143"/>
      <c r="AP78" s="143"/>
      <c r="AQ78" s="143"/>
      <c r="AR78" s="143"/>
      <c r="AS78" s="143"/>
      <c r="AT78" s="156"/>
      <c r="AU78" s="143"/>
      <c r="AV78" s="143"/>
      <c r="AW78" s="143"/>
      <c r="AX78" s="143"/>
      <c r="AY78" s="143"/>
      <c r="AZ78" s="143"/>
      <c r="BA78" s="143"/>
      <c r="BB78" s="143"/>
      <c r="BC78" s="143"/>
      <c r="BD78" s="143"/>
      <c r="BE78" s="143"/>
      <c r="BF78" s="143"/>
      <c r="BG78" s="143"/>
      <c r="BH78" s="143"/>
      <c r="BI78" s="149"/>
      <c r="BK78" s="22"/>
      <c r="BM78" s="6" t="s">
        <v>714</v>
      </c>
      <c r="BN78" s="6"/>
      <c r="BO78" s="6"/>
      <c r="BP78" s="6"/>
      <c r="BQ78" s="6"/>
      <c r="BR78" s="6"/>
      <c r="BS78" s="6"/>
      <c r="BT78" s="6">
        <v>1.0</v>
      </c>
      <c r="BU78" s="6"/>
      <c r="BV78" s="6"/>
      <c r="BW78" s="6"/>
      <c r="BX78" s="6">
        <v>1.0</v>
      </c>
      <c r="BZ78" s="6" t="s">
        <v>349</v>
      </c>
      <c r="CA78" s="6">
        <v>5.0</v>
      </c>
      <c r="CB78" s="6">
        <v>2.0</v>
      </c>
      <c r="CC78" s="6"/>
      <c r="CD78" s="6"/>
      <c r="CE78" s="6">
        <v>7.0</v>
      </c>
      <c r="CG78" s="6" t="s">
        <v>349</v>
      </c>
      <c r="CH78" s="6">
        <v>416.0</v>
      </c>
      <c r="CI78" s="6"/>
      <c r="CJ78" s="6">
        <v>416.0</v>
      </c>
    </row>
    <row r="79">
      <c r="B79" s="135"/>
      <c r="C79" s="136"/>
      <c r="D79" s="137"/>
      <c r="E79" s="137"/>
      <c r="F79" s="137"/>
      <c r="G79" s="138"/>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8"/>
      <c r="AH79" s="137"/>
      <c r="AI79" s="137"/>
      <c r="AJ79" s="137"/>
      <c r="AK79" s="137"/>
      <c r="AL79" s="137"/>
      <c r="AM79" s="137"/>
      <c r="AN79" s="137"/>
      <c r="AO79" s="137"/>
      <c r="AP79" s="137"/>
      <c r="AQ79" s="137"/>
      <c r="AR79" s="137"/>
      <c r="AS79" s="137"/>
      <c r="AT79" s="138"/>
      <c r="AU79" s="137"/>
      <c r="AV79" s="137"/>
      <c r="AW79" s="137"/>
      <c r="AX79" s="137"/>
      <c r="AY79" s="137"/>
      <c r="AZ79" s="137"/>
      <c r="BA79" s="137"/>
      <c r="BB79" s="137"/>
      <c r="BC79" s="137"/>
      <c r="BD79" s="137"/>
      <c r="BE79" s="137"/>
      <c r="BF79" s="137"/>
      <c r="BG79" s="137"/>
      <c r="BH79" s="137"/>
      <c r="BI79" s="139"/>
      <c r="BK79" s="22"/>
      <c r="BM79" s="140" t="s">
        <v>715</v>
      </c>
      <c r="BN79" s="6"/>
      <c r="BO79" s="6"/>
      <c r="BP79" s="6"/>
      <c r="BQ79" s="6"/>
      <c r="BR79" s="6"/>
      <c r="BS79" s="140">
        <v>1.0</v>
      </c>
      <c r="BT79" s="6"/>
      <c r="BU79" s="6"/>
      <c r="BV79" s="6"/>
      <c r="BW79" s="6"/>
      <c r="BX79" s="140">
        <v>1.0</v>
      </c>
      <c r="BZ79" s="6" t="s">
        <v>350</v>
      </c>
      <c r="CA79" s="6"/>
      <c r="CB79" s="6"/>
      <c r="CC79" s="6"/>
      <c r="CD79" s="6">
        <v>1.0</v>
      </c>
      <c r="CE79" s="6">
        <v>1.0</v>
      </c>
      <c r="CG79" s="6" t="s">
        <v>350</v>
      </c>
      <c r="CH79" s="6">
        <v>2048.0</v>
      </c>
      <c r="CI79" s="6"/>
      <c r="CJ79" s="6">
        <v>2048.0</v>
      </c>
    </row>
    <row r="80">
      <c r="B80" s="141" t="s">
        <v>727</v>
      </c>
      <c r="C80" s="142"/>
      <c r="D80" s="143"/>
      <c r="E80" s="143"/>
      <c r="F80" s="144"/>
      <c r="G80" s="145"/>
      <c r="H80" s="146" t="s">
        <v>309</v>
      </c>
      <c r="I80" s="147" t="str">
        <f>VLOOKUP(H80,'Machine List'!$A$1:$I$300,9,FALSE)</f>
        <v>1T</v>
      </c>
      <c r="J80" s="147">
        <f>IF(VLOOKUP(H80,'Machine List'!$A$1:$I$300,5,FALSE)="Multi",IF(VLOOKUP(H80,'Machine List'!$A$1:$I$300,6,FALSE)="Yes",AI80*3*10^AB80,AI80*(2*3)*10^(AB80-1)),0)</f>
        <v>0</v>
      </c>
      <c r="K80" s="147">
        <f>J80+IF(ISNUMBER(I80),I80,
  SWITCH(
      I80,
      "1T",1*10^AB80,
      "2T",2*10^AB80,
      "3T",3*10^AB80,
      "4T",4*10^AB80,
      "4000+500(7O-5)",4000+500*(7*I81-5),
      "13500 + 16C",13500+16*VLOOKUP(J82,'Machine Helper Sheet'!$G$1:$K$16,5,FALSE),
      1
  )
)</f>
        <v>1000</v>
      </c>
      <c r="L80" s="147">
        <f>IF(VLOOKUP(H80,'Machine List'!$A$1:$I$300,5,FALSE)="Multi",IF(VLOOKUP(H80,'Machine List'!$A$1:$I$300,6,FALSE)="Yes",AW80*3*10^AV80,AW80*(2*3)*10^(AV80-1)),0)</f>
        <v>0</v>
      </c>
      <c r="M80" s="147">
        <f>L80+IF(ISNUMBER(I80),I80,
  SWITCH(
      I80,
      "1T",1*10^AV80,
      "2T",2*10^AV80,
      "3T",3*10^AV80,
      "4T",4*10^AV80,
      "4000+500(7O-5)",4000+500*(7*I81-5),
      1
  )
)</f>
        <v>10000</v>
      </c>
      <c r="N80" s="147" t="str">
        <f>VLOOKUP(H80,'Machine List'!$A$1:$I$300,8,FALSE)</f>
        <v>Tier</v>
      </c>
      <c r="O80" s="147">
        <f>IF(ISNUMBER(N80),N80,10^AB80)</f>
        <v>1000</v>
      </c>
      <c r="P80" s="147">
        <f>IF(ISNUMBER(N80),N80,10^AV80)</f>
        <v>10000</v>
      </c>
      <c r="Q80" s="147">
        <f>VLOOKUP(H80,'Machine List'!$A$1:$B$138,2,FALSE)</f>
        <v>1</v>
      </c>
      <c r="R80" s="147" t="s">
        <v>277</v>
      </c>
      <c r="S80" s="143">
        <f>IF(ISNUMBER(Q80),Q80,
  SWITCH(
      Q80,
      "1",1,
      "2T",AB80*2,
      "4T",AB80*4,
      "6T",AB80*6,
      "8T",AB80*8,
      "10T",AB80*10,
      "12T",AB80*12,
      "14T",AB80*14,
      "16T",AB80*16,
      "24T",AB80*24,
      "2(T+1)",2*(AB80+1),
      "1T*C",AB80*J82,
      "2*P",L82*2,
      1
  )
)</f>
        <v>1</v>
      </c>
      <c r="T80" s="38" t="s">
        <v>277</v>
      </c>
      <c r="U80" s="147">
        <f>IF(OR(T80="No",T80=""),S80,T80)</f>
        <v>1</v>
      </c>
      <c r="V80" s="147">
        <f>IF(ISNUMBER(Q80),Q80,
  SWITCH(
      Q80,
      "1",1,
      "2T",AV80*2,
      "4T",AV80*4,
      "6T",AV80*6,
      "8T",AV80*8,
      "10T",AV80*10,
      "12T",AV80*12,
      "14T",AV80*14,
      "16T",AV80*16,
      "24T",AV80*24,
      "2(T+1)",2*(AV80+1),
      "1T*C",AV80*J82,
      "2*P",L82*2,
      1
  )
)</f>
        <v>1</v>
      </c>
      <c r="W80" s="147" t="str">
        <f>T80</f>
        <v>No</v>
      </c>
      <c r="X80" s="147">
        <f>IF(OR(W80="No",W80=""),V80,W80)</f>
        <v>1</v>
      </c>
      <c r="Y80" s="38">
        <f>VLOOKUP(H80,'Machine List'!$A$1:$C$138,3,FALSE)</f>
        <v>1</v>
      </c>
      <c r="Z80" s="38">
        <f>VLOOKUP(H80,'Machine List'!$A$1:$D$138,4,FALSE)</f>
        <v>1</v>
      </c>
      <c r="AA80" s="147" t="s">
        <v>397</v>
      </c>
      <c r="AB80" s="147">
        <f>VLOOKUP(AA80,'Item Helper Sheet'!$A$2:$B$16,2,FALSE)</f>
        <v>3</v>
      </c>
      <c r="AC80" s="147">
        <v>480.0</v>
      </c>
      <c r="AD80" s="147">
        <f>5*20</f>
        <v>100</v>
      </c>
      <c r="AE80" s="147">
        <f>AD80*I82</f>
        <v>4600</v>
      </c>
      <c r="AF80" s="147">
        <f>AC80*AE80</f>
        <v>2208000</v>
      </c>
      <c r="AG80" s="148"/>
      <c r="AH80" s="147" t="str">
        <f>AA80</f>
        <v>03 - HV</v>
      </c>
      <c r="AI80" s="147">
        <v>1.0</v>
      </c>
      <c r="AJ80" s="147">
        <v>1.0</v>
      </c>
      <c r="AK80" s="147">
        <f>AJ80*8*4^AB80</f>
        <v>512</v>
      </c>
      <c r="AL80" s="147">
        <f>MIN(ROUNDDOWN(AK80/AN80,0),U80)</f>
        <v>1</v>
      </c>
      <c r="AM80" s="147">
        <f>IF(OR(T80="No",T80=""),AI80*S80,AI80*T80)</f>
        <v>1</v>
      </c>
      <c r="AN80" s="147">
        <f>ROUNDUP(AC80*VLOOKUP(H80,'Machine List'!$A$2:$D$219,4,FALSE),0)</f>
        <v>480</v>
      </c>
      <c r="AO80" s="147">
        <f>AN80*AM80</f>
        <v>480</v>
      </c>
      <c r="AP80" s="147">
        <f>ROUNDUP(AD80*I82,0)</f>
        <v>4600</v>
      </c>
      <c r="AQ80" s="38">
        <f>IF(ISNUMBER(Y80),ROUNDUP(AP80/Y80,0),
  SWITCH(
      Y80,
      "1+0.5C",ROUNDUP(AP80/(1+0.5*VLOOKUP(J82,'Machine Helper Sheet'!$G$1:$K$16,2,FALSE)),0),
      ROUNDUP(AP80/1,0)
  )
)</f>
        <v>4600</v>
      </c>
      <c r="AR80" s="147">
        <f>ROUNDUP(AQ80/AM80,0)</f>
        <v>4600</v>
      </c>
      <c r="AS80" s="147">
        <f>AO80*AR80</f>
        <v>2208000</v>
      </c>
      <c r="AT80" s="148"/>
      <c r="AU80" s="147" t="s">
        <v>401</v>
      </c>
      <c r="AV80" s="147">
        <f>VLOOKUP(AU80,'Item Helper Sheet'!$A$2:$B$16,2,FALSE)</f>
        <v>4</v>
      </c>
      <c r="AW80" s="147">
        <f>AI80</f>
        <v>1</v>
      </c>
      <c r="AX80" s="147">
        <v>1.0</v>
      </c>
      <c r="AY80" s="147">
        <f>AX80*8*4^AV80</f>
        <v>2048</v>
      </c>
      <c r="AZ80" s="147">
        <f>MIN(ROUNDDOWN(AY80/AN80,0),X80)</f>
        <v>1</v>
      </c>
      <c r="BA80" s="147">
        <f>AZ80*AW80</f>
        <v>1</v>
      </c>
      <c r="BB80" s="147">
        <f>AN80</f>
        <v>480</v>
      </c>
      <c r="BC80" s="147">
        <f>MIN(AV80-AB80,IF(AY80&gt;=BB81*4,
IF(AY80&gt;=BB81*4^2,
IF(AY80&gt;=BB81*4^3,
IF(AY80&gt;=BB81*4^4,
IF(AY80&gt;=BB81*4^5,
IF(AY80&gt;=BB81*4^6,
IF(AY80&gt;=BB81*4^7,
IF(AY80&gt;=BB81*4^8,
IF(AY80&gt;=BB81*4^9,
IF(AY80&gt;=BB81*4^10,
9),
8),
7),
6),
5),
4),
3),
2),
1),
0))</f>
        <v>1</v>
      </c>
      <c r="BD80" s="147">
        <f>BB80*AZ80*4^BC80</f>
        <v>1920</v>
      </c>
      <c r="BE80" s="147">
        <f>BD80*AW80</f>
        <v>1920</v>
      </c>
      <c r="BF80" s="143">
        <f>ROUNDUP(IF(R80="Yes",AP80/(2^((BC80)*2)),AP80/(2^(BC80))),0)</f>
        <v>2300</v>
      </c>
      <c r="BG80" s="45">
        <f>IF(ISNUMBER(Y80),ROUNDUP(BF80/Y80,0),
  SWITCH(
      Y80,
      "1+0.5C",ROUNDUP(BF80/(1+0.5*VLOOKUP(J82,'Machine Helper Sheet'!$G$1:$K$16,2,FALSE)),0),
      ROUNDUP(BF80/1,0)
  )
)</f>
        <v>2300</v>
      </c>
      <c r="BH80" s="143">
        <f>ROUNDUP(BG80/BA80,0)</f>
        <v>2300</v>
      </c>
      <c r="BI80" s="149">
        <f>BH80*BE80</f>
        <v>4416000</v>
      </c>
      <c r="BK80" s="22"/>
      <c r="BM80" s="6" t="s">
        <v>716</v>
      </c>
      <c r="BN80" s="6"/>
      <c r="BO80" s="6"/>
      <c r="BP80" s="6"/>
      <c r="BQ80" s="6"/>
      <c r="BR80" s="6"/>
      <c r="BS80" s="6"/>
      <c r="BT80" s="6">
        <v>1.0</v>
      </c>
      <c r="BU80" s="6"/>
      <c r="BV80" s="6"/>
      <c r="BW80" s="6"/>
      <c r="BX80" s="6">
        <v>1.0</v>
      </c>
      <c r="BZ80" s="140" t="s">
        <v>351</v>
      </c>
      <c r="CA80" s="6">
        <v>1.0</v>
      </c>
      <c r="CB80" s="6"/>
      <c r="CC80" s="6"/>
      <c r="CD80" s="6"/>
      <c r="CE80" s="6">
        <v>1.0</v>
      </c>
      <c r="CG80" s="140" t="s">
        <v>351</v>
      </c>
      <c r="CH80" s="140">
        <v>32.0</v>
      </c>
      <c r="CI80" s="6"/>
      <c r="CJ80" s="140">
        <v>32.0</v>
      </c>
    </row>
    <row r="81">
      <c r="B81" s="150"/>
      <c r="C81" s="151" t="s">
        <v>108</v>
      </c>
      <c r="D81" s="147">
        <f>1*I82</f>
        <v>46</v>
      </c>
      <c r="E81" s="147" t="s">
        <v>109</v>
      </c>
      <c r="F81" s="152">
        <f>144*I82</f>
        <v>6624</v>
      </c>
      <c r="G81" s="138"/>
      <c r="H81" s="153" t="s">
        <v>584</v>
      </c>
      <c r="I81" s="143">
        <f t="array" ref="I81">match(TRUE,ISBLANK(F81:F93),0)-1</f>
        <v>1</v>
      </c>
      <c r="J81" s="154" t="s">
        <v>420</v>
      </c>
      <c r="K81" s="154" t="s">
        <v>585</v>
      </c>
      <c r="L81" s="100" t="s">
        <v>704</v>
      </c>
      <c r="M81" s="147"/>
      <c r="N81" s="147"/>
      <c r="O81" s="147"/>
      <c r="P81" s="147"/>
      <c r="Q81" s="147"/>
      <c r="R81" s="155"/>
      <c r="S81" s="155"/>
      <c r="T81" s="155"/>
      <c r="U81" s="143"/>
      <c r="V81" s="143"/>
      <c r="W81" s="143"/>
      <c r="X81" s="143"/>
      <c r="Y81" s="143"/>
      <c r="Z81" s="143"/>
      <c r="AA81" s="143"/>
      <c r="AB81" s="143"/>
      <c r="AC81" s="143"/>
      <c r="AD81" s="143"/>
      <c r="AE81" s="143"/>
      <c r="AF81" s="143"/>
      <c r="AG81" s="156"/>
      <c r="AH81" s="143"/>
      <c r="AI81" s="143"/>
      <c r="AJ81" s="143"/>
      <c r="AK81" s="143"/>
      <c r="AL81" s="143"/>
      <c r="AM81" s="143"/>
      <c r="AN81" s="143"/>
      <c r="AO81" s="143"/>
      <c r="AP81" s="143"/>
      <c r="AQ81" s="143"/>
      <c r="AR81" s="143"/>
      <c r="AS81" s="143"/>
      <c r="AT81" s="156"/>
      <c r="AU81" s="143"/>
      <c r="AV81" s="143"/>
      <c r="AW81" s="143"/>
      <c r="AX81" s="143"/>
      <c r="AY81" s="143"/>
      <c r="AZ81" s="143"/>
      <c r="BA81" s="143"/>
      <c r="BB81" s="143">
        <f>BB80*AZ80</f>
        <v>480</v>
      </c>
      <c r="BC81" s="143"/>
      <c r="BD81" s="143"/>
      <c r="BE81" s="143"/>
      <c r="BF81" s="143"/>
      <c r="BG81" s="143"/>
      <c r="BH81" s="143"/>
      <c r="BI81" s="149"/>
      <c r="BK81" s="22"/>
      <c r="BM81" s="140" t="s">
        <v>717</v>
      </c>
      <c r="BN81" s="6"/>
      <c r="BO81" s="6"/>
      <c r="BP81" s="140">
        <v>1.0</v>
      </c>
      <c r="BQ81" s="6"/>
      <c r="BR81" s="6"/>
      <c r="BS81" s="6"/>
      <c r="BT81" s="6"/>
      <c r="BU81" s="6"/>
      <c r="BV81" s="6"/>
      <c r="BW81" s="6"/>
      <c r="BX81" s="140">
        <v>1.0</v>
      </c>
      <c r="BZ81" s="6" t="s">
        <v>363</v>
      </c>
      <c r="CA81" s="6"/>
      <c r="CB81" s="6"/>
      <c r="CC81" s="6"/>
      <c r="CD81" s="6">
        <v>1.0</v>
      </c>
      <c r="CE81" s="6">
        <v>1.0</v>
      </c>
      <c r="CG81" s="6" t="s">
        <v>363</v>
      </c>
      <c r="CH81" s="6">
        <v>2048.0</v>
      </c>
      <c r="CI81" s="6"/>
      <c r="CJ81" s="6">
        <v>2048.0</v>
      </c>
    </row>
    <row r="82">
      <c r="B82" s="150"/>
      <c r="C82" s="151"/>
      <c r="D82" s="147"/>
      <c r="E82" s="147"/>
      <c r="F82" s="152"/>
      <c r="G82" s="138"/>
      <c r="H82" s="157" t="s">
        <v>502</v>
      </c>
      <c r="I82" s="158">
        <v>46.0</v>
      </c>
      <c r="J82" s="154" t="s">
        <v>424</v>
      </c>
      <c r="K82" s="154">
        <v>0.0</v>
      </c>
      <c r="L82" s="100">
        <v>0.0</v>
      </c>
      <c r="M82" s="143"/>
      <c r="N82" s="143"/>
      <c r="O82" s="143"/>
      <c r="P82" s="143"/>
      <c r="Q82" s="143"/>
      <c r="R82" s="143"/>
      <c r="S82" s="155"/>
      <c r="T82" s="155"/>
      <c r="U82" s="143"/>
      <c r="V82" s="143"/>
      <c r="W82" s="143"/>
      <c r="X82" s="143"/>
      <c r="Y82" s="143"/>
      <c r="Z82" s="143"/>
      <c r="AA82" s="143"/>
      <c r="AB82" s="143"/>
      <c r="AC82" s="143"/>
      <c r="AD82" s="143"/>
      <c r="AE82" s="143"/>
      <c r="AF82" s="143"/>
      <c r="AG82" s="156"/>
      <c r="AH82" s="143"/>
      <c r="AI82" s="143"/>
      <c r="AJ82" s="143"/>
      <c r="AK82" s="143"/>
      <c r="AL82" s="143"/>
      <c r="AM82" s="143"/>
      <c r="AN82" s="143"/>
      <c r="AO82" s="143"/>
      <c r="AP82" s="143"/>
      <c r="AQ82" s="143"/>
      <c r="AR82" s="143"/>
      <c r="AS82" s="143"/>
      <c r="AT82" s="156"/>
      <c r="AU82" s="143"/>
      <c r="AV82" s="143"/>
      <c r="AW82" s="143"/>
      <c r="AX82" s="143"/>
      <c r="AY82" s="143"/>
      <c r="AZ82" s="143"/>
      <c r="BA82" s="143"/>
      <c r="BB82" s="143"/>
      <c r="BC82" s="143"/>
      <c r="BD82" s="143"/>
      <c r="BE82" s="143"/>
      <c r="BF82" s="143"/>
      <c r="BG82" s="143"/>
      <c r="BH82" s="143"/>
      <c r="BI82" s="149"/>
      <c r="BK82" s="22"/>
      <c r="BM82" s="140" t="s">
        <v>718</v>
      </c>
      <c r="BN82" s="6"/>
      <c r="BO82" s="6"/>
      <c r="BP82" s="6"/>
      <c r="BQ82" s="6"/>
      <c r="BR82" s="6"/>
      <c r="BS82" s="6"/>
      <c r="BT82" s="140">
        <v>1.0</v>
      </c>
      <c r="BU82" s="6"/>
      <c r="BV82" s="6"/>
      <c r="BW82" s="6"/>
      <c r="BX82" s="140">
        <v>1.0</v>
      </c>
      <c r="BZ82" s="6" t="s">
        <v>487</v>
      </c>
      <c r="CA82" s="6">
        <v>8.0</v>
      </c>
      <c r="CB82" s="6">
        <v>3.0</v>
      </c>
      <c r="CC82" s="6">
        <v>6.0</v>
      </c>
      <c r="CD82" s="6">
        <v>5.0</v>
      </c>
      <c r="CE82" s="6">
        <v>22.0</v>
      </c>
      <c r="CG82" s="6" t="s">
        <v>487</v>
      </c>
      <c r="CH82" s="6">
        <v>13440.0</v>
      </c>
      <c r="CI82" s="140">
        <v>512.0</v>
      </c>
      <c r="CJ82" s="6">
        <v>13952.0</v>
      </c>
    </row>
    <row r="83">
      <c r="B83" s="135"/>
      <c r="C83" s="136"/>
      <c r="D83" s="137"/>
      <c r="E83" s="137"/>
      <c r="F83" s="137"/>
      <c r="G83" s="138"/>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8"/>
      <c r="AH83" s="137"/>
      <c r="AI83" s="137"/>
      <c r="AJ83" s="137"/>
      <c r="AK83" s="137"/>
      <c r="AL83" s="137"/>
      <c r="AM83" s="137"/>
      <c r="AN83" s="137"/>
      <c r="AO83" s="137"/>
      <c r="AP83" s="137"/>
      <c r="AQ83" s="137"/>
      <c r="AR83" s="137"/>
      <c r="AS83" s="137"/>
      <c r="AT83" s="138"/>
      <c r="AU83" s="137"/>
      <c r="AV83" s="137"/>
      <c r="AW83" s="137"/>
      <c r="AX83" s="137"/>
      <c r="AY83" s="137"/>
      <c r="AZ83" s="137"/>
      <c r="BA83" s="137"/>
      <c r="BB83" s="137"/>
      <c r="BC83" s="137"/>
      <c r="BD83" s="137"/>
      <c r="BE83" s="137"/>
      <c r="BF83" s="137"/>
      <c r="BG83" s="137"/>
      <c r="BH83" s="137"/>
      <c r="BI83" s="139"/>
      <c r="BK83" s="22"/>
      <c r="BM83" s="140" t="s">
        <v>719</v>
      </c>
      <c r="BN83" s="6"/>
      <c r="BO83" s="6"/>
      <c r="BP83" s="6"/>
      <c r="BQ83" s="140">
        <v>1.0</v>
      </c>
      <c r="BR83" s="6"/>
      <c r="BS83" s="6"/>
      <c r="BT83" s="6"/>
      <c r="BU83" s="6"/>
      <c r="BV83" s="6"/>
      <c r="BW83" s="6"/>
      <c r="BX83" s="140">
        <v>1.0</v>
      </c>
    </row>
    <row r="84">
      <c r="B84" s="141" t="s">
        <v>726</v>
      </c>
      <c r="C84" s="142"/>
      <c r="D84" s="143"/>
      <c r="E84" s="143"/>
      <c r="F84" s="144"/>
      <c r="G84" s="145"/>
      <c r="H84" s="146" t="s">
        <v>309</v>
      </c>
      <c r="I84" s="147" t="str">
        <f>VLOOKUP(H84,'Machine List'!$A$1:$I$300,9,FALSE)</f>
        <v>1T</v>
      </c>
      <c r="J84" s="147">
        <f>IF(VLOOKUP(H84,'Machine List'!$A$1:$I$300,5,FALSE)="Multi",IF(VLOOKUP(H84,'Machine List'!$A$1:$I$300,6,FALSE)="Yes",AI84*3*10^AB84,AI84*(2*3)*10^(AB84-1)),0)</f>
        <v>0</v>
      </c>
      <c r="K84" s="147">
        <f>J84+IF(ISNUMBER(I84),I84,
  SWITCH(
      I84,
      "1T",1*10^AB84,
      "2T",2*10^AB84,
      "3T",3*10^AB84,
      "4T",4*10^AB84,
      "4000+500(7O-5)",4000+500*(7*I85-5),
      "13500 + 16C",13500+16*VLOOKUP(J86,'Machine Helper Sheet'!$G$1:$K$16,5,FALSE),
      1
  )
)</f>
        <v>1000</v>
      </c>
      <c r="L84" s="147">
        <f>IF(VLOOKUP(H84,'Machine List'!$A$1:$I$300,5,FALSE)="Multi",IF(VLOOKUP(H84,'Machine List'!$A$1:$I$300,6,FALSE)="Yes",AW84*3*10^AV84,AW84*(2*3)*10^(AV84-1)),0)</f>
        <v>0</v>
      </c>
      <c r="M84" s="147">
        <f>L84+IF(ISNUMBER(I84),I84,
  SWITCH(
      I84,
      "1T",1*10^AV84,
      "2T",2*10^AV84,
      "3T",3*10^AV84,
      "4T",4*10^AV84,
      "4000+500(7O-5)",4000+500*(7*I85-5),
      1
  )
)</f>
        <v>10000</v>
      </c>
      <c r="N84" s="147" t="str">
        <f>VLOOKUP(H84,'Machine List'!$A$1:$I$300,8,FALSE)</f>
        <v>Tier</v>
      </c>
      <c r="O84" s="147">
        <f>IF(ISNUMBER(N84),N84,10^AB84)</f>
        <v>1000</v>
      </c>
      <c r="P84" s="147">
        <f>IF(ISNUMBER(N84),N84,10^AV84)</f>
        <v>10000</v>
      </c>
      <c r="Q84" s="147">
        <f>VLOOKUP(H84,'Machine List'!$A$1:$B$138,2,FALSE)</f>
        <v>1</v>
      </c>
      <c r="R84" s="147" t="s">
        <v>277</v>
      </c>
      <c r="S84" s="143">
        <f>IF(ISNUMBER(Q84),Q84,
  SWITCH(
      Q84,
      "1",1,
      "2T",AB84*2,
      "4T",AB84*4,
      "6T",AB84*6,
      "8T",AB84*8,
      "10T",AB84*10,
      "12T",AB84*12,
      "14T",AB84*14,
      "16T",AB84*16,
      "24T",AB84*24,
      "2(T+1)",2*(AB84+1),
      "1T*C",AB84*J86,
      "2*P",L86*2,
      1
  )
)</f>
        <v>1</v>
      </c>
      <c r="T84" s="38" t="s">
        <v>277</v>
      </c>
      <c r="U84" s="147">
        <f>IF(OR(T84="No",T84=""),S84,T84)</f>
        <v>1</v>
      </c>
      <c r="V84" s="147">
        <f>IF(ISNUMBER(Q84),Q84,
  SWITCH(
      Q84,
      "1",1,
      "2T",AV84*2,
      "4T",AV84*4,
      "6T",AV84*6,
      "8T",AV84*8,
      "10T",AV84*10,
      "12T",AV84*12,
      "14T",AV84*14,
      "16T",AV84*16,
      "24T",AV84*24,
      "2(T+1)",2*(AV84+1),
      "1T*C",AV84*J86,
      "2*P",L86*2,
      1
  )
)</f>
        <v>1</v>
      </c>
      <c r="W84" s="147" t="str">
        <f>T84</f>
        <v>No</v>
      </c>
      <c r="X84" s="147">
        <f>IF(OR(W84="No",W84=""),V84,W84)</f>
        <v>1</v>
      </c>
      <c r="Y84" s="38">
        <f>VLOOKUP(H84,'Machine List'!$A$1:$C$138,3,FALSE)</f>
        <v>1</v>
      </c>
      <c r="Z84" s="38">
        <f>VLOOKUP(H84,'Machine List'!$A$1:$D$138,4,FALSE)</f>
        <v>1</v>
      </c>
      <c r="AA84" s="147" t="s">
        <v>397</v>
      </c>
      <c r="AB84" s="147">
        <f>VLOOKUP(AA84,'Item Helper Sheet'!$A$2:$B$16,2,FALSE)</f>
        <v>3</v>
      </c>
      <c r="AC84" s="147">
        <v>480.0</v>
      </c>
      <c r="AD84" s="147">
        <f>5*20</f>
        <v>100</v>
      </c>
      <c r="AE84" s="147">
        <f>AD84*I86</f>
        <v>1300</v>
      </c>
      <c r="AF84" s="147">
        <f>AC84*AE84</f>
        <v>624000</v>
      </c>
      <c r="AG84" s="148"/>
      <c r="AH84" s="147" t="str">
        <f>AA84</f>
        <v>03 - HV</v>
      </c>
      <c r="AI84" s="147">
        <v>1.0</v>
      </c>
      <c r="AJ84" s="147">
        <v>1.0</v>
      </c>
      <c r="AK84" s="147">
        <f>AJ84*8*4^AB84</f>
        <v>512</v>
      </c>
      <c r="AL84" s="147">
        <f>MIN(ROUNDDOWN(AK84/AN84,0),U84)</f>
        <v>1</v>
      </c>
      <c r="AM84" s="147">
        <f>IF(OR(T84="No",T84=""),AI84*S84,AI84*T84)</f>
        <v>1</v>
      </c>
      <c r="AN84" s="147">
        <f>ROUNDUP(AC84*VLOOKUP(H84,'Machine List'!$A$2:$D$219,4,FALSE),0)</f>
        <v>480</v>
      </c>
      <c r="AO84" s="147">
        <f>AN84*AM84</f>
        <v>480</v>
      </c>
      <c r="AP84" s="147">
        <f>ROUNDUP(AD84*I86,0)</f>
        <v>1300</v>
      </c>
      <c r="AQ84" s="38">
        <f>IF(ISNUMBER(Y84),ROUNDUP(AP84/Y84,0),
  SWITCH(
      Y84,
      "1+0.5C",ROUNDUP(AP84/(1+0.5*VLOOKUP(J86,'Machine Helper Sheet'!$G$1:$K$16,2,FALSE)),0),
      ROUNDUP(AP84/1,0)
  )
)</f>
        <v>1300</v>
      </c>
      <c r="AR84" s="147">
        <f>ROUNDUP(AQ84/AM84,0)</f>
        <v>1300</v>
      </c>
      <c r="AS84" s="147">
        <f>AO84*AR84</f>
        <v>624000</v>
      </c>
      <c r="AT84" s="148"/>
      <c r="AU84" s="147" t="s">
        <v>401</v>
      </c>
      <c r="AV84" s="147">
        <f>VLOOKUP(AU84,'Item Helper Sheet'!$A$2:$B$16,2,FALSE)</f>
        <v>4</v>
      </c>
      <c r="AW84" s="147">
        <f>AI84</f>
        <v>1</v>
      </c>
      <c r="AX84" s="147">
        <v>1.0</v>
      </c>
      <c r="AY84" s="147">
        <f>AX84*8*4^AV84</f>
        <v>2048</v>
      </c>
      <c r="AZ84" s="147">
        <f>MIN(ROUNDDOWN(AY84/AN84,0),X84)</f>
        <v>1</v>
      </c>
      <c r="BA84" s="147">
        <f>AZ84*AW84</f>
        <v>1</v>
      </c>
      <c r="BB84" s="147">
        <f>AN84</f>
        <v>480</v>
      </c>
      <c r="BC84" s="147">
        <f>MIN(AV84-AB84,IF(AY84&gt;=BB85*4,
IF(AY84&gt;=BB85*4^2,
IF(AY84&gt;=BB85*4^3,
IF(AY84&gt;=BB85*4^4,
IF(AY84&gt;=BB85*4^5,
IF(AY84&gt;=BB85*4^6,
IF(AY84&gt;=BB85*4^7,
IF(AY84&gt;=BB85*4^8,
IF(AY84&gt;=BB85*4^9,
IF(AY84&gt;=BB85*4^10,
9),
8),
7),
6),
5),
4),
3),
2),
1),
0))</f>
        <v>1</v>
      </c>
      <c r="BD84" s="147">
        <f>BB84*AZ84*4^BC84</f>
        <v>1920</v>
      </c>
      <c r="BE84" s="147">
        <f>BD84*AW84</f>
        <v>1920</v>
      </c>
      <c r="BF84" s="143">
        <f>ROUNDUP(IF(R84="Yes",AP84/(2^((BC84)*2)),AP84/(2^(BC84))),0)</f>
        <v>650</v>
      </c>
      <c r="BG84" s="45">
        <f>IF(ISNUMBER(Y84),ROUNDUP(BF84/Y84,0),
  SWITCH(
      Y84,
      "1+0.5C",ROUNDUP(BF84/(1+0.5*VLOOKUP(J86,'Machine Helper Sheet'!$G$1:$K$16,2,FALSE)),0),
      ROUNDUP(BF84/1,0)
  )
)</f>
        <v>650</v>
      </c>
      <c r="BH84" s="143">
        <f>ROUNDUP(BG84/BA84,0)</f>
        <v>650</v>
      </c>
      <c r="BI84" s="149">
        <f>BH84*BE84</f>
        <v>1248000</v>
      </c>
      <c r="BK84" s="22"/>
      <c r="BM84" s="140" t="s">
        <v>720</v>
      </c>
      <c r="BN84" s="6"/>
      <c r="BO84" s="6"/>
      <c r="BP84" s="6"/>
      <c r="BQ84" s="6"/>
      <c r="BR84" s="140">
        <v>1.0</v>
      </c>
      <c r="BS84" s="6"/>
      <c r="BT84" s="6"/>
      <c r="BU84" s="6"/>
      <c r="BV84" s="6"/>
      <c r="BW84" s="6"/>
      <c r="BX84" s="140">
        <v>1.0</v>
      </c>
      <c r="BZ84" s="6" t="s">
        <v>705</v>
      </c>
      <c r="CA84" s="6" t="s">
        <v>468</v>
      </c>
      <c r="CB84" s="6"/>
      <c r="CG84" s="6" t="s">
        <v>571</v>
      </c>
      <c r="CH84" s="6" t="s">
        <v>694</v>
      </c>
      <c r="CI84" s="6"/>
      <c r="CJ84" s="6"/>
    </row>
    <row r="85">
      <c r="B85" s="150"/>
      <c r="C85" s="151" t="s">
        <v>32</v>
      </c>
      <c r="D85" s="147">
        <f>1*I86</f>
        <v>13</v>
      </c>
      <c r="E85" s="147" t="s">
        <v>33</v>
      </c>
      <c r="F85" s="152">
        <f>144*I86</f>
        <v>1872</v>
      </c>
      <c r="G85" s="138"/>
      <c r="H85" s="153" t="s">
        <v>584</v>
      </c>
      <c r="I85" s="143">
        <f t="array" ref="I85">match(TRUE,ISBLANK(F85:F97),0)-1</f>
        <v>1</v>
      </c>
      <c r="J85" s="154" t="s">
        <v>420</v>
      </c>
      <c r="K85" s="154" t="s">
        <v>585</v>
      </c>
      <c r="L85" s="100" t="s">
        <v>704</v>
      </c>
      <c r="M85" s="147"/>
      <c r="N85" s="147"/>
      <c r="O85" s="147"/>
      <c r="P85" s="147"/>
      <c r="Q85" s="147"/>
      <c r="R85" s="155"/>
      <c r="S85" s="155"/>
      <c r="T85" s="155"/>
      <c r="U85" s="143"/>
      <c r="V85" s="143"/>
      <c r="W85" s="143"/>
      <c r="X85" s="143"/>
      <c r="Y85" s="143"/>
      <c r="Z85" s="143"/>
      <c r="AA85" s="143"/>
      <c r="AB85" s="143"/>
      <c r="AC85" s="143"/>
      <c r="AD85" s="143"/>
      <c r="AE85" s="143"/>
      <c r="AF85" s="143"/>
      <c r="AG85" s="156"/>
      <c r="AH85" s="143"/>
      <c r="AI85" s="143"/>
      <c r="AJ85" s="143"/>
      <c r="AK85" s="143"/>
      <c r="AL85" s="143"/>
      <c r="AM85" s="143"/>
      <c r="AN85" s="143"/>
      <c r="AO85" s="143"/>
      <c r="AP85" s="143"/>
      <c r="AQ85" s="143"/>
      <c r="AR85" s="143"/>
      <c r="AS85" s="143"/>
      <c r="AT85" s="156"/>
      <c r="AU85" s="143"/>
      <c r="AV85" s="143"/>
      <c r="AW85" s="143"/>
      <c r="AX85" s="143"/>
      <c r="AY85" s="143"/>
      <c r="AZ85" s="143"/>
      <c r="BA85" s="143"/>
      <c r="BB85" s="143">
        <f>BB84*AZ84</f>
        <v>480</v>
      </c>
      <c r="BC85" s="143"/>
      <c r="BD85" s="143"/>
      <c r="BE85" s="143"/>
      <c r="BF85" s="143"/>
      <c r="BG85" s="143"/>
      <c r="BH85" s="143"/>
      <c r="BI85" s="149"/>
      <c r="BK85" s="22"/>
      <c r="BM85" s="140" t="s">
        <v>721</v>
      </c>
      <c r="BN85" s="140">
        <v>1.0</v>
      </c>
      <c r="BO85" s="6"/>
      <c r="BP85" s="6"/>
      <c r="BQ85" s="6"/>
      <c r="BR85" s="6"/>
      <c r="BS85" s="6"/>
      <c r="BT85" s="6"/>
      <c r="BU85" s="6"/>
      <c r="BV85" s="6"/>
      <c r="BW85" s="6"/>
      <c r="BX85" s="140">
        <v>1.0</v>
      </c>
      <c r="BZ85" s="6" t="s">
        <v>462</v>
      </c>
      <c r="CA85" s="6" t="s">
        <v>401</v>
      </c>
      <c r="CB85" s="6" t="s">
        <v>487</v>
      </c>
      <c r="CG85" s="6" t="s">
        <v>462</v>
      </c>
      <c r="CH85" s="6">
        <v>1.0</v>
      </c>
      <c r="CI85" s="6" t="s">
        <v>378</v>
      </c>
      <c r="CJ85" s="6" t="s">
        <v>487</v>
      </c>
    </row>
    <row r="86">
      <c r="B86" s="150"/>
      <c r="C86" s="151"/>
      <c r="D86" s="147"/>
      <c r="E86" s="147"/>
      <c r="F86" s="152"/>
      <c r="G86" s="138"/>
      <c r="H86" s="157" t="s">
        <v>502</v>
      </c>
      <c r="I86" s="158">
        <v>13.0</v>
      </c>
      <c r="J86" s="154" t="s">
        <v>424</v>
      </c>
      <c r="K86" s="154">
        <v>0.0</v>
      </c>
      <c r="L86" s="100">
        <v>0.0</v>
      </c>
      <c r="M86" s="143"/>
      <c r="N86" s="143"/>
      <c r="O86" s="143"/>
      <c r="P86" s="143"/>
      <c r="Q86" s="143"/>
      <c r="R86" s="143"/>
      <c r="S86" s="155"/>
      <c r="T86" s="155"/>
      <c r="U86" s="143"/>
      <c r="V86" s="143"/>
      <c r="W86" s="143"/>
      <c r="X86" s="143"/>
      <c r="Y86" s="143"/>
      <c r="Z86" s="143"/>
      <c r="AA86" s="143"/>
      <c r="AB86" s="143"/>
      <c r="AC86" s="143"/>
      <c r="AD86" s="143"/>
      <c r="AE86" s="143"/>
      <c r="AF86" s="143"/>
      <c r="AG86" s="156"/>
      <c r="AH86" s="143"/>
      <c r="AI86" s="143"/>
      <c r="AJ86" s="143"/>
      <c r="AK86" s="143"/>
      <c r="AL86" s="143"/>
      <c r="AM86" s="143"/>
      <c r="AN86" s="143"/>
      <c r="AO86" s="143"/>
      <c r="AP86" s="143"/>
      <c r="AQ86" s="143"/>
      <c r="AR86" s="143"/>
      <c r="AS86" s="143"/>
      <c r="AT86" s="156"/>
      <c r="AU86" s="143"/>
      <c r="AV86" s="143"/>
      <c r="AW86" s="143"/>
      <c r="AX86" s="143"/>
      <c r="AY86" s="143"/>
      <c r="AZ86" s="143"/>
      <c r="BA86" s="143"/>
      <c r="BB86" s="143"/>
      <c r="BC86" s="143"/>
      <c r="BD86" s="143"/>
      <c r="BE86" s="143"/>
      <c r="BF86" s="143"/>
      <c r="BG86" s="143"/>
      <c r="BH86" s="143"/>
      <c r="BI86" s="149"/>
      <c r="BK86" s="22"/>
      <c r="BM86" s="140" t="s">
        <v>722</v>
      </c>
      <c r="BN86" s="6"/>
      <c r="BO86" s="6"/>
      <c r="BP86" s="6"/>
      <c r="BQ86" s="6"/>
      <c r="BR86" s="6"/>
      <c r="BS86" s="6"/>
      <c r="BT86" s="6"/>
      <c r="BU86" s="6"/>
      <c r="BV86" s="140">
        <v>1.0</v>
      </c>
      <c r="BW86" s="6"/>
      <c r="BX86" s="140">
        <v>1.0</v>
      </c>
      <c r="BZ86" s="140" t="s">
        <v>287</v>
      </c>
      <c r="CA86" s="6">
        <v>1.0</v>
      </c>
      <c r="CB86" s="6">
        <v>1.0</v>
      </c>
      <c r="CG86" s="140" t="s">
        <v>287</v>
      </c>
      <c r="CH86" s="140">
        <v>2048.0</v>
      </c>
      <c r="CI86" s="6"/>
      <c r="CJ86" s="140">
        <v>2048.0</v>
      </c>
    </row>
    <row r="87">
      <c r="B87" s="135"/>
      <c r="C87" s="136"/>
      <c r="D87" s="137"/>
      <c r="E87" s="137"/>
      <c r="F87" s="137"/>
      <c r="G87" s="138"/>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8"/>
      <c r="AH87" s="137"/>
      <c r="AI87" s="137"/>
      <c r="AJ87" s="137"/>
      <c r="AK87" s="137"/>
      <c r="AL87" s="137"/>
      <c r="AM87" s="137"/>
      <c r="AN87" s="137"/>
      <c r="AO87" s="137"/>
      <c r="AP87" s="137"/>
      <c r="AQ87" s="137"/>
      <c r="AR87" s="137"/>
      <c r="AS87" s="137"/>
      <c r="AT87" s="138"/>
      <c r="AU87" s="137"/>
      <c r="AV87" s="137"/>
      <c r="AW87" s="137"/>
      <c r="AX87" s="137"/>
      <c r="AY87" s="137"/>
      <c r="AZ87" s="137"/>
      <c r="BA87" s="137"/>
      <c r="BB87" s="137"/>
      <c r="BC87" s="137"/>
      <c r="BD87" s="137"/>
      <c r="BE87" s="137"/>
      <c r="BF87" s="137"/>
      <c r="BG87" s="137"/>
      <c r="BH87" s="137"/>
      <c r="BI87" s="139"/>
      <c r="BK87" s="22"/>
      <c r="BM87" s="140" t="s">
        <v>723</v>
      </c>
      <c r="BN87" s="6"/>
      <c r="BO87" s="6"/>
      <c r="BP87" s="6"/>
      <c r="BQ87" s="140">
        <v>1.0</v>
      </c>
      <c r="BR87" s="6"/>
      <c r="BS87" s="6"/>
      <c r="BT87" s="6"/>
      <c r="BU87" s="6"/>
      <c r="BV87" s="6"/>
      <c r="BW87" s="6"/>
      <c r="BX87" s="140">
        <v>1.0</v>
      </c>
      <c r="BZ87" s="140" t="s">
        <v>376</v>
      </c>
      <c r="CA87" s="6">
        <v>1.0</v>
      </c>
      <c r="CB87" s="6">
        <v>1.0</v>
      </c>
      <c r="CG87" s="140" t="s">
        <v>376</v>
      </c>
      <c r="CH87" s="6"/>
      <c r="CI87" s="140">
        <v>2048.0</v>
      </c>
      <c r="CJ87" s="140">
        <v>2048.0</v>
      </c>
    </row>
    <row r="88">
      <c r="B88" s="31" t="s">
        <v>728</v>
      </c>
      <c r="C88" s="54"/>
      <c r="D88" s="45"/>
      <c r="E88" s="45"/>
      <c r="F88" s="47"/>
      <c r="G88" s="35"/>
      <c r="H88" s="55" t="s">
        <v>363</v>
      </c>
      <c r="I88" s="38" t="str">
        <f>VLOOKUP(H88,'Machine List'!$A$1:$I$300,9,FALSE)</f>
        <v>1T</v>
      </c>
      <c r="J88" s="38">
        <f>IF(VLOOKUP(H88,'Machine List'!$A$1:$I$300,5,FALSE)="Multi",IF(VLOOKUP(H88,'Machine List'!$A$1:$I$300,6,FALSE)="Yes",AI88*3*10^AB88,AI88*(2*3)*10^(AB88-1)),0)</f>
        <v>6000</v>
      </c>
      <c r="K88" s="38">
        <f>J88+IF(ISNUMBER(I88),I88,
  SWITCH(
      I88,
      "1T",1*10^AB88,
      "2T",2*10^AB88,
      "3T",3*10^AB88,
      "4T",4*10^AB88,
      "4000+500(7O-5)",4000+500*(7*I89-5),
      "13500 + 16C",13500+16*VLOOKUP(J90,'Machine Helper Sheet'!$G$1:$K$16,5,FALSE),
      1
  )
)</f>
        <v>16000</v>
      </c>
      <c r="L88" s="38">
        <f>IF(VLOOKUP(H88,'Machine List'!$A$1:$I$300,5,FALSE)="Multi",IF(VLOOKUP(H88,'Machine List'!$A$1:$I$300,6,FALSE)="Yes",AW88*3*10^AV88,AW88*(2*3)*10^(AV88-1)),0)</f>
        <v>12000</v>
      </c>
      <c r="M88" s="38">
        <f>L88+IF(ISNUMBER(I88),I88,
  SWITCH(
      I88,
      "1T",1*10^AV88,
      "2T",2*10^AV88,
      "3T",3*10^AV88,
      "4T",4*10^AV88,
      "4000+500(7O-5)",4000+500*(7*I89-5),
      1
  )
)</f>
        <v>22000</v>
      </c>
      <c r="N88" s="38" t="str">
        <f>VLOOKUP(H88,'Machine List'!$A$1:$I$300,8,FALSE)</f>
        <v>Tier</v>
      </c>
      <c r="O88" s="38">
        <f>IF(ISNUMBER(N88),N88,10^AB88)</f>
        <v>10000</v>
      </c>
      <c r="P88" s="38">
        <f>IF(ISNUMBER(N88),N88,10^AV88)</f>
        <v>10000</v>
      </c>
      <c r="Q88" s="38">
        <f>VLOOKUP(H88,'Machine List'!$A$1:$B$138,2,FALSE)</f>
        <v>1</v>
      </c>
      <c r="R88" s="38" t="s">
        <v>277</v>
      </c>
      <c r="S88" s="45">
        <f>IF(ISNUMBER(Q88),Q88,
  SWITCH(
      Q88,
      "1",1,
      "2T",AB88*2,
      "4T",AB88*4,
      "6T",AB88*6,
      "8T",AB88*8,
      "10T",AB88*10,
      "12T",AB88*12,
      "14T",AB88*14,
      "16T",AB88*16,
      "24T",AB88*24,
      "2(T+1)",2*(AB88+1),
      "1T*C",AB88*J90,
      "2*P",L90*2,
      1
  )
)</f>
        <v>1</v>
      </c>
      <c r="T88" s="38" t="s">
        <v>277</v>
      </c>
      <c r="U88" s="38">
        <f>IF(OR(T88="No",T88=""),S88,T88)</f>
        <v>1</v>
      </c>
      <c r="V88" s="38">
        <f>IF(ISNUMBER(Q88),Q88,
  SWITCH(
      Q88,
      "1",1,
      "2T",AV88*2,
      "4T",AV88*4,
      "6T",AV88*6,
      "8T",AV88*8,
      "10T",AV88*10,
      "12T",AV88*12,
      "14T",AV88*14,
      "16T",AV88*16,
      "24T",AV88*24,
      "2(T+1)",2*(AV88+1),
      "1T*C",AV88*J90,
      "2*P",L90*2,
      1
  )
)</f>
        <v>1</v>
      </c>
      <c r="W88" s="38" t="str">
        <f>T88</f>
        <v>No</v>
      </c>
      <c r="X88" s="38">
        <f>IF(OR(W88="No",W88=""),V88,W88)</f>
        <v>1</v>
      </c>
      <c r="Y88" s="38">
        <f>VLOOKUP(H88,'Machine List'!$A$1:$C$138,3,FALSE)</f>
        <v>1</v>
      </c>
      <c r="Z88" s="38">
        <f>VLOOKUP(H88,'Machine List'!$A$1:$D$138,4,FALSE)</f>
        <v>1</v>
      </c>
      <c r="AA88" s="147" t="s">
        <v>401</v>
      </c>
      <c r="AB88" s="38">
        <f>VLOOKUP(AA88,'Item Helper Sheet'!$A$2:$B$16,2,FALSE)</f>
        <v>4</v>
      </c>
      <c r="AC88" s="147">
        <v>1920.0</v>
      </c>
      <c r="AD88" s="147">
        <f>1800*20</f>
        <v>36000</v>
      </c>
      <c r="AE88" s="38">
        <f>AD88*I90</f>
        <v>432000</v>
      </c>
      <c r="AF88" s="38">
        <f>AC88*AE88</f>
        <v>829440000</v>
      </c>
      <c r="AG88" s="75"/>
      <c r="AH88" s="147" t="str">
        <f>AA88</f>
        <v>04 - EV</v>
      </c>
      <c r="AI88" s="38">
        <v>1.0</v>
      </c>
      <c r="AJ88" s="38">
        <v>1.0</v>
      </c>
      <c r="AK88" s="38">
        <f>AJ88*8*4^AB88</f>
        <v>2048</v>
      </c>
      <c r="AL88" s="38">
        <f>MIN(ROUNDDOWN(AK88/AN88,0),U88)</f>
        <v>1</v>
      </c>
      <c r="AM88" s="38">
        <f>IF(OR(T88="No",T88=""),AI88*S88,AI88*T88)</f>
        <v>1</v>
      </c>
      <c r="AN88" s="38">
        <f>ROUNDUP(AC88*VLOOKUP(H88,'Machine List'!$A$2:$D$219,4,FALSE),0)</f>
        <v>1920</v>
      </c>
      <c r="AO88" s="38">
        <f>AN88*AM88</f>
        <v>1920</v>
      </c>
      <c r="AP88" s="38">
        <f>ROUNDUP(AD88*I90,0)</f>
        <v>432000</v>
      </c>
      <c r="AQ88" s="38">
        <f>IF(ISNUMBER(Y88),ROUNDUP(AP88/Y88,0),
  SWITCH(
      Y88,
      "1+0.5C",ROUNDUP(AP88/(1+0.5*VLOOKUP(J90,'Machine Helper Sheet'!$G$1:$K$16,2,FALSE)),0),
      ROUNDUP(AP88/1,0)
  )
)</f>
        <v>432000</v>
      </c>
      <c r="AR88" s="38">
        <f>ROUNDUP(AQ88/AM88,0)</f>
        <v>432000</v>
      </c>
      <c r="AS88" s="38">
        <f>AO88*AR88</f>
        <v>829440000</v>
      </c>
      <c r="AT88" s="75"/>
      <c r="AU88" s="38" t="s">
        <v>401</v>
      </c>
      <c r="AV88" s="38">
        <f>VLOOKUP(AU88,'Item Helper Sheet'!$A$2:$B$16,2,FALSE)</f>
        <v>4</v>
      </c>
      <c r="AW88" s="38">
        <v>2.0</v>
      </c>
      <c r="AX88" s="38">
        <v>1.0</v>
      </c>
      <c r="AY88" s="38">
        <f>AX88*8*4^AV88</f>
        <v>2048</v>
      </c>
      <c r="AZ88" s="38">
        <f>MIN(ROUNDDOWN(AY88/AN88,0),X88)</f>
        <v>1</v>
      </c>
      <c r="BA88" s="38">
        <f>AZ88*AW88</f>
        <v>2</v>
      </c>
      <c r="BB88" s="38">
        <f>AN88</f>
        <v>1920</v>
      </c>
      <c r="BC88" s="38">
        <f>MIN(AV88-AB88,IF(AY88&gt;=BB89*4,
IF(AY88&gt;=BB89*4^2,
IF(AY88&gt;=BB89*4^3,
IF(AY88&gt;=BB89*4^4,
IF(AY88&gt;=BB89*4^5,
IF(AY88&gt;=BB89*4^6,
IF(AY88&gt;=BB89*4^7,
IF(AY88&gt;=BB89*4^8,
IF(AY88&gt;=BB89*4^9,
IF(AY88&gt;=BB89*4^10,
9),
8),
7),
6),
5),
4),
3),
2),
1),
0))</f>
        <v>0</v>
      </c>
      <c r="BD88" s="38">
        <f>BB88*AZ88*4^BC88</f>
        <v>1920</v>
      </c>
      <c r="BE88" s="38">
        <f>BD88*AW88</f>
        <v>3840</v>
      </c>
      <c r="BF88" s="45">
        <f>ROUNDUP(IF(R88="Yes",AP88/(2^((BC88)*2)),AP88/(2^(BC88))),0)</f>
        <v>432000</v>
      </c>
      <c r="BG88" s="45">
        <f>IF(ISNUMBER(Y88),ROUNDUP(BF88/Y88,0),
  SWITCH(
      Y88,
      "1+0.5C",ROUNDUP(BF88/(1+0.5*VLOOKUP(J90,'Machine Helper Sheet'!$G$1:$K$16,2,FALSE)),0),
      ROUNDUP(BF88/1,0)
  )
)</f>
        <v>432000</v>
      </c>
      <c r="BH88" s="45">
        <f>ROUNDUP(BG88/BA88,0)</f>
        <v>216000</v>
      </c>
      <c r="BI88" s="46">
        <f>BH88*BE88</f>
        <v>829440000</v>
      </c>
      <c r="BK88" s="22"/>
      <c r="BM88" s="140" t="s">
        <v>724</v>
      </c>
      <c r="BN88" s="6"/>
      <c r="BO88" s="6"/>
      <c r="BP88" s="140">
        <v>1.0</v>
      </c>
      <c r="BQ88" s="6"/>
      <c r="BR88" s="6"/>
      <c r="BS88" s="6"/>
      <c r="BT88" s="6"/>
      <c r="BU88" s="6"/>
      <c r="BV88" s="6"/>
      <c r="BW88" s="6"/>
      <c r="BX88" s="140">
        <v>1.0</v>
      </c>
      <c r="BZ88" s="140" t="s">
        <v>297</v>
      </c>
      <c r="CA88" s="6">
        <v>3.0</v>
      </c>
      <c r="CB88" s="6">
        <v>3.0</v>
      </c>
      <c r="CG88" s="140" t="s">
        <v>297</v>
      </c>
      <c r="CH88" s="140">
        <v>6144.0</v>
      </c>
      <c r="CI88" s="6"/>
      <c r="CJ88" s="140">
        <v>6144.0</v>
      </c>
    </row>
    <row r="89">
      <c r="B89" s="40"/>
      <c r="C89" s="41" t="s">
        <v>109</v>
      </c>
      <c r="D89" s="38">
        <f>550*I90</f>
        <v>6600</v>
      </c>
      <c r="E89" s="38" t="s">
        <v>100</v>
      </c>
      <c r="F89" s="42">
        <f>1000*I90</f>
        <v>12000</v>
      </c>
      <c r="G89" s="43"/>
      <c r="H89" s="99" t="s">
        <v>584</v>
      </c>
      <c r="I89" s="45">
        <f t="array" ref="I89">match(TRUE,ISBLANK(F89:F100),0)-1</f>
        <v>1</v>
      </c>
      <c r="J89" s="100" t="s">
        <v>420</v>
      </c>
      <c r="K89" s="100" t="s">
        <v>585</v>
      </c>
      <c r="L89" s="100" t="s">
        <v>704</v>
      </c>
      <c r="M89" s="38"/>
      <c r="N89" s="38"/>
      <c r="O89" s="38"/>
      <c r="P89" s="38"/>
      <c r="Q89" s="38"/>
      <c r="R89" s="101"/>
      <c r="S89" s="101"/>
      <c r="T89" s="101"/>
      <c r="U89" s="45"/>
      <c r="V89" s="45"/>
      <c r="W89" s="45"/>
      <c r="X89" s="45"/>
      <c r="Y89" s="45"/>
      <c r="Z89" s="45"/>
      <c r="AA89" s="45"/>
      <c r="AB89" s="45"/>
      <c r="AC89" s="45"/>
      <c r="AD89" s="45"/>
      <c r="AE89" s="45"/>
      <c r="AF89" s="45"/>
      <c r="AG89" s="79"/>
      <c r="AH89" s="45"/>
      <c r="AI89" s="45"/>
      <c r="AJ89" s="45"/>
      <c r="AK89" s="45"/>
      <c r="AL89" s="45"/>
      <c r="AM89" s="45"/>
      <c r="AN89" s="45"/>
      <c r="AO89" s="45"/>
      <c r="AP89" s="45"/>
      <c r="AQ89" s="45"/>
      <c r="AR89" s="45"/>
      <c r="AS89" s="45"/>
      <c r="AT89" s="79"/>
      <c r="AU89" s="45"/>
      <c r="AV89" s="45"/>
      <c r="AW89" s="45"/>
      <c r="AX89" s="45"/>
      <c r="AY89" s="45"/>
      <c r="AZ89" s="45"/>
      <c r="BA89" s="45"/>
      <c r="BB89" s="45">
        <f>BB88*AZ88</f>
        <v>1920</v>
      </c>
      <c r="BC89" s="45"/>
      <c r="BD89" s="45"/>
      <c r="BE89" s="45"/>
      <c r="BF89" s="45"/>
      <c r="BG89" s="45"/>
      <c r="BH89" s="45"/>
      <c r="BI89" s="46"/>
      <c r="BK89" s="22"/>
      <c r="BM89" s="140" t="s">
        <v>725</v>
      </c>
      <c r="BN89" s="6"/>
      <c r="BO89" s="6"/>
      <c r="BP89" s="6"/>
      <c r="BQ89" s="6"/>
      <c r="BR89" s="140">
        <v>1.0</v>
      </c>
      <c r="BS89" s="6"/>
      <c r="BT89" s="6"/>
      <c r="BU89" s="6"/>
      <c r="BV89" s="6"/>
      <c r="BW89" s="6"/>
      <c r="BX89" s="140">
        <v>1.0</v>
      </c>
      <c r="BZ89" s="140" t="s">
        <v>301</v>
      </c>
      <c r="CA89" s="6">
        <v>2.0</v>
      </c>
      <c r="CB89" s="6">
        <v>2.0</v>
      </c>
      <c r="CG89" s="140" t="s">
        <v>301</v>
      </c>
      <c r="CH89" s="140">
        <v>4096.0</v>
      </c>
      <c r="CI89" s="6"/>
      <c r="CJ89" s="140">
        <v>4096.0</v>
      </c>
    </row>
    <row r="90">
      <c r="B90" s="40"/>
      <c r="C90" s="41" t="s">
        <v>33</v>
      </c>
      <c r="D90" s="38">
        <f>150*I90</f>
        <v>1800</v>
      </c>
      <c r="E90" s="38"/>
      <c r="F90" s="42"/>
      <c r="G90" s="43"/>
      <c r="H90" s="56" t="s">
        <v>502</v>
      </c>
      <c r="I90" s="49">
        <v>12.0</v>
      </c>
      <c r="J90" s="100" t="s">
        <v>424</v>
      </c>
      <c r="K90" s="100">
        <v>0.0</v>
      </c>
      <c r="L90" s="100">
        <v>0.0</v>
      </c>
      <c r="M90" s="45"/>
      <c r="N90" s="45"/>
      <c r="O90" s="45"/>
      <c r="P90" s="45"/>
      <c r="Q90" s="45"/>
      <c r="R90" s="45"/>
      <c r="S90" s="101"/>
      <c r="T90" s="101"/>
      <c r="U90" s="45"/>
      <c r="V90" s="45"/>
      <c r="W90" s="45"/>
      <c r="X90" s="45"/>
      <c r="Y90" s="45"/>
      <c r="Z90" s="45"/>
      <c r="AA90" s="45"/>
      <c r="AB90" s="45"/>
      <c r="AC90" s="45"/>
      <c r="AD90" s="45"/>
      <c r="AE90" s="45"/>
      <c r="AF90" s="45"/>
      <c r="AG90" s="79"/>
      <c r="AH90" s="45"/>
      <c r="AI90" s="45"/>
      <c r="AJ90" s="45"/>
      <c r="AK90" s="45"/>
      <c r="AL90" s="45"/>
      <c r="AM90" s="45"/>
      <c r="AN90" s="45"/>
      <c r="AO90" s="45"/>
      <c r="AP90" s="45"/>
      <c r="AQ90" s="45"/>
      <c r="AR90" s="45"/>
      <c r="AS90" s="45"/>
      <c r="AT90" s="79"/>
      <c r="AU90" s="45"/>
      <c r="AV90" s="45"/>
      <c r="AW90" s="45"/>
      <c r="AX90" s="45"/>
      <c r="AY90" s="45"/>
      <c r="AZ90" s="45"/>
      <c r="BA90" s="45"/>
      <c r="BB90" s="45"/>
      <c r="BC90" s="45"/>
      <c r="BD90" s="45"/>
      <c r="BE90" s="45"/>
      <c r="BF90" s="45"/>
      <c r="BG90" s="45"/>
      <c r="BH90" s="45"/>
      <c r="BI90" s="46"/>
      <c r="BK90" s="22"/>
      <c r="BM90" s="140" t="s">
        <v>726</v>
      </c>
      <c r="BN90" s="6"/>
      <c r="BO90" s="6"/>
      <c r="BP90" s="6"/>
      <c r="BQ90" s="6"/>
      <c r="BR90" s="140">
        <v>1.0</v>
      </c>
      <c r="BS90" s="6"/>
      <c r="BT90" s="6"/>
      <c r="BU90" s="6"/>
      <c r="BV90" s="6"/>
      <c r="BW90" s="6"/>
      <c r="BX90" s="140">
        <v>1.0</v>
      </c>
      <c r="BZ90" s="140" t="s">
        <v>309</v>
      </c>
      <c r="CA90" s="6">
        <v>4.0</v>
      </c>
      <c r="CB90" s="6">
        <v>4.0</v>
      </c>
      <c r="CG90" s="140" t="s">
        <v>309</v>
      </c>
      <c r="CH90" s="140">
        <v>8192.0</v>
      </c>
      <c r="CI90" s="6"/>
      <c r="CJ90" s="140">
        <v>8192.0</v>
      </c>
    </row>
    <row r="91">
      <c r="B91" s="40"/>
      <c r="C91" s="41" t="s">
        <v>260</v>
      </c>
      <c r="D91" s="38">
        <f>60*I90</f>
        <v>720</v>
      </c>
      <c r="E91" s="38"/>
      <c r="F91" s="42"/>
      <c r="G91" s="43"/>
      <c r="H91" s="44"/>
      <c r="I91" s="45"/>
      <c r="J91" s="45"/>
      <c r="K91" s="45"/>
      <c r="L91" s="45"/>
      <c r="M91" s="45"/>
      <c r="N91" s="45"/>
      <c r="O91" s="45"/>
      <c r="P91" s="45"/>
      <c r="Q91" s="45"/>
      <c r="R91" s="45"/>
      <c r="S91" s="101"/>
      <c r="T91" s="101"/>
      <c r="U91" s="45"/>
      <c r="V91" s="45"/>
      <c r="W91" s="45"/>
      <c r="X91" s="45"/>
      <c r="Y91" s="45"/>
      <c r="Z91" s="45"/>
      <c r="AA91" s="45"/>
      <c r="AB91" s="45"/>
      <c r="AC91" s="45"/>
      <c r="AD91" s="45"/>
      <c r="AE91" s="45"/>
      <c r="AF91" s="45"/>
      <c r="AG91" s="79"/>
      <c r="AH91" s="45"/>
      <c r="AI91" s="45"/>
      <c r="AJ91" s="45"/>
      <c r="AK91" s="45"/>
      <c r="AL91" s="45"/>
      <c r="AM91" s="45"/>
      <c r="AN91" s="45"/>
      <c r="AO91" s="45"/>
      <c r="AP91" s="45"/>
      <c r="AQ91" s="45"/>
      <c r="AR91" s="45"/>
      <c r="AS91" s="45"/>
      <c r="AT91" s="79"/>
      <c r="AU91" s="45"/>
      <c r="AV91" s="45"/>
      <c r="AW91" s="45"/>
      <c r="AX91" s="45"/>
      <c r="AY91" s="45"/>
      <c r="AZ91" s="45"/>
      <c r="BA91" s="45"/>
      <c r="BB91" s="45"/>
      <c r="BC91" s="45"/>
      <c r="BD91" s="45"/>
      <c r="BE91" s="45"/>
      <c r="BF91" s="45"/>
      <c r="BG91" s="45"/>
      <c r="BH91" s="45"/>
      <c r="BI91" s="46"/>
      <c r="BK91" s="22"/>
      <c r="BM91" s="140" t="s">
        <v>727</v>
      </c>
      <c r="BN91" s="6"/>
      <c r="BO91" s="6"/>
      <c r="BP91" s="6"/>
      <c r="BQ91" s="6"/>
      <c r="BR91" s="140">
        <v>1.0</v>
      </c>
      <c r="BS91" s="6"/>
      <c r="BT91" s="6"/>
      <c r="BU91" s="6"/>
      <c r="BV91" s="6"/>
      <c r="BW91" s="6"/>
      <c r="BX91" s="140">
        <v>1.0</v>
      </c>
      <c r="BZ91" s="140" t="s">
        <v>379</v>
      </c>
      <c r="CA91" s="6">
        <v>1.0</v>
      </c>
      <c r="CB91" s="6">
        <v>1.0</v>
      </c>
      <c r="CG91" s="140" t="s">
        <v>379</v>
      </c>
      <c r="CH91" s="140">
        <v>2048.0</v>
      </c>
      <c r="CI91" s="6"/>
      <c r="CJ91" s="140">
        <v>2048.0</v>
      </c>
    </row>
    <row r="92">
      <c r="B92" s="40"/>
      <c r="C92" s="41" t="s">
        <v>246</v>
      </c>
      <c r="D92" s="133">
        <f>240*I90</f>
        <v>2880</v>
      </c>
      <c r="E92" s="38"/>
      <c r="F92" s="42"/>
      <c r="G92" s="43"/>
      <c r="H92" s="44"/>
      <c r="I92" s="45"/>
      <c r="J92" s="45"/>
      <c r="K92" s="45"/>
      <c r="L92" s="45"/>
      <c r="M92" s="45"/>
      <c r="N92" s="45"/>
      <c r="O92" s="45"/>
      <c r="P92" s="45"/>
      <c r="Q92" s="45"/>
      <c r="R92" s="45"/>
      <c r="S92" s="101"/>
      <c r="T92" s="101"/>
      <c r="U92" s="45"/>
      <c r="V92" s="45"/>
      <c r="W92" s="45"/>
      <c r="X92" s="45"/>
      <c r="Y92" s="45"/>
      <c r="Z92" s="45"/>
      <c r="AA92" s="45"/>
      <c r="AB92" s="45"/>
      <c r="AC92" s="45"/>
      <c r="AD92" s="45"/>
      <c r="AE92" s="45"/>
      <c r="AF92" s="45"/>
      <c r="AG92" s="79"/>
      <c r="AH92" s="45"/>
      <c r="AI92" s="45"/>
      <c r="AJ92" s="45"/>
      <c r="AK92" s="45"/>
      <c r="AL92" s="45"/>
      <c r="AM92" s="45"/>
      <c r="AN92" s="45"/>
      <c r="AO92" s="45"/>
      <c r="AP92" s="45"/>
      <c r="AQ92" s="45"/>
      <c r="AR92" s="45"/>
      <c r="AS92" s="45"/>
      <c r="AT92" s="79"/>
      <c r="AU92" s="45"/>
      <c r="AV92" s="45"/>
      <c r="AW92" s="45"/>
      <c r="AX92" s="45"/>
      <c r="AY92" s="45"/>
      <c r="AZ92" s="45"/>
      <c r="BA92" s="45"/>
      <c r="BB92" s="45"/>
      <c r="BC92" s="45"/>
      <c r="BD92" s="45"/>
      <c r="BE92" s="45"/>
      <c r="BF92" s="45"/>
      <c r="BG92" s="45"/>
      <c r="BH92" s="45"/>
      <c r="BI92" s="46"/>
      <c r="BK92" s="22"/>
      <c r="BM92" s="6" t="s">
        <v>728</v>
      </c>
      <c r="BN92" s="6"/>
      <c r="BO92" s="6"/>
      <c r="BP92" s="6"/>
      <c r="BQ92" s="6"/>
      <c r="BR92" s="6"/>
      <c r="BS92" s="6"/>
      <c r="BT92" s="6"/>
      <c r="BU92" s="6"/>
      <c r="BV92" s="6"/>
      <c r="BW92" s="6">
        <v>1.0</v>
      </c>
      <c r="BX92" s="6">
        <v>1.0</v>
      </c>
      <c r="BZ92" s="6" t="s">
        <v>349</v>
      </c>
      <c r="CA92" s="6">
        <v>7.0</v>
      </c>
      <c r="CB92" s="6">
        <v>7.0</v>
      </c>
      <c r="CG92" s="6" t="s">
        <v>349</v>
      </c>
      <c r="CH92" s="6">
        <v>14336.0</v>
      </c>
      <c r="CI92" s="6"/>
      <c r="CJ92" s="6">
        <v>14336.0</v>
      </c>
    </row>
    <row r="93">
      <c r="B93" s="135"/>
      <c r="C93" s="136"/>
      <c r="D93" s="137"/>
      <c r="E93" s="137"/>
      <c r="F93" s="137"/>
      <c r="G93" s="138"/>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8"/>
      <c r="AH93" s="137"/>
      <c r="AI93" s="137"/>
      <c r="AJ93" s="137"/>
      <c r="AK93" s="137"/>
      <c r="AL93" s="137"/>
      <c r="AM93" s="137"/>
      <c r="AN93" s="137"/>
      <c r="AO93" s="137"/>
      <c r="AP93" s="137"/>
      <c r="AQ93" s="137"/>
      <c r="AR93" s="137"/>
      <c r="AS93" s="137"/>
      <c r="AT93" s="138"/>
      <c r="AU93" s="137"/>
      <c r="AV93" s="137"/>
      <c r="AW93" s="137"/>
      <c r="AX93" s="137"/>
      <c r="AY93" s="137"/>
      <c r="AZ93" s="137"/>
      <c r="BA93" s="137"/>
      <c r="BB93" s="137"/>
      <c r="BC93" s="137"/>
      <c r="BD93" s="137"/>
      <c r="BE93" s="137"/>
      <c r="BF93" s="137"/>
      <c r="BG93" s="137"/>
      <c r="BH93" s="137"/>
      <c r="BI93" s="139"/>
      <c r="BK93" s="22"/>
      <c r="BM93" s="6" t="s">
        <v>729</v>
      </c>
      <c r="BN93" s="6"/>
      <c r="BO93" s="6"/>
      <c r="BP93" s="6"/>
      <c r="BQ93" s="6"/>
      <c r="BR93" s="6"/>
      <c r="BS93" s="6"/>
      <c r="BT93" s="6"/>
      <c r="BU93" s="6">
        <v>1.0</v>
      </c>
      <c r="BV93" s="6"/>
      <c r="BW93" s="6"/>
      <c r="BX93" s="6">
        <v>1.0</v>
      </c>
      <c r="BZ93" s="6" t="s">
        <v>350</v>
      </c>
      <c r="CA93" s="6">
        <v>1.0</v>
      </c>
      <c r="CB93" s="6">
        <v>1.0</v>
      </c>
      <c r="CG93" s="6" t="s">
        <v>350</v>
      </c>
      <c r="CH93" s="6">
        <v>2048.0</v>
      </c>
      <c r="CI93" s="6"/>
      <c r="CJ93" s="6">
        <v>2048.0</v>
      </c>
    </row>
    <row r="94">
      <c r="B94" s="31" t="s">
        <v>729</v>
      </c>
      <c r="C94" s="54"/>
      <c r="D94" s="45"/>
      <c r="E94" s="45"/>
      <c r="F94" s="47"/>
      <c r="G94" s="35"/>
      <c r="H94" s="55" t="s">
        <v>350</v>
      </c>
      <c r="I94" s="38" t="str">
        <f>VLOOKUP(H94,'Machine List'!$A$1:$I$300,9,FALSE)</f>
        <v>1T</v>
      </c>
      <c r="J94" s="38">
        <f>IF(VLOOKUP(H94,'Machine List'!$A$1:$I$300,5,FALSE)="Multi",IF(VLOOKUP(H94,'Machine List'!$A$1:$I$300,6,FALSE)="Yes",AI94*3*10^AB94,AI94*(2*3)*10^(AB94-1)),0)</f>
        <v>6000</v>
      </c>
      <c r="K94" s="38">
        <f>J94+IF(ISNUMBER(I94),I94,
  SWITCH(
      I94,
      "1T",1*10^AB94,
      "2T",2*10^AB94,
      "3T",3*10^AB94,
      "4T",4*10^AB94,
      "4000+500(7O-5)",4000+500*(7*I95-5),
      "13500 + 16C",13500+16*VLOOKUP(J96,'Machine Helper Sheet'!$G$1:$K$16,5,FALSE),
      1
  )
)</f>
        <v>16000</v>
      </c>
      <c r="L94" s="38">
        <f>IF(VLOOKUP(H94,'Machine List'!$A$1:$I$300,5,FALSE)="Multi",IF(VLOOKUP(H94,'Machine List'!$A$1:$I$300,6,FALSE)="Yes",AW94*3*10^AV94,AW94*(2*3)*10^(AV94-1)),0)</f>
        <v>6000</v>
      </c>
      <c r="M94" s="38">
        <f>L94+IF(ISNUMBER(I94),I94,
  SWITCH(
      I94,
      "1T",1*10^AV94,
      "2T",2*10^AV94,
      "3T",3*10^AV94,
      "4T",4*10^AV94,
      "4000+500(7O-5)",4000+500*(7*I95-5),
      1
  )
)</f>
        <v>16000</v>
      </c>
      <c r="N94" s="38" t="str">
        <f>VLOOKUP(H94,'Machine List'!$A$1:$I$300,8,FALSE)</f>
        <v>Tier</v>
      </c>
      <c r="O94" s="38">
        <f>IF(ISNUMBER(N94),N94,10^AB94)</f>
        <v>10000</v>
      </c>
      <c r="P94" s="38">
        <f>IF(ISNUMBER(N94),N94,10^AV94)</f>
        <v>10000</v>
      </c>
      <c r="Q94" s="38">
        <f>VLOOKUP(H94,'Machine List'!$A$1:$B$138,2,FALSE)</f>
        <v>1</v>
      </c>
      <c r="R94" s="38" t="s">
        <v>277</v>
      </c>
      <c r="S94" s="45">
        <f>IF(ISNUMBER(Q94),Q94,
  SWITCH(
      Q94,
      "1",1,
      "2T",AB94*2,
      "4T",AB94*4,
      "6T",AB94*6,
      "8T",AB94*8,
      "10T",AB94*10,
      "12T",AB94*12,
      "14T",AB94*14,
      "16T",AB94*16,
      "24T",AB94*24,
      "2(T+1)",2*(AB94+1),
      "1T*C",AB94*J96,
      "2*P",L96*2,
      1
  )
)</f>
        <v>1</v>
      </c>
      <c r="T94" s="38" t="s">
        <v>277</v>
      </c>
      <c r="U94" s="38">
        <f>IF(OR(T94="No",T94=""),S94,T94)</f>
        <v>1</v>
      </c>
      <c r="V94" s="38">
        <f>IF(ISNUMBER(Q94),Q94,
  SWITCH(
      Q94,
      "1",1,
      "2T",AV94*2,
      "4T",AV94*4,
      "6T",AV94*6,
      "8T",AV94*8,
      "10T",AV94*10,
      "12T",AV94*12,
      "14T",AV94*14,
      "16T",AV94*16,
      "24T",AV94*24,
      "2(T+1)",2*(AV94+1),
      "1T*C",AV94*J96,
      "2*P",L96*2,
      1
  )
)</f>
        <v>1</v>
      </c>
      <c r="W94" s="38" t="str">
        <f>T94</f>
        <v>No</v>
      </c>
      <c r="X94" s="38">
        <f>IF(OR(W94="No",W94=""),V94,W94)</f>
        <v>1</v>
      </c>
      <c r="Y94" s="38">
        <f>VLOOKUP(H94,'Machine List'!$A$1:$C$138,3,FALSE)</f>
        <v>1</v>
      </c>
      <c r="Z94" s="38">
        <f>VLOOKUP(H94,'Machine List'!$A$1:$D$138,4,FALSE)</f>
        <v>1</v>
      </c>
      <c r="AA94" s="147" t="s">
        <v>401</v>
      </c>
      <c r="AB94" s="38">
        <f>VLOOKUP(AA94,'Item Helper Sheet'!$A$2:$B$16,2,FALSE)</f>
        <v>4</v>
      </c>
      <c r="AC94" s="147">
        <v>0.001</v>
      </c>
      <c r="AD94" s="147">
        <f>100*20</f>
        <v>2000</v>
      </c>
      <c r="AE94" s="38">
        <f>AD94*I96</f>
        <v>240000</v>
      </c>
      <c r="AF94" s="38">
        <f>AC94*AE94</f>
        <v>240</v>
      </c>
      <c r="AG94" s="75"/>
      <c r="AH94" s="147" t="str">
        <f>AA94</f>
        <v>04 - EV</v>
      </c>
      <c r="AI94" s="38">
        <v>1.0</v>
      </c>
      <c r="AJ94" s="38">
        <v>1.0</v>
      </c>
      <c r="AK94" s="38">
        <f>AJ94*8*4^AB94</f>
        <v>2048</v>
      </c>
      <c r="AL94" s="38">
        <f>MIN(ROUNDDOWN(AK94/AN94,0),U94)</f>
        <v>1</v>
      </c>
      <c r="AM94" s="38">
        <f>IF(OR(T94="No",T94=""),AI94*S94,AI94*T94)</f>
        <v>1</v>
      </c>
      <c r="AN94" s="38">
        <f>ROUNDUP(AC94*VLOOKUP(H94,'Machine List'!$A$2:$D$219,4,FALSE),0)</f>
        <v>1</v>
      </c>
      <c r="AO94" s="38">
        <f>AN94*AM94</f>
        <v>1</v>
      </c>
      <c r="AP94" s="38">
        <f>ROUNDUP(AD94*I96,0)</f>
        <v>240000</v>
      </c>
      <c r="AQ94" s="38">
        <f>IF(ISNUMBER(Y94),ROUNDUP(AP94/Y94,0),
  SWITCH(
      Y94,
      "1+0.5C",ROUNDUP(AP94/(1+0.5*VLOOKUP(J96,'Machine Helper Sheet'!$G$1:$K$16,2,FALSE)),0),
      ROUNDUP(AP94/1,0)
  )
)</f>
        <v>240000</v>
      </c>
      <c r="AR94" s="38">
        <f>ROUNDUP(AQ94/AM94,0)</f>
        <v>240000</v>
      </c>
      <c r="AS94" s="38">
        <f>AO94*AR94</f>
        <v>240000</v>
      </c>
      <c r="AT94" s="75"/>
      <c r="AU94" s="38" t="s">
        <v>401</v>
      </c>
      <c r="AV94" s="38">
        <f>VLOOKUP(AU94,'Item Helper Sheet'!$A$2:$B$16,2,FALSE)</f>
        <v>4</v>
      </c>
      <c r="AW94" s="38">
        <f>AI94</f>
        <v>1</v>
      </c>
      <c r="AX94" s="38">
        <v>1.0</v>
      </c>
      <c r="AY94" s="38">
        <f>AX94*8*4^AV94</f>
        <v>2048</v>
      </c>
      <c r="AZ94" s="38">
        <f>MIN(ROUNDDOWN(AY94/AN94,0),X94)</f>
        <v>1</v>
      </c>
      <c r="BA94" s="38">
        <f>AZ94*AW94</f>
        <v>1</v>
      </c>
      <c r="BB94" s="38">
        <f>AN94</f>
        <v>1</v>
      </c>
      <c r="BC94" s="38">
        <f>MIN(AV94-AB94,IF(AY94&gt;=BB95*4,
IF(AY94&gt;=BB95*4^2,
IF(AY94&gt;=BB95*4^3,
IF(AY94&gt;=BB95*4^4,
IF(AY94&gt;=BB95*4^5,
IF(AY94&gt;=BB95*4^6,
IF(AY94&gt;=BB95*4^7,
IF(AY94&gt;=BB95*4^8,
IF(AY94&gt;=BB95*4^9,
IF(AY94&gt;=BB95*4^10,
9),
8),
7),
6),
5),
4),
3),
2),
1),
0))</f>
        <v>0</v>
      </c>
      <c r="BD94" s="38">
        <f>BB94*AZ94*4^BC94</f>
        <v>1</v>
      </c>
      <c r="BE94" s="38">
        <f>BD94*AW94</f>
        <v>1</v>
      </c>
      <c r="BF94" s="45">
        <f>ROUNDUP(IF(R94="Yes",AP94/(2^((BC94)*2)),AP94/(2^(BC94))),0)</f>
        <v>240000</v>
      </c>
      <c r="BG94" s="45">
        <f>IF(ISNUMBER(Y94),ROUNDUP(BF94/Y94,0),
  SWITCH(
      Y94,
      "1+0.5C",ROUNDUP(BF94/(1+0.5*VLOOKUP(J96,'Machine Helper Sheet'!$G$1:$K$16,2,FALSE)),0),
      ROUNDUP(BF94/1,0)
  )
)</f>
        <v>240000</v>
      </c>
      <c r="BH94" s="45">
        <f>ROUNDUP(BG94/BA94,0)</f>
        <v>240000</v>
      </c>
      <c r="BI94" s="46">
        <f>BH94*BE94</f>
        <v>240000</v>
      </c>
      <c r="BK94" s="22"/>
      <c r="BM94" s="6" t="s">
        <v>487</v>
      </c>
      <c r="BN94" s="140">
        <v>1.0</v>
      </c>
      <c r="BO94" s="140">
        <v>1.0</v>
      </c>
      <c r="BP94" s="140">
        <v>3.0</v>
      </c>
      <c r="BQ94" s="140">
        <v>2.0</v>
      </c>
      <c r="BR94" s="140">
        <v>4.0</v>
      </c>
      <c r="BS94" s="140">
        <v>1.0</v>
      </c>
      <c r="BT94" s="6">
        <v>7.0</v>
      </c>
      <c r="BU94" s="6">
        <v>1.0</v>
      </c>
      <c r="BV94" s="140">
        <v>1.0</v>
      </c>
      <c r="BW94" s="6">
        <v>1.0</v>
      </c>
      <c r="BX94" s="6">
        <v>22.0</v>
      </c>
      <c r="BZ94" s="140" t="s">
        <v>351</v>
      </c>
      <c r="CA94" s="6">
        <v>1.0</v>
      </c>
      <c r="CB94" s="6">
        <v>1.0</v>
      </c>
      <c r="CG94" s="140" t="s">
        <v>351</v>
      </c>
      <c r="CH94" s="140">
        <v>2048.0</v>
      </c>
      <c r="CI94" s="6"/>
      <c r="CJ94" s="140">
        <v>2048.0</v>
      </c>
    </row>
    <row r="95">
      <c r="B95" s="40"/>
      <c r="C95" s="41" t="s">
        <v>100</v>
      </c>
      <c r="D95" s="38">
        <f>100*I96</f>
        <v>12000</v>
      </c>
      <c r="E95" s="38" t="s">
        <v>240</v>
      </c>
      <c r="F95" s="42">
        <f>25*I96</f>
        <v>3000</v>
      </c>
      <c r="G95" s="43"/>
      <c r="H95" s="99" t="s">
        <v>584</v>
      </c>
      <c r="I95" s="45">
        <f t="array" ref="I95">match(TRUE,ISBLANK(F95:F106),0)-1</f>
        <v>4</v>
      </c>
      <c r="J95" s="100" t="s">
        <v>420</v>
      </c>
      <c r="K95" s="100" t="s">
        <v>585</v>
      </c>
      <c r="L95" s="100" t="s">
        <v>704</v>
      </c>
      <c r="M95" s="38"/>
      <c r="N95" s="38"/>
      <c r="O95" s="38"/>
      <c r="P95" s="38"/>
      <c r="Q95" s="38"/>
      <c r="R95" s="101"/>
      <c r="S95" s="101"/>
      <c r="T95" s="101"/>
      <c r="U95" s="45"/>
      <c r="V95" s="45"/>
      <c r="W95" s="45"/>
      <c r="X95" s="45"/>
      <c r="Y95" s="45"/>
      <c r="Z95" s="45"/>
      <c r="AA95" s="45"/>
      <c r="AB95" s="45"/>
      <c r="AC95" s="45"/>
      <c r="AD95" s="45"/>
      <c r="AE95" s="45"/>
      <c r="AF95" s="45"/>
      <c r="AG95" s="79"/>
      <c r="AH95" s="45"/>
      <c r="AI95" s="45"/>
      <c r="AJ95" s="45"/>
      <c r="AK95" s="45"/>
      <c r="AL95" s="45"/>
      <c r="AM95" s="45"/>
      <c r="AN95" s="45"/>
      <c r="AO95" s="45"/>
      <c r="AP95" s="45"/>
      <c r="AQ95" s="45"/>
      <c r="AR95" s="45"/>
      <c r="AS95" s="45"/>
      <c r="AT95" s="79"/>
      <c r="AU95" s="45"/>
      <c r="AV95" s="45"/>
      <c r="AW95" s="45"/>
      <c r="AX95" s="45"/>
      <c r="AY95" s="45"/>
      <c r="AZ95" s="45"/>
      <c r="BA95" s="45"/>
      <c r="BB95" s="45">
        <f>BB94*AZ94</f>
        <v>1</v>
      </c>
      <c r="BC95" s="45"/>
      <c r="BD95" s="45"/>
      <c r="BE95" s="45"/>
      <c r="BF95" s="45"/>
      <c r="BG95" s="45"/>
      <c r="BH95" s="45"/>
      <c r="BI95" s="46"/>
      <c r="BK95" s="22"/>
      <c r="BZ95" s="6" t="s">
        <v>363</v>
      </c>
      <c r="CA95" s="6">
        <v>1.0</v>
      </c>
      <c r="CB95" s="6">
        <v>1.0</v>
      </c>
      <c r="CG95" s="6" t="s">
        <v>363</v>
      </c>
      <c r="CH95" s="6">
        <v>2048.0</v>
      </c>
      <c r="CI95" s="6"/>
      <c r="CJ95" s="6">
        <v>2048.0</v>
      </c>
    </row>
    <row r="96">
      <c r="B96" s="40"/>
      <c r="C96" s="41" t="s">
        <v>113</v>
      </c>
      <c r="D96" s="38">
        <f>200*I96</f>
        <v>24000</v>
      </c>
      <c r="E96" s="38" t="s">
        <v>235</v>
      </c>
      <c r="F96" s="42">
        <f>50*I96</f>
        <v>6000</v>
      </c>
      <c r="G96" s="43"/>
      <c r="H96" s="56" t="s">
        <v>502</v>
      </c>
      <c r="I96" s="49">
        <v>120.0</v>
      </c>
      <c r="J96" s="100" t="s">
        <v>424</v>
      </c>
      <c r="K96" s="100">
        <v>0.0</v>
      </c>
      <c r="L96" s="100">
        <v>0.0</v>
      </c>
      <c r="M96" s="45"/>
      <c r="N96" s="45"/>
      <c r="O96" s="45"/>
      <c r="P96" s="45"/>
      <c r="Q96" s="45"/>
      <c r="R96" s="45"/>
      <c r="S96" s="101"/>
      <c r="T96" s="101"/>
      <c r="U96" s="45"/>
      <c r="V96" s="45"/>
      <c r="W96" s="45"/>
      <c r="X96" s="45"/>
      <c r="Y96" s="45"/>
      <c r="Z96" s="45"/>
      <c r="AA96" s="45"/>
      <c r="AB96" s="45"/>
      <c r="AC96" s="45"/>
      <c r="AD96" s="45"/>
      <c r="AE96" s="45"/>
      <c r="AF96" s="45"/>
      <c r="AG96" s="79"/>
      <c r="AH96" s="45"/>
      <c r="AI96" s="45"/>
      <c r="AJ96" s="45"/>
      <c r="AK96" s="45"/>
      <c r="AL96" s="45"/>
      <c r="AM96" s="45"/>
      <c r="AN96" s="45"/>
      <c r="AO96" s="45"/>
      <c r="AP96" s="45"/>
      <c r="AQ96" s="45"/>
      <c r="AR96" s="45"/>
      <c r="AS96" s="45"/>
      <c r="AT96" s="79"/>
      <c r="AU96" s="45"/>
      <c r="AV96" s="45"/>
      <c r="AW96" s="45"/>
      <c r="AX96" s="45"/>
      <c r="AY96" s="45"/>
      <c r="AZ96" s="45"/>
      <c r="BA96" s="45"/>
      <c r="BB96" s="45"/>
      <c r="BC96" s="45"/>
      <c r="BD96" s="45"/>
      <c r="BE96" s="45"/>
      <c r="BF96" s="45"/>
      <c r="BG96" s="45"/>
      <c r="BH96" s="45"/>
      <c r="BI96" s="46"/>
      <c r="BK96" s="22"/>
      <c r="BM96" s="6" t="s">
        <v>622</v>
      </c>
      <c r="BN96" s="6" t="s">
        <v>462</v>
      </c>
      <c r="BO96" s="6"/>
      <c r="BP96" s="6"/>
      <c r="BQ96" s="6"/>
      <c r="BR96" s="6"/>
      <c r="BS96" s="6"/>
      <c r="BT96" s="6"/>
      <c r="BU96" s="6"/>
      <c r="BV96" s="6"/>
      <c r="BW96" s="6"/>
      <c r="BX96" s="6"/>
      <c r="BZ96" s="6" t="s">
        <v>487</v>
      </c>
      <c r="CA96" s="6">
        <v>22.0</v>
      </c>
      <c r="CB96" s="6">
        <v>22.0</v>
      </c>
      <c r="CG96" s="6" t="s">
        <v>487</v>
      </c>
      <c r="CH96" s="6">
        <v>43008.0</v>
      </c>
      <c r="CI96" s="140">
        <v>2048.0</v>
      </c>
      <c r="CJ96" s="6">
        <v>45056.0</v>
      </c>
    </row>
    <row r="97">
      <c r="B97" s="40"/>
      <c r="C97" s="41"/>
      <c r="D97" s="38"/>
      <c r="E97" s="38" t="s">
        <v>241</v>
      </c>
      <c r="F97" s="42">
        <f>6*I96</f>
        <v>720</v>
      </c>
      <c r="G97" s="43"/>
      <c r="H97" s="44"/>
      <c r="I97" s="45"/>
      <c r="J97" s="45"/>
      <c r="K97" s="45"/>
      <c r="L97" s="45"/>
      <c r="M97" s="45"/>
      <c r="N97" s="45"/>
      <c r="O97" s="45"/>
      <c r="P97" s="45"/>
      <c r="Q97" s="45"/>
      <c r="R97" s="45"/>
      <c r="S97" s="101"/>
      <c r="T97" s="101"/>
      <c r="U97" s="45"/>
      <c r="V97" s="45"/>
      <c r="W97" s="45"/>
      <c r="X97" s="45"/>
      <c r="Y97" s="45"/>
      <c r="Z97" s="45"/>
      <c r="AA97" s="45"/>
      <c r="AB97" s="45"/>
      <c r="AC97" s="45"/>
      <c r="AD97" s="45"/>
      <c r="AE97" s="45"/>
      <c r="AF97" s="45"/>
      <c r="AG97" s="79"/>
      <c r="AH97" s="45"/>
      <c r="AI97" s="45"/>
      <c r="AJ97" s="45"/>
      <c r="AK97" s="45"/>
      <c r="AL97" s="45"/>
      <c r="AM97" s="45"/>
      <c r="AN97" s="45"/>
      <c r="AO97" s="45"/>
      <c r="AP97" s="45"/>
      <c r="AQ97" s="45"/>
      <c r="AR97" s="45"/>
      <c r="AS97" s="45"/>
      <c r="AT97" s="79"/>
      <c r="AU97" s="45"/>
      <c r="AV97" s="45"/>
      <c r="AW97" s="45"/>
      <c r="AX97" s="45"/>
      <c r="AY97" s="45"/>
      <c r="AZ97" s="45"/>
      <c r="BA97" s="45"/>
      <c r="BB97" s="45"/>
      <c r="BC97" s="45"/>
      <c r="BD97" s="45"/>
      <c r="BE97" s="45"/>
      <c r="BF97" s="45"/>
      <c r="BG97" s="45"/>
      <c r="BH97" s="45"/>
      <c r="BI97" s="46"/>
      <c r="BK97" s="22"/>
      <c r="BM97" s="6" t="s">
        <v>457</v>
      </c>
      <c r="BN97" s="140" t="s">
        <v>287</v>
      </c>
      <c r="BO97" s="140" t="s">
        <v>376</v>
      </c>
      <c r="BP97" s="140" t="s">
        <v>297</v>
      </c>
      <c r="BQ97" s="140" t="s">
        <v>301</v>
      </c>
      <c r="BR97" s="140" t="s">
        <v>309</v>
      </c>
      <c r="BS97" s="140" t="s">
        <v>379</v>
      </c>
      <c r="BT97" s="6" t="s">
        <v>349</v>
      </c>
      <c r="BU97" s="6" t="s">
        <v>350</v>
      </c>
      <c r="BV97" s="140" t="s">
        <v>351</v>
      </c>
      <c r="BW97" s="6" t="s">
        <v>363</v>
      </c>
      <c r="BX97" s="6" t="s">
        <v>487</v>
      </c>
    </row>
    <row r="98">
      <c r="B98" s="40"/>
      <c r="C98" s="41"/>
      <c r="D98" s="133"/>
      <c r="E98" s="38" t="s">
        <v>244</v>
      </c>
      <c r="F98" s="42">
        <f>50*I96</f>
        <v>6000</v>
      </c>
      <c r="G98" s="43"/>
      <c r="H98" s="44"/>
      <c r="I98" s="45"/>
      <c r="J98" s="45"/>
      <c r="K98" s="45"/>
      <c r="L98" s="45"/>
      <c r="M98" s="45"/>
      <c r="N98" s="45"/>
      <c r="O98" s="45"/>
      <c r="P98" s="45"/>
      <c r="Q98" s="45"/>
      <c r="R98" s="45"/>
      <c r="S98" s="101"/>
      <c r="T98" s="101"/>
      <c r="U98" s="45"/>
      <c r="V98" s="45"/>
      <c r="W98" s="45"/>
      <c r="X98" s="45"/>
      <c r="Y98" s="45"/>
      <c r="Z98" s="45"/>
      <c r="AA98" s="45"/>
      <c r="AB98" s="45"/>
      <c r="AC98" s="45"/>
      <c r="AD98" s="45"/>
      <c r="AE98" s="45"/>
      <c r="AF98" s="45"/>
      <c r="AG98" s="79"/>
      <c r="AH98" s="45"/>
      <c r="AI98" s="45"/>
      <c r="AJ98" s="45"/>
      <c r="AK98" s="45"/>
      <c r="AL98" s="45"/>
      <c r="AM98" s="45"/>
      <c r="AN98" s="45"/>
      <c r="AO98" s="45"/>
      <c r="AP98" s="45"/>
      <c r="AQ98" s="45"/>
      <c r="AR98" s="45"/>
      <c r="AS98" s="45"/>
      <c r="AT98" s="79"/>
      <c r="AU98" s="45"/>
      <c r="AV98" s="45"/>
      <c r="AW98" s="45"/>
      <c r="AX98" s="45"/>
      <c r="AY98" s="45"/>
      <c r="AZ98" s="45"/>
      <c r="BA98" s="45"/>
      <c r="BB98" s="45"/>
      <c r="BC98" s="45"/>
      <c r="BD98" s="45"/>
      <c r="BE98" s="45"/>
      <c r="BF98" s="45"/>
      <c r="BG98" s="45"/>
      <c r="BH98" s="45"/>
      <c r="BI98" s="46"/>
      <c r="BK98" s="22"/>
      <c r="BM98" s="6" t="s">
        <v>708</v>
      </c>
      <c r="BN98" s="6"/>
      <c r="BO98" s="6"/>
      <c r="BP98" s="6"/>
      <c r="BQ98" s="6"/>
      <c r="BR98" s="6"/>
      <c r="BS98" s="6"/>
      <c r="BT98" s="6">
        <v>1.0</v>
      </c>
      <c r="BU98" s="6"/>
      <c r="BV98" s="6"/>
      <c r="BW98" s="6"/>
      <c r="BX98" s="6">
        <v>1.0</v>
      </c>
    </row>
    <row r="99">
      <c r="B99" s="135"/>
      <c r="C99" s="136"/>
      <c r="D99" s="137"/>
      <c r="E99" s="137"/>
      <c r="F99" s="137"/>
      <c r="G99" s="138"/>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8"/>
      <c r="AH99" s="137"/>
      <c r="AI99" s="137"/>
      <c r="AJ99" s="137"/>
      <c r="AK99" s="137"/>
      <c r="AL99" s="137"/>
      <c r="AM99" s="137"/>
      <c r="AN99" s="137"/>
      <c r="AO99" s="137"/>
      <c r="AP99" s="137"/>
      <c r="AQ99" s="137"/>
      <c r="AR99" s="137"/>
      <c r="AS99" s="137"/>
      <c r="AT99" s="138"/>
      <c r="AU99" s="137"/>
      <c r="AV99" s="137"/>
      <c r="AW99" s="137"/>
      <c r="AX99" s="137"/>
      <c r="AY99" s="137"/>
      <c r="AZ99" s="137"/>
      <c r="BA99" s="137"/>
      <c r="BB99" s="137"/>
      <c r="BC99" s="137"/>
      <c r="BD99" s="137"/>
      <c r="BE99" s="137"/>
      <c r="BF99" s="137"/>
      <c r="BG99" s="137"/>
      <c r="BH99" s="137"/>
      <c r="BI99" s="139"/>
      <c r="BK99" s="22"/>
      <c r="BM99" s="140" t="s">
        <v>709</v>
      </c>
      <c r="BN99" s="6"/>
      <c r="BO99" s="6"/>
      <c r="BP99" s="140">
        <v>1.0</v>
      </c>
      <c r="BQ99" s="6"/>
      <c r="BR99" s="6"/>
      <c r="BS99" s="6"/>
      <c r="BT99" s="6"/>
      <c r="BU99" s="6"/>
      <c r="BV99" s="6"/>
      <c r="BW99" s="6"/>
      <c r="BX99" s="140">
        <v>1.0</v>
      </c>
    </row>
    <row r="100">
      <c r="B100" s="140"/>
      <c r="C100" s="140"/>
      <c r="D100" s="140"/>
      <c r="E100" s="140"/>
      <c r="F100" s="140"/>
      <c r="G100" s="140"/>
      <c r="H100" s="140"/>
      <c r="I100" s="140"/>
      <c r="J100" s="140"/>
      <c r="K100" s="7"/>
      <c r="L100" s="140"/>
      <c r="M100" s="140"/>
      <c r="N100" s="140"/>
      <c r="O100" s="140"/>
      <c r="P100" s="140"/>
      <c r="Q100" s="140"/>
      <c r="R100" s="140"/>
      <c r="T100" s="7"/>
      <c r="U100" s="7"/>
      <c r="V100" s="7"/>
      <c r="W100" s="140"/>
      <c r="X100" s="140"/>
      <c r="Y100" s="7"/>
      <c r="Z100" s="7"/>
      <c r="AA100" s="140"/>
      <c r="AB100" s="140"/>
      <c r="AC100" s="140"/>
      <c r="AD100" s="140"/>
      <c r="AE100" s="140"/>
      <c r="AF100" s="140"/>
      <c r="AG100" s="140"/>
      <c r="AH100" s="140"/>
      <c r="AI100" s="140"/>
      <c r="AJ100" s="140"/>
      <c r="AK100" s="140"/>
      <c r="AL100" s="140"/>
      <c r="AM100" s="140"/>
      <c r="AN100" s="140"/>
      <c r="AO100" s="140"/>
      <c r="AP100" s="140"/>
      <c r="AQ100" s="7"/>
      <c r="AR100" s="140"/>
      <c r="AS100" s="140"/>
      <c r="AT100" s="140"/>
      <c r="AU100" s="140"/>
      <c r="AV100" s="140"/>
      <c r="AW100" s="140"/>
      <c r="AX100" s="140"/>
      <c r="AY100" s="140"/>
      <c r="AZ100" s="140"/>
      <c r="BA100" s="140"/>
      <c r="BB100" s="140"/>
      <c r="BC100" s="140"/>
      <c r="BD100" s="140"/>
      <c r="BE100" s="140"/>
      <c r="BF100" s="140"/>
      <c r="BH100" s="140"/>
      <c r="BI100" s="140"/>
      <c r="BK100" s="22"/>
      <c r="BM100" s="140" t="s">
        <v>710</v>
      </c>
      <c r="BN100" s="6"/>
      <c r="BO100" s="6"/>
      <c r="BP100" s="6"/>
      <c r="BQ100" s="6"/>
      <c r="BR100" s="6"/>
      <c r="BS100" s="6"/>
      <c r="BT100" s="140">
        <v>1.0</v>
      </c>
      <c r="BU100" s="6"/>
      <c r="BV100" s="6"/>
      <c r="BW100" s="6"/>
      <c r="BX100" s="140">
        <v>1.0</v>
      </c>
    </row>
    <row r="101">
      <c r="B101" s="140"/>
      <c r="C101" s="159" t="s">
        <v>85</v>
      </c>
      <c r="D101" s="140"/>
      <c r="E101" s="159" t="s">
        <v>31</v>
      </c>
      <c r="F101" s="140"/>
      <c r="G101" s="140"/>
      <c r="H101" s="140"/>
      <c r="I101" s="140"/>
      <c r="J101" s="140"/>
      <c r="K101" s="140"/>
      <c r="L101" s="7"/>
      <c r="M101" s="140"/>
      <c r="N101" s="140"/>
      <c r="O101" s="140"/>
      <c r="P101" s="140"/>
      <c r="Q101" s="140"/>
      <c r="R101" s="140"/>
      <c r="S101" s="140"/>
      <c r="T101" s="140"/>
      <c r="U101" s="140"/>
      <c r="V101" s="140"/>
      <c r="W101" s="140"/>
      <c r="X101" s="140"/>
      <c r="Y101" s="140"/>
      <c r="Z101" s="140"/>
      <c r="AA101" s="140"/>
      <c r="AB101" s="140"/>
      <c r="AC101" s="140"/>
      <c r="AD101" s="140"/>
      <c r="AE101" s="140"/>
      <c r="AF101" s="140"/>
      <c r="AG101" s="140"/>
      <c r="AH101" s="140"/>
      <c r="AI101" s="140"/>
      <c r="AJ101" s="140"/>
      <c r="AK101" s="140"/>
      <c r="AL101" s="140"/>
      <c r="AM101" s="140"/>
      <c r="AN101" s="140"/>
      <c r="AO101" s="140"/>
      <c r="AP101" s="140"/>
      <c r="AQ101" s="140"/>
      <c r="AR101" s="140"/>
      <c r="AS101" s="140"/>
      <c r="AT101" s="140"/>
      <c r="AU101" s="140"/>
      <c r="AV101" s="140"/>
      <c r="AW101" s="140"/>
      <c r="AX101" s="140"/>
      <c r="AY101" s="140"/>
      <c r="AZ101" s="140"/>
      <c r="BA101" s="140"/>
      <c r="BB101" s="140"/>
      <c r="BC101" s="140"/>
      <c r="BD101" s="140"/>
      <c r="BE101" s="140"/>
      <c r="BF101" s="140"/>
      <c r="BG101" s="140"/>
      <c r="BH101" s="140"/>
      <c r="BI101" s="140"/>
      <c r="BK101" s="22"/>
      <c r="BM101" s="140" t="s">
        <v>711</v>
      </c>
      <c r="BN101" s="6"/>
      <c r="BO101" s="140">
        <v>1.0</v>
      </c>
      <c r="BP101" s="6"/>
      <c r="BQ101" s="6"/>
      <c r="BR101" s="6"/>
      <c r="BS101" s="6"/>
      <c r="BT101" s="6"/>
      <c r="BU101" s="6"/>
      <c r="BV101" s="6"/>
      <c r="BW101" s="6"/>
      <c r="BX101" s="140">
        <v>1.0</v>
      </c>
    </row>
    <row r="102">
      <c r="B102" s="140"/>
      <c r="C102" s="159" t="s">
        <v>235</v>
      </c>
      <c r="D102" s="140"/>
      <c r="E102" s="159" t="s">
        <v>72</v>
      </c>
      <c r="F102" s="140"/>
      <c r="G102" s="140"/>
      <c r="H102" s="140"/>
      <c r="I102" s="140"/>
      <c r="J102" s="140"/>
      <c r="K102" s="140"/>
      <c r="L102" s="7"/>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c r="AR102" s="140"/>
      <c r="AS102" s="140"/>
      <c r="AT102" s="140"/>
      <c r="AU102" s="140"/>
      <c r="AV102" s="140"/>
      <c r="AW102" s="140"/>
      <c r="AX102" s="140"/>
      <c r="AY102" s="140"/>
      <c r="AZ102" s="140"/>
      <c r="BA102" s="140"/>
      <c r="BB102" s="140"/>
      <c r="BC102" s="140"/>
      <c r="BD102" s="140"/>
      <c r="BE102" s="140"/>
      <c r="BF102" s="140"/>
      <c r="BG102" s="140"/>
      <c r="BH102" s="140"/>
      <c r="BI102" s="140"/>
      <c r="BK102" s="22"/>
      <c r="BM102" s="140" t="s">
        <v>712</v>
      </c>
      <c r="BN102" s="6"/>
      <c r="BO102" s="6"/>
      <c r="BP102" s="6"/>
      <c r="BQ102" s="6"/>
      <c r="BR102" s="6"/>
      <c r="BS102" s="6"/>
      <c r="BT102" s="140">
        <v>1.0</v>
      </c>
      <c r="BU102" s="6"/>
      <c r="BV102" s="6"/>
      <c r="BW102" s="6"/>
      <c r="BX102" s="140">
        <v>1.0</v>
      </c>
    </row>
    <row r="103">
      <c r="B103" s="140"/>
      <c r="C103" s="159" t="s">
        <v>240</v>
      </c>
      <c r="D103" s="140"/>
      <c r="E103" s="159" t="s">
        <v>48</v>
      </c>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c r="AG103" s="140"/>
      <c r="AH103" s="140"/>
      <c r="AI103" s="140"/>
      <c r="AJ103" s="140"/>
      <c r="AK103" s="140"/>
      <c r="AL103" s="140"/>
      <c r="AM103" s="140"/>
      <c r="AN103" s="140"/>
      <c r="AO103" s="140"/>
      <c r="AP103" s="140"/>
      <c r="AQ103" s="140"/>
      <c r="AR103" s="140"/>
      <c r="AS103" s="140"/>
      <c r="AT103" s="140"/>
      <c r="AU103" s="140"/>
      <c r="AV103" s="140"/>
      <c r="AW103" s="140"/>
      <c r="AX103" s="140"/>
      <c r="AY103" s="140"/>
      <c r="AZ103" s="140"/>
      <c r="BA103" s="140"/>
      <c r="BB103" s="140"/>
      <c r="BC103" s="140"/>
      <c r="BD103" s="140"/>
      <c r="BE103" s="140"/>
      <c r="BF103" s="140"/>
      <c r="BG103" s="140"/>
      <c r="BH103" s="140"/>
      <c r="BI103" s="140"/>
      <c r="BK103" s="22"/>
      <c r="BM103" s="140" t="s">
        <v>713</v>
      </c>
      <c r="BN103" s="6"/>
      <c r="BO103" s="6"/>
      <c r="BP103" s="6"/>
      <c r="BQ103" s="6"/>
      <c r="BR103" s="6"/>
      <c r="BS103" s="6"/>
      <c r="BT103" s="140">
        <v>1.0</v>
      </c>
      <c r="BU103" s="6"/>
      <c r="BV103" s="6"/>
      <c r="BW103" s="6"/>
      <c r="BX103" s="140">
        <v>1.0</v>
      </c>
    </row>
    <row r="104">
      <c r="C104" s="159" t="s">
        <v>241</v>
      </c>
      <c r="E104" s="159" t="s">
        <v>87</v>
      </c>
      <c r="BK104" s="22"/>
      <c r="BM104" s="6" t="s">
        <v>714</v>
      </c>
      <c r="BN104" s="6"/>
      <c r="BO104" s="6"/>
      <c r="BP104" s="6"/>
      <c r="BQ104" s="6"/>
      <c r="BR104" s="6"/>
      <c r="BS104" s="6"/>
      <c r="BT104" s="6">
        <v>1.0</v>
      </c>
      <c r="BU104" s="6"/>
      <c r="BV104" s="6"/>
      <c r="BW104" s="6"/>
      <c r="BX104" s="6">
        <v>1.0</v>
      </c>
    </row>
    <row r="105">
      <c r="C105" s="159" t="s">
        <v>244</v>
      </c>
      <c r="E105" s="159" t="s">
        <v>107</v>
      </c>
      <c r="BK105" s="22"/>
      <c r="BM105" s="140" t="s">
        <v>715</v>
      </c>
      <c r="BN105" s="6"/>
      <c r="BO105" s="6"/>
      <c r="BP105" s="6"/>
      <c r="BQ105" s="6"/>
      <c r="BR105" s="6"/>
      <c r="BS105" s="140">
        <v>1.0</v>
      </c>
      <c r="BT105" s="6"/>
      <c r="BU105" s="6"/>
      <c r="BV105" s="6"/>
      <c r="BW105" s="6"/>
      <c r="BX105" s="140">
        <v>1.0</v>
      </c>
    </row>
    <row r="106">
      <c r="E106" s="159" t="s">
        <v>142</v>
      </c>
      <c r="BK106" s="22"/>
      <c r="BM106" s="6" t="s">
        <v>716</v>
      </c>
      <c r="BN106" s="6"/>
      <c r="BO106" s="6"/>
      <c r="BP106" s="6"/>
      <c r="BQ106" s="6"/>
      <c r="BR106" s="6"/>
      <c r="BS106" s="6"/>
      <c r="BT106" s="6">
        <v>1.0</v>
      </c>
      <c r="BU106" s="6"/>
      <c r="BV106" s="6"/>
      <c r="BW106" s="6"/>
      <c r="BX106" s="6">
        <v>1.0</v>
      </c>
    </row>
    <row r="107">
      <c r="E107" s="159" t="s">
        <v>256</v>
      </c>
      <c r="BK107" s="22"/>
      <c r="BM107" s="140" t="s">
        <v>717</v>
      </c>
      <c r="BN107" s="6"/>
      <c r="BO107" s="6"/>
      <c r="BP107" s="140">
        <v>1.0</v>
      </c>
      <c r="BQ107" s="6"/>
      <c r="BR107" s="6"/>
      <c r="BS107" s="6"/>
      <c r="BT107" s="6"/>
      <c r="BU107" s="6"/>
      <c r="BV107" s="6"/>
      <c r="BW107" s="6"/>
      <c r="BX107" s="140">
        <v>1.0</v>
      </c>
    </row>
    <row r="108">
      <c r="E108" s="159" t="s">
        <v>246</v>
      </c>
      <c r="BK108" s="22"/>
      <c r="BM108" s="140" t="s">
        <v>718</v>
      </c>
      <c r="BN108" s="6"/>
      <c r="BO108" s="6"/>
      <c r="BP108" s="6"/>
      <c r="BQ108" s="6"/>
      <c r="BR108" s="6"/>
      <c r="BS108" s="6"/>
      <c r="BT108" s="140">
        <v>1.0</v>
      </c>
      <c r="BU108" s="6"/>
      <c r="BV108" s="6"/>
      <c r="BW108" s="6"/>
      <c r="BX108" s="140">
        <v>1.0</v>
      </c>
    </row>
    <row r="109">
      <c r="BK109" s="22"/>
      <c r="BM109" s="140" t="s">
        <v>719</v>
      </c>
      <c r="BN109" s="6"/>
      <c r="BO109" s="6"/>
      <c r="BP109" s="6"/>
      <c r="BQ109" s="140">
        <v>1.0</v>
      </c>
      <c r="BR109" s="6"/>
      <c r="BS109" s="6"/>
      <c r="BT109" s="6"/>
      <c r="BU109" s="6"/>
      <c r="BV109" s="6"/>
      <c r="BW109" s="6"/>
      <c r="BX109" s="140">
        <v>1.0</v>
      </c>
    </row>
    <row r="110">
      <c r="BK110" s="22"/>
      <c r="BM110" s="140" t="s">
        <v>720</v>
      </c>
      <c r="BN110" s="6"/>
      <c r="BO110" s="6"/>
      <c r="BP110" s="6"/>
      <c r="BQ110" s="6"/>
      <c r="BR110" s="140">
        <v>1.0</v>
      </c>
      <c r="BS110" s="6"/>
      <c r="BT110" s="6"/>
      <c r="BU110" s="6"/>
      <c r="BV110" s="6"/>
      <c r="BW110" s="6"/>
      <c r="BX110" s="140">
        <v>1.0</v>
      </c>
    </row>
    <row r="111">
      <c r="BK111" s="22"/>
      <c r="BM111" s="140" t="s">
        <v>721</v>
      </c>
      <c r="BN111" s="140">
        <v>1.0</v>
      </c>
      <c r="BO111" s="6"/>
      <c r="BP111" s="6"/>
      <c r="BQ111" s="6"/>
      <c r="BR111" s="6"/>
      <c r="BS111" s="6"/>
      <c r="BT111" s="6"/>
      <c r="BU111" s="6"/>
      <c r="BV111" s="6"/>
      <c r="BW111" s="6"/>
      <c r="BX111" s="140">
        <v>1.0</v>
      </c>
    </row>
    <row r="112">
      <c r="BK112" s="22"/>
      <c r="BM112" s="140" t="s">
        <v>722</v>
      </c>
      <c r="BN112" s="6"/>
      <c r="BO112" s="6"/>
      <c r="BP112" s="6"/>
      <c r="BQ112" s="6"/>
      <c r="BR112" s="6"/>
      <c r="BS112" s="6"/>
      <c r="BT112" s="6"/>
      <c r="BU112" s="6"/>
      <c r="BV112" s="140">
        <v>1.0</v>
      </c>
      <c r="BW112" s="6"/>
      <c r="BX112" s="140">
        <v>1.0</v>
      </c>
    </row>
    <row r="113">
      <c r="BK113" s="22"/>
      <c r="BM113" s="140" t="s">
        <v>723</v>
      </c>
      <c r="BN113" s="6"/>
      <c r="BO113" s="6"/>
      <c r="BP113" s="6"/>
      <c r="BQ113" s="140">
        <v>1.0</v>
      </c>
      <c r="BR113" s="6"/>
      <c r="BS113" s="6"/>
      <c r="BT113" s="6"/>
      <c r="BU113" s="6"/>
      <c r="BV113" s="6"/>
      <c r="BW113" s="6"/>
      <c r="BX113" s="140">
        <v>1.0</v>
      </c>
    </row>
    <row r="114">
      <c r="BK114" s="22"/>
      <c r="BM114" s="140" t="s">
        <v>724</v>
      </c>
      <c r="BN114" s="6"/>
      <c r="BO114" s="6"/>
      <c r="BP114" s="140">
        <v>1.0</v>
      </c>
      <c r="BQ114" s="6"/>
      <c r="BR114" s="6"/>
      <c r="BS114" s="6"/>
      <c r="BT114" s="6"/>
      <c r="BU114" s="6"/>
      <c r="BV114" s="6"/>
      <c r="BW114" s="6"/>
      <c r="BX114" s="140">
        <v>1.0</v>
      </c>
    </row>
    <row r="115">
      <c r="BK115" s="22"/>
      <c r="BM115" s="140" t="s">
        <v>725</v>
      </c>
      <c r="BN115" s="6"/>
      <c r="BO115" s="6"/>
      <c r="BP115" s="6"/>
      <c r="BQ115" s="6"/>
      <c r="BR115" s="140">
        <v>1.0</v>
      </c>
      <c r="BS115" s="6"/>
      <c r="BT115" s="6"/>
      <c r="BU115" s="6"/>
      <c r="BV115" s="6"/>
      <c r="BW115" s="6"/>
      <c r="BX115" s="140">
        <v>1.0</v>
      </c>
    </row>
    <row r="116">
      <c r="BK116" s="22"/>
      <c r="BM116" s="140" t="s">
        <v>726</v>
      </c>
      <c r="BN116" s="6"/>
      <c r="BO116" s="6"/>
      <c r="BP116" s="6"/>
      <c r="BQ116" s="6"/>
      <c r="BR116" s="140">
        <v>1.0</v>
      </c>
      <c r="BS116" s="6"/>
      <c r="BT116" s="6"/>
      <c r="BU116" s="6"/>
      <c r="BV116" s="6"/>
      <c r="BW116" s="6"/>
      <c r="BX116" s="140">
        <v>1.0</v>
      </c>
    </row>
    <row r="117">
      <c r="BK117" s="22"/>
      <c r="BM117" s="140" t="s">
        <v>727</v>
      </c>
      <c r="BN117" s="6"/>
      <c r="BO117" s="6"/>
      <c r="BP117" s="6"/>
      <c r="BQ117" s="6"/>
      <c r="BR117" s="140">
        <v>1.0</v>
      </c>
      <c r="BS117" s="6"/>
      <c r="BT117" s="6"/>
      <c r="BU117" s="6"/>
      <c r="BV117" s="6"/>
      <c r="BW117" s="6"/>
      <c r="BX117" s="140">
        <v>1.0</v>
      </c>
    </row>
    <row r="118">
      <c r="BK118" s="22"/>
      <c r="BM118" s="6" t="s">
        <v>728</v>
      </c>
      <c r="BN118" s="6"/>
      <c r="BO118" s="6"/>
      <c r="BP118" s="6"/>
      <c r="BQ118" s="6"/>
      <c r="BR118" s="6"/>
      <c r="BS118" s="6"/>
      <c r="BT118" s="6"/>
      <c r="BU118" s="6"/>
      <c r="BV118" s="6"/>
      <c r="BW118" s="6">
        <v>2.0</v>
      </c>
      <c r="BX118" s="6">
        <v>2.0</v>
      </c>
    </row>
    <row r="119">
      <c r="BK119" s="22"/>
      <c r="BM119" s="6" t="s">
        <v>729</v>
      </c>
      <c r="BN119" s="6"/>
      <c r="BO119" s="6"/>
      <c r="BP119" s="6"/>
      <c r="BQ119" s="6"/>
      <c r="BR119" s="6"/>
      <c r="BS119" s="6"/>
      <c r="BT119" s="6"/>
      <c r="BU119" s="6">
        <v>1.0</v>
      </c>
      <c r="BV119" s="6"/>
      <c r="BW119" s="6"/>
      <c r="BX119" s="6">
        <v>1.0</v>
      </c>
    </row>
    <row r="120">
      <c r="BK120" s="22"/>
      <c r="BM120" s="6" t="s">
        <v>487</v>
      </c>
      <c r="BN120" s="140">
        <v>1.0</v>
      </c>
      <c r="BO120" s="140">
        <v>1.0</v>
      </c>
      <c r="BP120" s="140">
        <v>3.0</v>
      </c>
      <c r="BQ120" s="140">
        <v>2.0</v>
      </c>
      <c r="BR120" s="140">
        <v>4.0</v>
      </c>
      <c r="BS120" s="140">
        <v>1.0</v>
      </c>
      <c r="BT120" s="6">
        <v>7.0</v>
      </c>
      <c r="BU120" s="6">
        <v>1.0</v>
      </c>
      <c r="BV120" s="140">
        <v>1.0</v>
      </c>
      <c r="BW120" s="6">
        <v>2.0</v>
      </c>
      <c r="BX120" s="6">
        <v>23.0</v>
      </c>
    </row>
    <row r="121">
      <c r="BK121" s="22"/>
    </row>
    <row r="122">
      <c r="BK122" s="22"/>
    </row>
    <row r="123">
      <c r="BK123" s="22"/>
    </row>
    <row r="124">
      <c r="BK124" s="22"/>
    </row>
    <row r="125">
      <c r="BK125" s="22"/>
    </row>
    <row r="126">
      <c r="BK126" s="22"/>
    </row>
    <row r="127">
      <c r="BK127" s="22"/>
    </row>
    <row r="128">
      <c r="BK128" s="22"/>
    </row>
    <row r="129">
      <c r="BK129" s="22"/>
    </row>
    <row r="130">
      <c r="BK130" s="22"/>
    </row>
    <row r="131">
      <c r="A131" s="9" t="s">
        <v>706</v>
      </c>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3"/>
      <c r="BK131" s="12" t="s">
        <v>490</v>
      </c>
      <c r="BL131" s="9" t="s">
        <v>706</v>
      </c>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3"/>
      <c r="CM131" s="126"/>
      <c r="CN131" s="126"/>
      <c r="CO131" s="126"/>
      <c r="CP131" s="126"/>
      <c r="CQ131" s="126"/>
      <c r="CR131" s="126"/>
      <c r="CS131" s="126"/>
      <c r="CT131" s="126"/>
      <c r="CU131" s="126"/>
      <c r="CV131" s="126"/>
      <c r="CW131" s="126"/>
    </row>
    <row r="132">
      <c r="A132" s="15" t="s">
        <v>707</v>
      </c>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8"/>
      <c r="BK132" s="12" t="s">
        <v>492</v>
      </c>
      <c r="BL132" s="15" t="s">
        <v>707</v>
      </c>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8"/>
      <c r="CM132" s="127"/>
      <c r="CN132" s="127"/>
      <c r="CO132" s="127"/>
      <c r="CP132" s="127"/>
      <c r="CQ132" s="127"/>
      <c r="CR132" s="127"/>
      <c r="CS132" s="127"/>
      <c r="CT132" s="127"/>
      <c r="CU132" s="127"/>
      <c r="CV132" s="127"/>
      <c r="CW132" s="127"/>
    </row>
    <row r="133">
      <c r="BK133" s="22"/>
    </row>
    <row r="134">
      <c r="B134" s="89" t="s">
        <v>457</v>
      </c>
      <c r="C134" s="90" t="s">
        <v>458</v>
      </c>
      <c r="D134" s="91" t="s">
        <v>459</v>
      </c>
      <c r="E134" s="92" t="s">
        <v>460</v>
      </c>
      <c r="F134" s="93" t="s">
        <v>461</v>
      </c>
      <c r="G134" s="90"/>
      <c r="H134" s="94" t="s">
        <v>462</v>
      </c>
      <c r="I134" s="90" t="s">
        <v>540</v>
      </c>
      <c r="J134" s="90" t="s">
        <v>541</v>
      </c>
      <c r="K134" s="90" t="s">
        <v>274</v>
      </c>
      <c r="L134" s="90" t="s">
        <v>542</v>
      </c>
      <c r="M134" s="90" t="s">
        <v>543</v>
      </c>
      <c r="N134" s="90" t="s">
        <v>544</v>
      </c>
      <c r="O134" s="90" t="s">
        <v>545</v>
      </c>
      <c r="P134" s="90" t="s">
        <v>546</v>
      </c>
      <c r="Q134" s="90" t="s">
        <v>547</v>
      </c>
      <c r="R134" s="91" t="s">
        <v>493</v>
      </c>
      <c r="S134" s="92" t="s">
        <v>494</v>
      </c>
      <c r="T134" s="90" t="s">
        <v>548</v>
      </c>
      <c r="U134" s="90" t="s">
        <v>549</v>
      </c>
      <c r="V134" s="90" t="s">
        <v>550</v>
      </c>
      <c r="W134" s="90" t="s">
        <v>551</v>
      </c>
      <c r="X134" s="90" t="s">
        <v>552</v>
      </c>
      <c r="Y134" s="90" t="s">
        <v>694</v>
      </c>
      <c r="Z134" s="90" t="s">
        <v>695</v>
      </c>
      <c r="AA134" s="92" t="s">
        <v>495</v>
      </c>
      <c r="AB134" s="90" t="s">
        <v>421</v>
      </c>
      <c r="AC134" s="92" t="s">
        <v>553</v>
      </c>
      <c r="AD134" s="90" t="s">
        <v>554</v>
      </c>
      <c r="AE134" s="92" t="s">
        <v>555</v>
      </c>
      <c r="AF134" s="93" t="s">
        <v>467</v>
      </c>
      <c r="AG134" s="90"/>
      <c r="AH134" s="90" t="s">
        <v>556</v>
      </c>
      <c r="AI134" s="94" t="s">
        <v>475</v>
      </c>
      <c r="AJ134" s="90" t="s">
        <v>557</v>
      </c>
      <c r="AK134" s="90" t="s">
        <v>558</v>
      </c>
      <c r="AL134" s="90" t="s">
        <v>559</v>
      </c>
      <c r="AM134" s="92" t="s">
        <v>560</v>
      </c>
      <c r="AN134" s="90" t="s">
        <v>561</v>
      </c>
      <c r="AO134" s="90" t="s">
        <v>562</v>
      </c>
      <c r="AP134" s="92" t="s">
        <v>563</v>
      </c>
      <c r="AQ134" s="90" t="s">
        <v>564</v>
      </c>
      <c r="AR134" s="90" t="s">
        <v>565</v>
      </c>
      <c r="AS134" s="95" t="s">
        <v>566</v>
      </c>
      <c r="AT134" s="90"/>
      <c r="AU134" s="90" t="s">
        <v>468</v>
      </c>
      <c r="AV134" s="92" t="s">
        <v>496</v>
      </c>
      <c r="AW134" s="94" t="s">
        <v>567</v>
      </c>
      <c r="AX134" s="90" t="s">
        <v>568</v>
      </c>
      <c r="AY134" s="90" t="s">
        <v>569</v>
      </c>
      <c r="AZ134" s="90" t="s">
        <v>570</v>
      </c>
      <c r="BA134" s="92" t="s">
        <v>571</v>
      </c>
      <c r="BB134" s="90" t="s">
        <v>572</v>
      </c>
      <c r="BC134" s="90" t="s">
        <v>573</v>
      </c>
      <c r="BD134" s="90" t="s">
        <v>574</v>
      </c>
      <c r="BE134" s="90" t="s">
        <v>575</v>
      </c>
      <c r="BF134" s="92" t="s">
        <v>576</v>
      </c>
      <c r="BG134" s="92" t="s">
        <v>577</v>
      </c>
      <c r="BH134" s="92" t="s">
        <v>578</v>
      </c>
      <c r="BI134" s="96" t="s">
        <v>471</v>
      </c>
      <c r="BK134" s="22"/>
    </row>
    <row r="135">
      <c r="B135" s="31" t="s">
        <v>730</v>
      </c>
      <c r="C135" s="54"/>
      <c r="D135" s="45"/>
      <c r="E135" s="45"/>
      <c r="F135" s="47"/>
      <c r="G135" s="35"/>
      <c r="H135" s="55" t="s">
        <v>363</v>
      </c>
      <c r="I135" s="38" t="str">
        <f>VLOOKUP(H135,'Machine List'!$A$1:$I$300,9,FALSE)</f>
        <v>1T</v>
      </c>
      <c r="J135" s="38">
        <f>IF(VLOOKUP(H135,'Machine List'!$A$1:$I$300,5,FALSE)="Multi",IF(VLOOKUP(H135,'Machine List'!$A$1:$I$300,6,FALSE)="Yes",AI135*3*10^AB135,AI135*(2*3)*10^(AB135-1)),0)</f>
        <v>60000</v>
      </c>
      <c r="K135" s="38">
        <f>J135+IF(ISNUMBER(I135),I135,
  SWITCH(
      I135,
      "1T",1*10^AB135,
      "2T",2*10^AB135,
      "3T",3*10^AB135,
      "4T",4*10^AB135,
      "4000+500(7O-5)",4000+500*(7*I136-5),
      "13500 + 16C",13500+16*VLOOKUP(J137,'Machine Helper Sheet'!$G$1:$K$16,5,FALSE),
      1
  )
)</f>
        <v>160000</v>
      </c>
      <c r="L135" s="38">
        <f>IF(VLOOKUP(H135,'Machine List'!$A$1:$I$300,5,FALSE)="Multi",IF(VLOOKUP(H135,'Machine List'!$A$1:$I$300,6,FALSE)="Yes",AW135*3*10^AV135,AW135*(2*3)*10^(AV135-1)),0)</f>
        <v>120000</v>
      </c>
      <c r="M135" s="38">
        <f>L135+IF(ISNUMBER(I135),I135,
  SWITCH(
      I135,
      "1T",1*10^AV135,
      "2T",2*10^AV135,
      "3T",3*10^AV135,
      "4T",4*10^AV135,
      "4000+500(7O-5)",4000+500*(7*I136-5),
      1
  )
)</f>
        <v>220000</v>
      </c>
      <c r="N135" s="38" t="str">
        <f>VLOOKUP(H135,'Machine List'!$A$1:$I$300,8,FALSE)</f>
        <v>Tier</v>
      </c>
      <c r="O135" s="38">
        <f>IF(ISNUMBER(N135),N135,10^AB135)</f>
        <v>100000</v>
      </c>
      <c r="P135" s="38">
        <f>IF(ISNUMBER(N135),N135,10^AV135)</f>
        <v>100000</v>
      </c>
      <c r="Q135" s="38">
        <f>VLOOKUP(H135,'Machine List'!$A$1:$B$138,2,FALSE)</f>
        <v>1</v>
      </c>
      <c r="R135" s="38" t="s">
        <v>277</v>
      </c>
      <c r="S135" s="45">
        <f>IF(ISNUMBER(Q135),Q135,
  SWITCH(
      Q135,
      "1",1,
      "2T",AB135*2,
      "4T",AB135*4,
      "6T",AB135*6,
      "8T",AB135*8,
      "10T",AB135*10,
      "12T",AB135*12,
      "14T",AB135*14,
      "16T",AB135*16,
      "24T",AB135*24,
      "2(T+1)",2*(AB135+1),
      "1T*C",AB135*J137,
      "2*P",L137*2,
      1
  )
)</f>
        <v>1</v>
      </c>
      <c r="T135" s="38" t="s">
        <v>277</v>
      </c>
      <c r="U135" s="38">
        <f>IF(OR(T135="No",T135=""),S135,T135)</f>
        <v>1</v>
      </c>
      <c r="V135" s="38">
        <f>IF(ISNUMBER(Q135),Q135,
  SWITCH(
      Q135,
      "1",1,
      "2T",AV135*2,
      "4T",AV135*4,
      "6T",AV135*6,
      "8T",AV135*8,
      "10T",AV135*10,
      "12T",AV135*12,
      "14T",AV135*14,
      "16T",AV135*16,
      "24T",AV135*24,
      "2(T+1)",2*(AV135+1),
      "1T*C",AV135*J137,
      "2*P",L137*2,
      1
  )
)</f>
        <v>1</v>
      </c>
      <c r="W135" s="38" t="str">
        <f>T135</f>
        <v>No</v>
      </c>
      <c r="X135" s="38">
        <f>IF(OR(W135="No",W135=""),V135,W135)</f>
        <v>1</v>
      </c>
      <c r="Y135" s="38">
        <f>VLOOKUP(H135,'Machine List'!$A$1:$C$138,3,FALSE)</f>
        <v>1</v>
      </c>
      <c r="Z135" s="38">
        <f>VLOOKUP(H135,'Machine List'!$A$1:$D$138,4,FALSE)</f>
        <v>1</v>
      </c>
      <c r="AA135" s="147" t="s">
        <v>405</v>
      </c>
      <c r="AB135" s="38">
        <f>VLOOKUP(AA135,'Item Helper Sheet'!$A$2:$B$16,2,FALSE)</f>
        <v>5</v>
      </c>
      <c r="AC135" s="147">
        <v>7680.0</v>
      </c>
      <c r="AD135" s="147">
        <f>1000*20</f>
        <v>20000</v>
      </c>
      <c r="AE135" s="38">
        <f>AD135*I137</f>
        <v>280000</v>
      </c>
      <c r="AF135" s="38">
        <f>AC135*AE135</f>
        <v>2150400000</v>
      </c>
      <c r="AG135" s="75"/>
      <c r="AH135" s="147" t="str">
        <f>AA135</f>
        <v>05 - IV</v>
      </c>
      <c r="AI135" s="38">
        <v>1.0</v>
      </c>
      <c r="AJ135" s="38">
        <v>1.0</v>
      </c>
      <c r="AK135" s="38">
        <f>AJ135*8*4^AB135</f>
        <v>8192</v>
      </c>
      <c r="AL135" s="38">
        <f>MIN(ROUNDDOWN(AK135/AN135,0),U135)</f>
        <v>1</v>
      </c>
      <c r="AM135" s="38">
        <f>IF(OR(T135="No",T135=""),AI135*S135,AI135*T135)</f>
        <v>1</v>
      </c>
      <c r="AN135" s="38">
        <f>ROUNDUP(AC135*VLOOKUP(H135,'Machine List'!$A$2:$D$219,4,FALSE),0)</f>
        <v>7680</v>
      </c>
      <c r="AO135" s="38">
        <f>AN135*AM135</f>
        <v>7680</v>
      </c>
      <c r="AP135" s="38">
        <f>ROUNDUP(AD135*I137,0)</f>
        <v>280000</v>
      </c>
      <c r="AQ135" s="38">
        <f>IF(ISNUMBER(Y135),ROUNDUP(AP135/Y135,0),
  SWITCH(
      Y135,
      "1+0.5C",ROUNDUP(AP135/(1+0.5*VLOOKUP(J137,'Machine Helper Sheet'!$G$1:$K$16,2,FALSE)),0),
      ROUNDUP(AP135/1,0)
  )
)</f>
        <v>280000</v>
      </c>
      <c r="AR135" s="38">
        <f>ROUNDUP(AQ135/AM135,0)</f>
        <v>280000</v>
      </c>
      <c r="AS135" s="38">
        <f>AO135*AR135</f>
        <v>2150400000</v>
      </c>
      <c r="AT135" s="75"/>
      <c r="AU135" s="38" t="s">
        <v>405</v>
      </c>
      <c r="AV135" s="38">
        <f>VLOOKUP(AU135,'Item Helper Sheet'!$A$2:$B$16,2,FALSE)</f>
        <v>5</v>
      </c>
      <c r="AW135" s="38">
        <v>2.0</v>
      </c>
      <c r="AX135" s="38">
        <v>1.0</v>
      </c>
      <c r="AY135" s="38">
        <f>AX135*8*4^AV135</f>
        <v>8192</v>
      </c>
      <c r="AZ135" s="38">
        <f>MIN(ROUNDDOWN(AY135/AN135,0),X135)</f>
        <v>1</v>
      </c>
      <c r="BA135" s="38">
        <f>AZ135*AW135</f>
        <v>2</v>
      </c>
      <c r="BB135" s="38">
        <f>AN135</f>
        <v>7680</v>
      </c>
      <c r="BC135" s="38">
        <f>MIN(AV135-AB135,IF(AY135&gt;=BB136*4,
IF(AY135&gt;=BB136*4^2,
IF(AY135&gt;=BB136*4^3,
IF(AY135&gt;=BB136*4^4,
IF(AY135&gt;=BB136*4^5,
IF(AY135&gt;=BB136*4^6,
IF(AY135&gt;=BB136*4^7,
IF(AY135&gt;=BB136*4^8,
IF(AY135&gt;=BB136*4^9,
IF(AY135&gt;=BB136*4^10,
9),
8),
7),
6),
5),
4),
3),
2),
1),
0))</f>
        <v>0</v>
      </c>
      <c r="BD135" s="38">
        <f>BB135*AZ135*4^BC135</f>
        <v>7680</v>
      </c>
      <c r="BE135" s="38">
        <f>BD135*AW135</f>
        <v>15360</v>
      </c>
      <c r="BF135" s="45">
        <f>ROUNDUP(IF(R135="Yes",AP135/(2^((BC135)*2)),AP135/(2^(BC135))),0)</f>
        <v>280000</v>
      </c>
      <c r="BG135" s="45">
        <f>IF(ISNUMBER(Y135),ROUNDUP(BF135/Y135,0),
  SWITCH(
      Y135,
      "1+0.5C",ROUNDUP(BF135/(1+0.5*VLOOKUP(J137,'Machine Helper Sheet'!$G$1:$K$16,2,FALSE)),0),
      ROUNDUP(BF135/1,0)
  )
)</f>
        <v>280000</v>
      </c>
      <c r="BH135" s="45">
        <f>ROUNDUP(BG135/BA135,0)</f>
        <v>140000</v>
      </c>
      <c r="BI135" s="46">
        <f>BH135*BE135</f>
        <v>2150400000</v>
      </c>
      <c r="BK135" s="22"/>
      <c r="BS135" s="6" t="s">
        <v>458</v>
      </c>
      <c r="BT135" s="6" t="s">
        <v>497</v>
      </c>
      <c r="BU135" s="7" t="s">
        <v>281</v>
      </c>
      <c r="BV135" s="7" t="s">
        <v>8</v>
      </c>
      <c r="BW135" s="1" t="s">
        <v>9</v>
      </c>
      <c r="CA135" s="97" t="s">
        <v>513</v>
      </c>
      <c r="CB135" s="97" t="s">
        <v>514</v>
      </c>
      <c r="CC135" s="97" t="s">
        <v>580</v>
      </c>
      <c r="CD135" s="97" t="s">
        <v>581</v>
      </c>
      <c r="CE135" s="97" t="s">
        <v>582</v>
      </c>
      <c r="CG135" s="98" t="s">
        <v>503</v>
      </c>
      <c r="CH135" s="98" t="s">
        <v>583</v>
      </c>
      <c r="CI135" s="98" t="s">
        <v>498</v>
      </c>
      <c r="CJ135" s="98" t="s">
        <v>504</v>
      </c>
      <c r="CK135" s="98" t="s">
        <v>509</v>
      </c>
    </row>
    <row r="136">
      <c r="B136" s="40"/>
      <c r="C136" s="41" t="s">
        <v>103</v>
      </c>
      <c r="D136" s="38">
        <f>900*I137</f>
        <v>12600</v>
      </c>
      <c r="E136" s="38" t="s">
        <v>101</v>
      </c>
      <c r="F136" s="42">
        <f>1000*I137</f>
        <v>14000</v>
      </c>
      <c r="G136" s="43"/>
      <c r="H136" s="99" t="s">
        <v>584</v>
      </c>
      <c r="I136" s="45">
        <f t="array" ref="I136">match(TRUE,ISBLANK(F136:F145),0)-1</f>
        <v>1</v>
      </c>
      <c r="J136" s="100" t="s">
        <v>420</v>
      </c>
      <c r="K136" s="100" t="s">
        <v>585</v>
      </c>
      <c r="L136" s="100" t="s">
        <v>704</v>
      </c>
      <c r="M136" s="38"/>
      <c r="N136" s="38"/>
      <c r="O136" s="38"/>
      <c r="P136" s="38"/>
      <c r="Q136" s="38"/>
      <c r="R136" s="101"/>
      <c r="S136" s="101"/>
      <c r="T136" s="101"/>
      <c r="U136" s="45"/>
      <c r="V136" s="45"/>
      <c r="W136" s="45"/>
      <c r="X136" s="45"/>
      <c r="Y136" s="45"/>
      <c r="Z136" s="45"/>
      <c r="AA136" s="45"/>
      <c r="AB136" s="45"/>
      <c r="AC136" s="45"/>
      <c r="AD136" s="45"/>
      <c r="AE136" s="45"/>
      <c r="AF136" s="45"/>
      <c r="AG136" s="79"/>
      <c r="AH136" s="45"/>
      <c r="AI136" s="45"/>
      <c r="AJ136" s="45"/>
      <c r="AK136" s="45"/>
      <c r="AL136" s="45"/>
      <c r="AM136" s="45"/>
      <c r="AN136" s="45"/>
      <c r="AO136" s="45"/>
      <c r="AP136" s="45"/>
      <c r="AQ136" s="45"/>
      <c r="AR136" s="45"/>
      <c r="AS136" s="45"/>
      <c r="AT136" s="79"/>
      <c r="AU136" s="45"/>
      <c r="AV136" s="45"/>
      <c r="AW136" s="45"/>
      <c r="AX136" s="45"/>
      <c r="AY136" s="45"/>
      <c r="AZ136" s="45"/>
      <c r="BA136" s="45"/>
      <c r="BB136" s="45">
        <f>BB135*AZ135</f>
        <v>7680</v>
      </c>
      <c r="BC136" s="45"/>
      <c r="BD136" s="45"/>
      <c r="BE136" s="45"/>
      <c r="BF136" s="45"/>
      <c r="BG136" s="45"/>
      <c r="BH136" s="45"/>
      <c r="BI136" s="46"/>
      <c r="BK136" s="22"/>
      <c r="BS136" s="140" t="s">
        <v>20</v>
      </c>
      <c r="BT136" s="140">
        <v>64000.0</v>
      </c>
      <c r="BU136" s="6">
        <f>VLOOKUP(BS136,'Item List'!$A$2:$D$300,2,FALSE)</f>
        <v>3</v>
      </c>
      <c r="BV136" s="6">
        <f>VLOOKUP(BS136,'Item List'!$A$2:$D$300,3,FALSE)</f>
        <v>5</v>
      </c>
      <c r="BW136" s="6">
        <f>VLOOKUP(BS136,'Item List'!$A$2:$D$300,4,FALSE)</f>
        <v>2</v>
      </c>
      <c r="CA136" s="140">
        <f t="shared" ref="CA136:CA138" si="3">VLOOKUP(BY136,$BM$6:$BN$24,2)</f>
        <v>75000</v>
      </c>
      <c r="CB136" s="6">
        <f t="shared" ref="CB136:CB138" si="4">CA136/$CH$21</f>
        <v>6.25</v>
      </c>
      <c r="CC136" s="102">
        <f t="shared" ref="CC136:CC138" si="5">1/($CI$8*CB136)</f>
        <v>0.08888888889</v>
      </c>
      <c r="CD136" s="102">
        <f t="shared" ref="CD136:CD138" si="6">1/($CJ$8*CB136)</f>
        <v>0.16</v>
      </c>
      <c r="CE136" s="102">
        <f t="shared" ref="CE136:CE138" si="7">1/($CK$8*CB136)</f>
        <v>160</v>
      </c>
      <c r="CG136" s="38" t="s">
        <v>101</v>
      </c>
      <c r="CH136" s="5">
        <f>VLOOKUP(CG136,BP135:BQ155,2,FALSE)</f>
        <v>28000</v>
      </c>
      <c r="CI136" s="5">
        <f>CH151/BQ224*20</f>
        <v>1</v>
      </c>
      <c r="CJ136" s="103">
        <f>CH151/BR224*20</f>
        <v>4</v>
      </c>
      <c r="CK136" s="4">
        <v>1000.0</v>
      </c>
    </row>
    <row r="137">
      <c r="B137" s="40"/>
      <c r="C137" s="41" t="s">
        <v>260</v>
      </c>
      <c r="D137" s="38">
        <f>100*I137</f>
        <v>1400</v>
      </c>
      <c r="E137" s="38"/>
      <c r="F137" s="42"/>
      <c r="G137" s="43"/>
      <c r="H137" s="56" t="s">
        <v>502</v>
      </c>
      <c r="I137" s="49">
        <v>14.0</v>
      </c>
      <c r="J137" s="100" t="s">
        <v>424</v>
      </c>
      <c r="K137" s="100">
        <v>0.0</v>
      </c>
      <c r="L137" s="100">
        <v>0.0</v>
      </c>
      <c r="M137" s="45"/>
      <c r="N137" s="45"/>
      <c r="O137" s="45"/>
      <c r="P137" s="45"/>
      <c r="Q137" s="45"/>
      <c r="R137" s="45"/>
      <c r="S137" s="101"/>
      <c r="T137" s="101"/>
      <c r="U137" s="45"/>
      <c r="V137" s="45"/>
      <c r="W137" s="45"/>
      <c r="X137" s="45"/>
      <c r="Y137" s="45"/>
      <c r="Z137" s="45"/>
      <c r="AA137" s="45"/>
      <c r="AB137" s="45"/>
      <c r="AC137" s="45"/>
      <c r="AD137" s="45"/>
      <c r="AE137" s="45"/>
      <c r="AF137" s="45"/>
      <c r="AG137" s="79"/>
      <c r="AH137" s="45"/>
      <c r="AI137" s="45"/>
      <c r="AJ137" s="45"/>
      <c r="AK137" s="45"/>
      <c r="AL137" s="45"/>
      <c r="AM137" s="45"/>
      <c r="AN137" s="45"/>
      <c r="AO137" s="45"/>
      <c r="AP137" s="45"/>
      <c r="AQ137" s="45"/>
      <c r="AR137" s="45"/>
      <c r="AS137" s="45"/>
      <c r="AT137" s="79"/>
      <c r="AU137" s="45"/>
      <c r="AV137" s="45"/>
      <c r="AW137" s="45"/>
      <c r="AX137" s="45"/>
      <c r="AY137" s="45"/>
      <c r="AZ137" s="45"/>
      <c r="BA137" s="45"/>
      <c r="BB137" s="45"/>
      <c r="BC137" s="45"/>
      <c r="BD137" s="45"/>
      <c r="BE137" s="45"/>
      <c r="BF137" s="45"/>
      <c r="BG137" s="45"/>
      <c r="BH137" s="45"/>
      <c r="BI137" s="46"/>
      <c r="BK137" s="22"/>
      <c r="BS137" s="140" t="s">
        <v>21</v>
      </c>
      <c r="BT137" s="140">
        <v>0.0</v>
      </c>
      <c r="BU137" s="6">
        <f>VLOOKUP(BS137,'Item List'!$A$2:$D$300,2,FALSE)</f>
        <v>1</v>
      </c>
      <c r="BV137" s="6">
        <f>VLOOKUP(BS137,'Item List'!$A$2:$D$300,3,FALSE)</f>
        <v>3</v>
      </c>
      <c r="BW137" s="6">
        <f>VLOOKUP(BS137,'Item List'!$A$2:$D$300,4,FALSE)</f>
        <v>2</v>
      </c>
      <c r="CA137" s="6">
        <f t="shared" si="3"/>
        <v>103000</v>
      </c>
      <c r="CB137" s="6">
        <f t="shared" si="4"/>
        <v>8.583333333</v>
      </c>
      <c r="CC137" s="102">
        <f t="shared" si="5"/>
        <v>0.06472491909</v>
      </c>
      <c r="CD137" s="102">
        <f t="shared" si="6"/>
        <v>0.1165048544</v>
      </c>
      <c r="CE137" s="102">
        <f t="shared" si="7"/>
        <v>116.5048544</v>
      </c>
      <c r="CG137" s="5"/>
      <c r="CH137" s="5"/>
      <c r="CI137" s="98" t="s">
        <v>505</v>
      </c>
      <c r="CJ137" s="98" t="s">
        <v>506</v>
      </c>
      <c r="CK137" s="98" t="s">
        <v>586</v>
      </c>
    </row>
    <row r="138">
      <c r="B138" s="135"/>
      <c r="C138" s="136"/>
      <c r="D138" s="137"/>
      <c r="E138" s="137"/>
      <c r="F138" s="137"/>
      <c r="G138" s="138"/>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8"/>
      <c r="AH138" s="137"/>
      <c r="AI138" s="137"/>
      <c r="AJ138" s="137"/>
      <c r="AK138" s="137"/>
      <c r="AL138" s="137"/>
      <c r="AM138" s="137"/>
      <c r="AN138" s="137"/>
      <c r="AO138" s="137"/>
      <c r="AP138" s="137"/>
      <c r="AQ138" s="137"/>
      <c r="AR138" s="137"/>
      <c r="AS138" s="137"/>
      <c r="AT138" s="138"/>
      <c r="AU138" s="137"/>
      <c r="AV138" s="137"/>
      <c r="AW138" s="137"/>
      <c r="AX138" s="137"/>
      <c r="AY138" s="137"/>
      <c r="AZ138" s="137"/>
      <c r="BA138" s="137"/>
      <c r="BB138" s="137"/>
      <c r="BC138" s="137"/>
      <c r="BD138" s="137"/>
      <c r="BE138" s="137"/>
      <c r="BF138" s="137"/>
      <c r="BG138" s="137"/>
      <c r="BH138" s="137"/>
      <c r="BI138" s="139"/>
      <c r="BK138" s="22"/>
      <c r="BS138" s="6" t="s">
        <v>23</v>
      </c>
      <c r="BT138" s="140">
        <v>0.0</v>
      </c>
      <c r="BU138" s="6">
        <f>VLOOKUP(BS138,'Item List'!$A$2:$D$300,2,FALSE)</f>
        <v>1</v>
      </c>
      <c r="BV138" s="6">
        <f>VLOOKUP(BS138,'Item List'!$A$2:$D$300,3,FALSE)</f>
        <v>3</v>
      </c>
      <c r="BW138" s="6">
        <f>VLOOKUP(BS138,'Item List'!$A$2:$D$300,4,FALSE)</f>
        <v>2</v>
      </c>
      <c r="CA138" s="140">
        <f t="shared" si="3"/>
        <v>213</v>
      </c>
      <c r="CB138" s="6">
        <f t="shared" si="4"/>
        <v>0.01775</v>
      </c>
      <c r="CC138" s="102">
        <f t="shared" si="5"/>
        <v>31.29890454</v>
      </c>
      <c r="CD138" s="102">
        <f t="shared" si="6"/>
        <v>56.33802817</v>
      </c>
      <c r="CE138" s="102">
        <f t="shared" si="7"/>
        <v>56338.02817</v>
      </c>
      <c r="CG138" s="5"/>
      <c r="CH138" s="5"/>
      <c r="CI138" s="105">
        <f>BQ224/CH136/20</f>
        <v>1</v>
      </c>
      <c r="CJ138" s="106">
        <f>BR224/CH136/20</f>
        <v>0.25</v>
      </c>
      <c r="CK138" s="5">
        <f>1/CK136*20</f>
        <v>0.02</v>
      </c>
    </row>
    <row r="139">
      <c r="B139" s="31" t="s">
        <v>731</v>
      </c>
      <c r="C139" s="54"/>
      <c r="D139" s="45"/>
      <c r="E139" s="45"/>
      <c r="F139" s="47"/>
      <c r="G139" s="35"/>
      <c r="H139" s="55" t="s">
        <v>350</v>
      </c>
      <c r="I139" s="38" t="str">
        <f>VLOOKUP(H139,'Machine List'!$A$1:$I$300,9,FALSE)</f>
        <v>1T</v>
      </c>
      <c r="J139" s="38">
        <f>IF(VLOOKUP(H139,'Machine List'!$A$1:$I$300,5,FALSE)="Multi",IF(VLOOKUP(H139,'Machine List'!$A$1:$I$300,6,FALSE)="Yes",AI139*3*10^AB139,AI139*(2*3)*10^(AB139-1)),0)</f>
        <v>60000</v>
      </c>
      <c r="K139" s="38">
        <f>J139+IF(ISNUMBER(I139),I139,
  SWITCH(
      I139,
      "1T",1*10^AB139,
      "2T",2*10^AB139,
      "3T",3*10^AB139,
      "4T",4*10^AB139,
      "4000+500(7O-5)",4000+500*(7*I140-5),
      "13500 + 16C",13500+16*VLOOKUP(J141,'Machine Helper Sheet'!$G$1:$K$16,5,FALSE),
      1
  )
)</f>
        <v>160000</v>
      </c>
      <c r="L139" s="38">
        <f>IF(VLOOKUP(H139,'Machine List'!$A$1:$I$300,5,FALSE)="Multi",IF(VLOOKUP(H139,'Machine List'!$A$1:$I$300,6,FALSE)="Yes",AW139*3*10^AV139,AW139*(2*3)*10^(AV139-1)),0)</f>
        <v>240000</v>
      </c>
      <c r="M139" s="38">
        <f>L139+IF(ISNUMBER(I139),I139,
  SWITCH(
      I139,
      "1T",1*10^AV139,
      "2T",2*10^AV139,
      "3T",3*10^AV139,
      "4T",4*10^AV139,
      "4000+500(7O-5)",4000+500*(7*I140-5),
      1
  )
)</f>
        <v>340000</v>
      </c>
      <c r="N139" s="38" t="str">
        <f>VLOOKUP(H139,'Machine List'!$A$1:$I$300,8,FALSE)</f>
        <v>Tier</v>
      </c>
      <c r="O139" s="38">
        <f>IF(ISNUMBER(N139),N139,10^AB139)</f>
        <v>100000</v>
      </c>
      <c r="P139" s="38">
        <f>IF(ISNUMBER(N139),N139,10^AV139)</f>
        <v>100000</v>
      </c>
      <c r="Q139" s="38">
        <f>VLOOKUP(H139,'Machine List'!$A$1:$B$138,2,FALSE)</f>
        <v>1</v>
      </c>
      <c r="R139" s="38" t="s">
        <v>277</v>
      </c>
      <c r="S139" s="45">
        <f>IF(ISNUMBER(Q139),Q139,
  SWITCH(
      Q139,
      "1",1,
      "2T",AB139*2,
      "4T",AB139*4,
      "6T",AB139*6,
      "8T",AB139*8,
      "10T",AB139*10,
      "12T",AB139*12,
      "14T",AB139*14,
      "16T",AB139*16,
      "24T",AB139*24,
      "2(T+1)",2*(AB139+1),
      "1T*C",AB139*J141,
      "2*P",L141*2,
      1
  )
)</f>
        <v>1</v>
      </c>
      <c r="T139" s="38" t="s">
        <v>277</v>
      </c>
      <c r="U139" s="38">
        <f>IF(OR(T139="No",T139=""),S139,T139)</f>
        <v>1</v>
      </c>
      <c r="V139" s="38">
        <f>IF(ISNUMBER(Q139),Q139,
  SWITCH(
      Q139,
      "1",1,
      "2T",AV139*2,
      "4T",AV139*4,
      "6T",AV139*6,
      "8T",AV139*8,
      "10T",AV139*10,
      "12T",AV139*12,
      "14T",AV139*14,
      "16T",AV139*16,
      "24T",AV139*24,
      "2(T+1)",2*(AV139+1),
      "1T*C",AV139*J141,
      "2*P",L141*2,
      1
  )
)</f>
        <v>1</v>
      </c>
      <c r="W139" s="38" t="str">
        <f>T139</f>
        <v>No</v>
      </c>
      <c r="X139" s="38">
        <f>IF(OR(W139="No",W139=""),V139,W139)</f>
        <v>1</v>
      </c>
      <c r="Y139" s="38">
        <f>VLOOKUP(H139,'Machine List'!$A$1:$C$138,3,FALSE)</f>
        <v>1</v>
      </c>
      <c r="Z139" s="38">
        <f>VLOOKUP(H139,'Machine List'!$A$1:$D$138,4,FALSE)</f>
        <v>1</v>
      </c>
      <c r="AA139" s="147" t="s">
        <v>405</v>
      </c>
      <c r="AB139" s="38">
        <f>VLOOKUP(AA139,'Item Helper Sheet'!$A$2:$B$16,2,FALSE)</f>
        <v>5</v>
      </c>
      <c r="AC139" s="147">
        <v>0.001</v>
      </c>
      <c r="AD139" s="147">
        <f>100*20</f>
        <v>2000</v>
      </c>
      <c r="AE139" s="38">
        <f>AD139*I141</f>
        <v>560000</v>
      </c>
      <c r="AF139" s="38">
        <f>AC139*AE139</f>
        <v>560</v>
      </c>
      <c r="AG139" s="75"/>
      <c r="AH139" s="147" t="str">
        <f>AA139</f>
        <v>05 - IV</v>
      </c>
      <c r="AI139" s="38">
        <v>1.0</v>
      </c>
      <c r="AJ139" s="38">
        <v>1.0</v>
      </c>
      <c r="AK139" s="38">
        <f>AJ139*8*4^AB139</f>
        <v>8192</v>
      </c>
      <c r="AL139" s="38">
        <f>MIN(ROUNDDOWN(AK139/AN139,0),U139)</f>
        <v>1</v>
      </c>
      <c r="AM139" s="38">
        <f>IF(OR(T139="No",T139=""),AI139*S139,AI139*T139)</f>
        <v>1</v>
      </c>
      <c r="AN139" s="38">
        <f>ROUNDUP(AC139*VLOOKUP(H139,'Machine List'!$A$2:$D$219,4,FALSE),0)</f>
        <v>1</v>
      </c>
      <c r="AO139" s="38">
        <f>AN139*AM139</f>
        <v>1</v>
      </c>
      <c r="AP139" s="38">
        <f>ROUNDUP(AD139*I141,0)</f>
        <v>560000</v>
      </c>
      <c r="AQ139" s="38">
        <f>IF(ISNUMBER(Y139),ROUNDUP(AP139/Y139,0),
  SWITCH(
      Y139,
      "1+0.5C",ROUNDUP(AP139/(1+0.5*VLOOKUP(J141,'Machine Helper Sheet'!$G$1:$K$16,2,FALSE)),0),
      ROUNDUP(AP139/1,0)
  )
)</f>
        <v>560000</v>
      </c>
      <c r="AR139" s="38">
        <f>ROUNDUP(AQ139/AM139,0)</f>
        <v>560000</v>
      </c>
      <c r="AS139" s="38">
        <f>AO139*AR139</f>
        <v>560000</v>
      </c>
      <c r="AT139" s="75"/>
      <c r="AU139" s="38" t="s">
        <v>405</v>
      </c>
      <c r="AV139" s="38">
        <f>VLOOKUP(AU139,'Item Helper Sheet'!$A$2:$B$16,2,FALSE)</f>
        <v>5</v>
      </c>
      <c r="AW139" s="38">
        <v>4.0</v>
      </c>
      <c r="AX139" s="38">
        <v>1.0</v>
      </c>
      <c r="AY139" s="38">
        <f>AX139*8*4^AV139</f>
        <v>8192</v>
      </c>
      <c r="AZ139" s="38">
        <f>MIN(ROUNDDOWN(AY139/AN139,0),X139)</f>
        <v>1</v>
      </c>
      <c r="BA139" s="38">
        <f>AZ139*AW139</f>
        <v>4</v>
      </c>
      <c r="BB139" s="38">
        <f>AN139</f>
        <v>1</v>
      </c>
      <c r="BC139" s="38">
        <f>MIN(AV139-AB139,IF(AY139&gt;=BB140*4,
IF(AY139&gt;=BB140*4^2,
IF(AY139&gt;=BB140*4^3,
IF(AY139&gt;=BB140*4^4,
IF(AY139&gt;=BB140*4^5,
IF(AY139&gt;=BB140*4^6,
IF(AY139&gt;=BB140*4^7,
IF(AY139&gt;=BB140*4^8,
IF(AY139&gt;=BB140*4^9,
IF(AY139&gt;=BB140*4^10,
9),
8),
7),
6),
5),
4),
3),
2),
1),
0))</f>
        <v>0</v>
      </c>
      <c r="BD139" s="38">
        <f>BB139*AZ139*4^BC139</f>
        <v>1</v>
      </c>
      <c r="BE139" s="38">
        <f>BD139*AW139</f>
        <v>4</v>
      </c>
      <c r="BF139" s="45">
        <f>ROUNDUP(IF(R139="Yes",AP139/(2^((BC139)*2)),AP139/(2^(BC139))),0)</f>
        <v>560000</v>
      </c>
      <c r="BG139" s="45">
        <f>IF(ISNUMBER(Y139),ROUNDUP(BF139/Y139,0),
  SWITCH(
      Y139,
      "1+0.5C",ROUNDUP(BF139/(1+0.5*VLOOKUP(J141,'Machine Helper Sheet'!$G$1:$K$16,2,FALSE)),0),
      ROUNDUP(BF139/1,0)
  )
)</f>
        <v>560000</v>
      </c>
      <c r="BH139" s="45">
        <f>ROUNDUP(BG139/BA139,0)</f>
        <v>140000</v>
      </c>
      <c r="BI139" s="46">
        <f>BH139*BE139</f>
        <v>560000</v>
      </c>
      <c r="BK139" s="22"/>
      <c r="BS139" s="6" t="s">
        <v>732</v>
      </c>
      <c r="BT139" s="6">
        <v>-32.0</v>
      </c>
      <c r="BU139" s="6" t="str">
        <f>VLOOKUP(BS139,'Item List'!$A$2:$D$300,2,FALSE)</f>
        <v>#N/A</v>
      </c>
      <c r="BV139" s="6" t="str">
        <f>VLOOKUP(BS139,'Item List'!$A$2:$D$300,3,FALSE)</f>
        <v>#N/A</v>
      </c>
      <c r="BW139" s="6" t="str">
        <f>VLOOKUP(BS139,'Item List'!$A$2:$D$300,4,FALSE)</f>
        <v>#N/A</v>
      </c>
      <c r="CC139" s="102"/>
      <c r="CD139" s="102"/>
      <c r="CE139" s="102"/>
      <c r="CG139" s="5"/>
      <c r="CH139" s="5"/>
      <c r="CI139" s="98" t="s">
        <v>587</v>
      </c>
      <c r="CJ139" s="98" t="s">
        <v>588</v>
      </c>
    </row>
    <row r="140">
      <c r="B140" s="40"/>
      <c r="C140" s="41" t="s">
        <v>101</v>
      </c>
      <c r="D140" s="38">
        <f>100*I141</f>
        <v>28000</v>
      </c>
      <c r="E140" s="38" t="s">
        <v>240</v>
      </c>
      <c r="F140" s="42">
        <f>50*I141</f>
        <v>14000</v>
      </c>
      <c r="G140" s="43"/>
      <c r="H140" s="99" t="s">
        <v>584</v>
      </c>
      <c r="I140" s="45">
        <f t="array" ref="I140">match(TRUE,ISBLANK(F140:F151),0)-1</f>
        <v>4</v>
      </c>
      <c r="J140" s="100" t="s">
        <v>420</v>
      </c>
      <c r="K140" s="100" t="s">
        <v>585</v>
      </c>
      <c r="L140" s="100" t="s">
        <v>704</v>
      </c>
      <c r="M140" s="38"/>
      <c r="N140" s="38"/>
      <c r="O140" s="38"/>
      <c r="P140" s="38"/>
      <c r="Q140" s="38"/>
      <c r="R140" s="101"/>
      <c r="S140" s="101"/>
      <c r="T140" s="101"/>
      <c r="U140" s="45"/>
      <c r="V140" s="45"/>
      <c r="W140" s="45"/>
      <c r="X140" s="45"/>
      <c r="Y140" s="45"/>
      <c r="Z140" s="45"/>
      <c r="AA140" s="45"/>
      <c r="AB140" s="45"/>
      <c r="AC140" s="45"/>
      <c r="AD140" s="45"/>
      <c r="AE140" s="45"/>
      <c r="AF140" s="45"/>
      <c r="AG140" s="79"/>
      <c r="AH140" s="45"/>
      <c r="AI140" s="45"/>
      <c r="AJ140" s="45"/>
      <c r="AK140" s="45"/>
      <c r="AL140" s="45"/>
      <c r="AM140" s="45"/>
      <c r="AN140" s="45"/>
      <c r="AO140" s="45"/>
      <c r="AP140" s="45"/>
      <c r="AQ140" s="45"/>
      <c r="AR140" s="45"/>
      <c r="AS140" s="45"/>
      <c r="AT140" s="79"/>
      <c r="AU140" s="45"/>
      <c r="AV140" s="45"/>
      <c r="AW140" s="45"/>
      <c r="AX140" s="45"/>
      <c r="AY140" s="45"/>
      <c r="AZ140" s="45"/>
      <c r="BA140" s="45"/>
      <c r="BB140" s="45">
        <f>BB139*AZ139</f>
        <v>1</v>
      </c>
      <c r="BC140" s="45"/>
      <c r="BD140" s="45"/>
      <c r="BE140" s="45"/>
      <c r="BF140" s="45"/>
      <c r="BG140" s="45"/>
      <c r="BH140" s="45"/>
      <c r="BI140" s="46"/>
      <c r="BK140" s="22"/>
      <c r="BS140" s="140" t="s">
        <v>32</v>
      </c>
      <c r="BT140" s="140">
        <v>21.0</v>
      </c>
      <c r="BU140" s="6">
        <f>VLOOKUP(BS140,'Item List'!$A$2:$D$300,2,FALSE)</f>
        <v>1</v>
      </c>
      <c r="BV140" s="6">
        <f>VLOOKUP(BS140,'Item List'!$A$2:$D$300,3,FALSE)</f>
        <v>3</v>
      </c>
      <c r="BW140" s="6">
        <f>VLOOKUP(BS140,'Item List'!$A$2:$D$300,4,FALSE)</f>
        <v>2</v>
      </c>
      <c r="CC140" s="102"/>
      <c r="CD140" s="102"/>
      <c r="CE140" s="102"/>
      <c r="CG140" s="5"/>
      <c r="CH140" s="5"/>
      <c r="CI140" s="107">
        <f>BN219/CH136</f>
        <v>153600</v>
      </c>
      <c r="CJ140" s="107">
        <f>BO219/CH136</f>
        <v>153600</v>
      </c>
      <c r="CK140" s="5"/>
    </row>
    <row r="141">
      <c r="B141" s="40"/>
      <c r="C141" s="41" t="s">
        <v>113</v>
      </c>
      <c r="D141" s="38">
        <f>200*I141</f>
        <v>56000</v>
      </c>
      <c r="E141" s="38" t="s">
        <v>237</v>
      </c>
      <c r="F141" s="42">
        <f>100*I141</f>
        <v>28000</v>
      </c>
      <c r="G141" s="43"/>
      <c r="H141" s="56" t="s">
        <v>502</v>
      </c>
      <c r="I141" s="49">
        <v>280.0</v>
      </c>
      <c r="J141" s="100" t="s">
        <v>424</v>
      </c>
      <c r="K141" s="100">
        <v>0.0</v>
      </c>
      <c r="L141" s="100">
        <v>0.0</v>
      </c>
      <c r="M141" s="45"/>
      <c r="N141" s="45"/>
      <c r="O141" s="45"/>
      <c r="P141" s="45"/>
      <c r="Q141" s="45"/>
      <c r="R141" s="45"/>
      <c r="S141" s="101"/>
      <c r="T141" s="101"/>
      <c r="U141" s="45"/>
      <c r="V141" s="45"/>
      <c r="W141" s="45"/>
      <c r="X141" s="45"/>
      <c r="Y141" s="45"/>
      <c r="Z141" s="45"/>
      <c r="AA141" s="45"/>
      <c r="AB141" s="45"/>
      <c r="AC141" s="45"/>
      <c r="AD141" s="45"/>
      <c r="AE141" s="45"/>
      <c r="AF141" s="45"/>
      <c r="AG141" s="79"/>
      <c r="AH141" s="45"/>
      <c r="AI141" s="45"/>
      <c r="AJ141" s="45"/>
      <c r="AK141" s="45"/>
      <c r="AL141" s="45"/>
      <c r="AM141" s="45"/>
      <c r="AN141" s="45"/>
      <c r="AO141" s="45"/>
      <c r="AP141" s="45"/>
      <c r="AQ141" s="45"/>
      <c r="AR141" s="45"/>
      <c r="AS141" s="45"/>
      <c r="AT141" s="79"/>
      <c r="AU141" s="45"/>
      <c r="AV141" s="45"/>
      <c r="AW141" s="45"/>
      <c r="AX141" s="45"/>
      <c r="AY141" s="45"/>
      <c r="AZ141" s="45"/>
      <c r="BA141" s="45"/>
      <c r="BB141" s="45"/>
      <c r="BC141" s="45"/>
      <c r="BD141" s="45"/>
      <c r="BE141" s="45"/>
      <c r="BF141" s="45"/>
      <c r="BG141" s="45"/>
      <c r="BH141" s="45"/>
      <c r="BI141" s="46"/>
      <c r="BK141" s="22"/>
      <c r="BS141" s="140" t="s">
        <v>33</v>
      </c>
      <c r="BT141" s="140">
        <v>-68.0</v>
      </c>
      <c r="BU141" s="6">
        <f>VLOOKUP(BS141,'Item List'!$A$2:$D$300,2,FALSE)</f>
        <v>1</v>
      </c>
      <c r="BV141" s="6">
        <f>VLOOKUP(BS141,'Item List'!$A$2:$D$300,3,FALSE)</f>
        <v>3</v>
      </c>
      <c r="BW141" s="6">
        <f>VLOOKUP(BS141,'Item List'!$A$2:$D$300,4,FALSE)</f>
        <v>2</v>
      </c>
    </row>
    <row r="142">
      <c r="B142" s="40"/>
      <c r="C142" s="41"/>
      <c r="D142" s="38"/>
      <c r="E142" s="38" t="s">
        <v>241</v>
      </c>
      <c r="F142" s="42">
        <f>15*I141</f>
        <v>4200</v>
      </c>
      <c r="G142" s="43"/>
      <c r="H142" s="44"/>
      <c r="I142" s="45"/>
      <c r="J142" s="45"/>
      <c r="K142" s="45"/>
      <c r="L142" s="45"/>
      <c r="M142" s="45"/>
      <c r="N142" s="45"/>
      <c r="O142" s="45"/>
      <c r="P142" s="45"/>
      <c r="Q142" s="45"/>
      <c r="R142" s="45"/>
      <c r="S142" s="101"/>
      <c r="T142" s="101"/>
      <c r="U142" s="45"/>
      <c r="V142" s="45"/>
      <c r="W142" s="45"/>
      <c r="X142" s="45"/>
      <c r="Y142" s="45"/>
      <c r="Z142" s="45"/>
      <c r="AA142" s="45"/>
      <c r="AB142" s="45"/>
      <c r="AC142" s="45"/>
      <c r="AD142" s="45"/>
      <c r="AE142" s="45"/>
      <c r="AF142" s="45"/>
      <c r="AG142" s="79"/>
      <c r="AH142" s="45"/>
      <c r="AI142" s="45"/>
      <c r="AJ142" s="45"/>
      <c r="AK142" s="45"/>
      <c r="AL142" s="45"/>
      <c r="AM142" s="45"/>
      <c r="AN142" s="45"/>
      <c r="AO142" s="45"/>
      <c r="AP142" s="45"/>
      <c r="AQ142" s="45"/>
      <c r="AR142" s="45"/>
      <c r="AS142" s="45"/>
      <c r="AT142" s="79"/>
      <c r="AU142" s="45"/>
      <c r="AV142" s="45"/>
      <c r="AW142" s="45"/>
      <c r="AX142" s="45"/>
      <c r="AY142" s="45"/>
      <c r="AZ142" s="45"/>
      <c r="BA142" s="45"/>
      <c r="BB142" s="45"/>
      <c r="BC142" s="45"/>
      <c r="BD142" s="45"/>
      <c r="BE142" s="45"/>
      <c r="BF142" s="45"/>
      <c r="BG142" s="45"/>
      <c r="BH142" s="45"/>
      <c r="BI142" s="46"/>
      <c r="BK142" s="22"/>
      <c r="BS142" s="140" t="s">
        <v>34</v>
      </c>
      <c r="BT142" s="140">
        <v>0.0</v>
      </c>
      <c r="BU142" s="6">
        <f>VLOOKUP(BS142,'Item List'!$A$2:$D$300,2,FALSE)</f>
        <v>1</v>
      </c>
      <c r="BV142" s="6">
        <f>VLOOKUP(BS142,'Item List'!$A$2:$D$300,3,FALSE)</f>
        <v>3</v>
      </c>
      <c r="BW142" s="6">
        <f>VLOOKUP(BS142,'Item List'!$A$2:$D$300,4,FALSE)</f>
        <v>2</v>
      </c>
      <c r="CA142" s="97" t="s">
        <v>589</v>
      </c>
      <c r="CB142" s="97" t="s">
        <v>514</v>
      </c>
      <c r="CC142" s="97" t="s">
        <v>590</v>
      </c>
      <c r="CD142" s="97" t="s">
        <v>591</v>
      </c>
      <c r="CE142" s="97" t="s">
        <v>592</v>
      </c>
      <c r="CG142" s="108" t="s">
        <v>595</v>
      </c>
      <c r="CH142" s="108" t="s">
        <v>596</v>
      </c>
    </row>
    <row r="143">
      <c r="B143" s="40"/>
      <c r="C143" s="41"/>
      <c r="D143" s="133"/>
      <c r="E143" s="38" t="s">
        <v>244</v>
      </c>
      <c r="F143" s="42">
        <f>50*I141</f>
        <v>14000</v>
      </c>
      <c r="G143" s="43"/>
      <c r="H143" s="44"/>
      <c r="I143" s="45"/>
      <c r="J143" s="45"/>
      <c r="K143" s="45"/>
      <c r="L143" s="45"/>
      <c r="M143" s="45"/>
      <c r="N143" s="45"/>
      <c r="O143" s="45"/>
      <c r="P143" s="45"/>
      <c r="Q143" s="45"/>
      <c r="R143" s="45"/>
      <c r="S143" s="101"/>
      <c r="T143" s="101"/>
      <c r="U143" s="45"/>
      <c r="V143" s="45"/>
      <c r="W143" s="45"/>
      <c r="X143" s="45"/>
      <c r="Y143" s="45"/>
      <c r="Z143" s="45"/>
      <c r="AA143" s="45"/>
      <c r="AB143" s="45"/>
      <c r="AC143" s="45"/>
      <c r="AD143" s="45"/>
      <c r="AE143" s="45"/>
      <c r="AF143" s="45"/>
      <c r="AG143" s="79"/>
      <c r="AH143" s="45"/>
      <c r="AI143" s="45"/>
      <c r="AJ143" s="45"/>
      <c r="AK143" s="45"/>
      <c r="AL143" s="45"/>
      <c r="AM143" s="45"/>
      <c r="AN143" s="45"/>
      <c r="AO143" s="45"/>
      <c r="AP143" s="45"/>
      <c r="AQ143" s="45"/>
      <c r="AR143" s="45"/>
      <c r="AS143" s="45"/>
      <c r="AT143" s="79"/>
      <c r="AU143" s="45"/>
      <c r="AV143" s="45"/>
      <c r="AW143" s="45"/>
      <c r="AX143" s="45"/>
      <c r="AY143" s="45"/>
      <c r="AZ143" s="45"/>
      <c r="BA143" s="45"/>
      <c r="BB143" s="45"/>
      <c r="BC143" s="45"/>
      <c r="BD143" s="45"/>
      <c r="BE143" s="45"/>
      <c r="BF143" s="45"/>
      <c r="BG143" s="45"/>
      <c r="BH143" s="45"/>
      <c r="BI143" s="46"/>
      <c r="BK143" s="22"/>
      <c r="BS143" s="140" t="s">
        <v>35</v>
      </c>
      <c r="BT143" s="140">
        <v>0.0</v>
      </c>
      <c r="BU143" s="6">
        <f>VLOOKUP(BS143,'Item List'!$A$2:$D$300,2,FALSE)</f>
        <v>1</v>
      </c>
      <c r="BV143" s="6">
        <f>VLOOKUP(BS143,'Item List'!$A$2:$D$300,3,FALSE)</f>
        <v>3</v>
      </c>
      <c r="BW143" s="6">
        <f>VLOOKUP(BS143,'Item List'!$A$2:$D$300,4,FALSE)</f>
        <v>2</v>
      </c>
      <c r="CA143" s="140">
        <f t="shared" ref="CA143:CA146" si="8">BZ143</f>
        <v>64000</v>
      </c>
      <c r="CB143" s="6">
        <f t="shared" ref="CB143:CB146" si="9">CA143/$CH$21</f>
        <v>5.333333333</v>
      </c>
      <c r="CC143" s="102">
        <f t="shared" ref="CC143:CC146" si="10">1/($CI$8*CB143)</f>
        <v>0.1041666667</v>
      </c>
      <c r="CD143" s="102">
        <f t="shared" ref="CD143:CD146" si="11">1/($CJ$8*CB143)</f>
        <v>0.1875</v>
      </c>
      <c r="CE143" s="102">
        <f t="shared" ref="CE143:CE146" si="12">1/($CK$8*CB143)</f>
        <v>187.5</v>
      </c>
      <c r="CG143" s="98" t="s">
        <v>597</v>
      </c>
      <c r="CH143" s="98" t="s">
        <v>597</v>
      </c>
    </row>
    <row r="144">
      <c r="B144" s="135"/>
      <c r="C144" s="136"/>
      <c r="D144" s="137"/>
      <c r="E144" s="137"/>
      <c r="F144" s="137"/>
      <c r="G144" s="138"/>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8"/>
      <c r="AH144" s="137"/>
      <c r="AI144" s="137"/>
      <c r="AJ144" s="137"/>
      <c r="AK144" s="137"/>
      <c r="AL144" s="137"/>
      <c r="AM144" s="137"/>
      <c r="AN144" s="137"/>
      <c r="AO144" s="137"/>
      <c r="AP144" s="137"/>
      <c r="AQ144" s="137"/>
      <c r="AR144" s="137"/>
      <c r="AS144" s="137"/>
      <c r="AT144" s="138"/>
      <c r="AU144" s="137"/>
      <c r="AV144" s="137"/>
      <c r="AW144" s="137"/>
      <c r="AX144" s="137"/>
      <c r="AY144" s="137"/>
      <c r="AZ144" s="137"/>
      <c r="BA144" s="137"/>
      <c r="BB144" s="137"/>
      <c r="BC144" s="137"/>
      <c r="BD144" s="137"/>
      <c r="BE144" s="137"/>
      <c r="BF144" s="137"/>
      <c r="BG144" s="137"/>
      <c r="BH144" s="137"/>
      <c r="BI144" s="139"/>
      <c r="BK144" s="22"/>
      <c r="BS144" s="140" t="s">
        <v>48</v>
      </c>
      <c r="BT144" s="140">
        <v>-8000.0</v>
      </c>
      <c r="BU144" s="6">
        <f>VLOOKUP(BS144,'Item List'!$A$2:$D$300,2,FALSE)</f>
        <v>1</v>
      </c>
      <c r="BV144" s="6">
        <f>VLOOKUP(BS144,'Item List'!$A$2:$D$300,3,FALSE)</f>
        <v>4</v>
      </c>
      <c r="BW144" s="6">
        <f>VLOOKUP(BS144,'Item List'!$A$2:$D$300,4,FALSE)</f>
        <v>1</v>
      </c>
      <c r="CA144" s="140">
        <f t="shared" si="8"/>
        <v>20200</v>
      </c>
      <c r="CB144" s="6">
        <f t="shared" si="9"/>
        <v>1.683333333</v>
      </c>
      <c r="CC144" s="102">
        <f t="shared" si="10"/>
        <v>0.3300330033</v>
      </c>
      <c r="CD144" s="102">
        <f t="shared" si="11"/>
        <v>0.5940594059</v>
      </c>
      <c r="CE144" s="102">
        <f t="shared" si="12"/>
        <v>594.0594059</v>
      </c>
      <c r="CG144" s="5">
        <f>BZ262</f>
        <v>4</v>
      </c>
      <c r="CH144" s="4">
        <f>BZ301</f>
        <v>10</v>
      </c>
    </row>
    <row r="145">
      <c r="B145" s="141" t="s">
        <v>733</v>
      </c>
      <c r="C145" s="142"/>
      <c r="D145" s="143"/>
      <c r="E145" s="143"/>
      <c r="F145" s="144"/>
      <c r="G145" s="145"/>
      <c r="H145" s="146" t="s">
        <v>356</v>
      </c>
      <c r="I145" s="147" t="str">
        <f>VLOOKUP(H145,'Machine List'!$A$1:$I$300,9,FALSE)</f>
        <v>1T</v>
      </c>
      <c r="J145" s="147">
        <f>IF(VLOOKUP(H145,'Machine List'!$A$1:$I$300,5,FALSE)="Multi",IF(VLOOKUP(H145,'Machine List'!$A$1:$I$300,6,FALSE)="Yes",AI145*3*10^AB145,AI145*(2*3)*10^(AB145-1)),0)</f>
        <v>600</v>
      </c>
      <c r="K145" s="147">
        <f>J145+IF(ISNUMBER(I145),I145,
  SWITCH(
      I145,
      "1T",1*10^AB145,
      "2T",2*10^AB145,
      "3T",3*10^AB145,
      "4T",4*10^AB145,
      "4000+500(7O-5)",4000+500*(7*I146-5),
      "13500 + 16C",13500+16*VLOOKUP(J147,'Machine Helper Sheet'!$G$1:$K$16,5,FALSE),
      1
  )
)</f>
        <v>1600</v>
      </c>
      <c r="L145" s="147">
        <f>IF(VLOOKUP(H145,'Machine List'!$A$1:$I$300,5,FALSE)="Multi",IF(VLOOKUP(H145,'Machine List'!$A$1:$I$300,6,FALSE)="Yes",AW145*3*10^AV145,AW145*(2*3)*10^(AV145-1)),0)</f>
        <v>60000</v>
      </c>
      <c r="M145" s="147">
        <f>L145+IF(ISNUMBER(I145),I145,
  SWITCH(
      I145,
      "1T",1*10^AV145,
      "2T",2*10^AV145,
      "3T",3*10^AV145,
      "4T",4*10^AV145,
      "4000+500(7O-5)",4000+500*(7*I146-5),
      1
  )
)</f>
        <v>160000</v>
      </c>
      <c r="N145" s="147" t="str">
        <f>VLOOKUP(H145,'Machine List'!$A$1:$I$300,8,FALSE)</f>
        <v>Tier</v>
      </c>
      <c r="O145" s="147">
        <f>IF(ISNUMBER(N145),N145,10^AB145)</f>
        <v>1000</v>
      </c>
      <c r="P145" s="147">
        <f>IF(ISNUMBER(N145),N145,10^AV145)</f>
        <v>100000</v>
      </c>
      <c r="Q145" s="147" t="str">
        <f>VLOOKUP(H145,'Machine List'!$A$1:$B$138,2,FALSE)</f>
        <v>2T</v>
      </c>
      <c r="R145" s="147" t="s">
        <v>277</v>
      </c>
      <c r="S145" s="45">
        <f>IF(ISNUMBER(Q145),Q145,
  SWITCH(
      Q145,
      "1",1,
      "2T",AB145*2,
      "4T",AB145*4,
      "6T",AB145*6,
      "8T",AB145*8,
      "10T",AB145*10,
      "12T",AB145*12,
      "14T",AB145*14,
      "16T",AB145*16,
      "24T",AB145*24,
      "2(T+1)",2*(AB145+1),
      "1T*C",AB145*J147,
      "2*P",L147*2,
      1
  )
)</f>
        <v>6</v>
      </c>
      <c r="T145" s="38" t="s">
        <v>277</v>
      </c>
      <c r="U145" s="38">
        <f>IF(OR(T145="No",T145=""),S145,T145)</f>
        <v>6</v>
      </c>
      <c r="V145" s="38">
        <f>IF(ISNUMBER(Q145),Q145,
  SWITCH(
      Q145,
      "1",1,
      "2T",AV145*2,
      "4T",AV145*4,
      "6T",AV145*6,
      "8T",AV145*8,
      "10T",AV145*10,
      "12T",AV145*12,
      "14T",AV145*14,
      "16T",AV145*16,
      "24T",AV145*24,
      "2(T+1)",2*(AV145+1),
      "1T*C",AV145*J147,
      "2*P",L147*2,
      1
  )
)</f>
        <v>10</v>
      </c>
      <c r="W145" s="147" t="str">
        <f>T145</f>
        <v>No</v>
      </c>
      <c r="X145" s="147">
        <f>IF(OR(W145="No",W145=""),V145,W145)</f>
        <v>10</v>
      </c>
      <c r="Y145" s="38">
        <f>VLOOKUP(H145,'Machine List'!$A$1:$C$138,3,FALSE)</f>
        <v>2.5</v>
      </c>
      <c r="Z145" s="38">
        <f>VLOOKUP(H145,'Machine List'!$A$1:$D$138,4,FALSE)</f>
        <v>1</v>
      </c>
      <c r="AA145" s="147" t="s">
        <v>397</v>
      </c>
      <c r="AB145" s="147">
        <f>VLOOKUP(AA145,'Item Helper Sheet'!$A$2:$B$16,2,FALSE)</f>
        <v>3</v>
      </c>
      <c r="AC145" s="147">
        <v>480.0</v>
      </c>
      <c r="AD145" s="147">
        <f>7200*20</f>
        <v>144000</v>
      </c>
      <c r="AE145" s="147">
        <f>AD145*I147</f>
        <v>2016000</v>
      </c>
      <c r="AF145" s="147">
        <f>AC145*AE145</f>
        <v>967680000</v>
      </c>
      <c r="AG145" s="148"/>
      <c r="AH145" s="147" t="str">
        <f>AA145</f>
        <v>03 - HV</v>
      </c>
      <c r="AI145" s="147">
        <v>1.0</v>
      </c>
      <c r="AJ145" s="147">
        <v>1.0</v>
      </c>
      <c r="AK145" s="147">
        <f>AJ145*8*4^AB145</f>
        <v>512</v>
      </c>
      <c r="AL145" s="147">
        <f>MIN(ROUNDDOWN(AK145/AN145,0),U145)</f>
        <v>1</v>
      </c>
      <c r="AM145" s="147">
        <f>IF(OR(T145="No",T145=""),AI145*S145,AI145*T145)</f>
        <v>6</v>
      </c>
      <c r="AN145" s="147">
        <f>ROUNDUP(AC145*VLOOKUP(H145,'Machine List'!$A$2:$D$219,4,FALSE),0)</f>
        <v>480</v>
      </c>
      <c r="AO145" s="147">
        <f>AN145*AM145</f>
        <v>2880</v>
      </c>
      <c r="AP145" s="147">
        <f>ROUNDUP(AD145*I147,0)</f>
        <v>2016000</v>
      </c>
      <c r="AQ145" s="38">
        <f>IF(ISNUMBER(Y145),ROUNDUP(AP145/Y145,0),
  SWITCH(
      Y145,
      "1+0.5C",ROUNDUP(AP145/(1+0.5*VLOOKUP(J147,'Machine Helper Sheet'!$G$1:$K$16,2,FALSE)),0),
      ROUNDUP(AP145/1,0)
  )
)</f>
        <v>806400</v>
      </c>
      <c r="AR145" s="147">
        <f>ROUNDUP(AQ145/AM145,0)</f>
        <v>134400</v>
      </c>
      <c r="AS145" s="147">
        <f>AO145*AR145</f>
        <v>387072000</v>
      </c>
      <c r="AT145" s="148"/>
      <c r="AU145" s="147" t="s">
        <v>405</v>
      </c>
      <c r="AV145" s="147">
        <f>VLOOKUP(AU145,'Item Helper Sheet'!$A$2:$B$16,2,FALSE)</f>
        <v>5</v>
      </c>
      <c r="AW145" s="147">
        <f>AI145</f>
        <v>1</v>
      </c>
      <c r="AX145" s="147">
        <v>1.0</v>
      </c>
      <c r="AY145" s="147">
        <f>AX145*8*4^AV145</f>
        <v>8192</v>
      </c>
      <c r="AZ145" s="147">
        <f>MIN(ROUNDDOWN(AY145/AN145,0),X145)</f>
        <v>10</v>
      </c>
      <c r="BA145" s="147">
        <f>AZ145*AW145</f>
        <v>10</v>
      </c>
      <c r="BB145" s="147">
        <f>AN145</f>
        <v>480</v>
      </c>
      <c r="BC145" s="147">
        <f>MIN(AV145-AB145,IF(AY145&gt;=BB146*4,
IF(AY145&gt;=BB146*4^2,
IF(AY145&gt;=BB146*4^3,
IF(AY145&gt;=BB146*4^4,
IF(AY145&gt;=BB146*4^5,
IF(AY145&gt;=BB146*4^6,
IF(AY145&gt;=BB146*4^7,
IF(AY145&gt;=BB146*4^8,
IF(AY145&gt;=BB146*4^9,
IF(AY145&gt;=BB146*4^10,
9),
8),
7),
6),
5),
4),
3),
2),
1),
0))</f>
        <v>0</v>
      </c>
      <c r="BD145" s="147">
        <f>BB145*AZ145*4^BC145</f>
        <v>4800</v>
      </c>
      <c r="BE145" s="147">
        <f>BD145*AW145</f>
        <v>4800</v>
      </c>
      <c r="BF145" s="143">
        <f>ROUNDUP(IF(R145="Yes",AP145/(2^((BC145)*2)),AP145/(2^(BC145))),0)</f>
        <v>2016000</v>
      </c>
      <c r="BG145" s="45">
        <f>IF(ISNUMBER(Y145),ROUNDUP(BF145/Y145,0),
  SWITCH(
      Y145,
      "1+0.5C",ROUNDUP(BF145/(1+0.5*VLOOKUP(J147,'Machine Helper Sheet'!$G$1:$K$16,2,FALSE)),0),
      ROUNDUP(BF145/1,0)
  )
)</f>
        <v>806400</v>
      </c>
      <c r="BH145" s="143">
        <f>ROUNDUP(BG145/BA145,0)</f>
        <v>80640</v>
      </c>
      <c r="BI145" s="149">
        <f>BH145*BE145</f>
        <v>387072000</v>
      </c>
      <c r="BK145" s="22"/>
      <c r="BS145" s="140" t="s">
        <v>49</v>
      </c>
      <c r="BT145" s="140">
        <v>0.0</v>
      </c>
      <c r="BU145" s="6">
        <f>VLOOKUP(BS145,'Item List'!$A$2:$D$300,2,FALSE)</f>
        <v>1</v>
      </c>
      <c r="BV145" s="6">
        <f>VLOOKUP(BS145,'Item List'!$A$2:$D$300,3,FALSE)</f>
        <v>3</v>
      </c>
      <c r="BW145" s="6">
        <f>VLOOKUP(BS145,'Item List'!$A$2:$D$300,4,FALSE)</f>
        <v>2</v>
      </c>
      <c r="CA145" s="6">
        <f t="shared" si="8"/>
        <v>14000</v>
      </c>
      <c r="CB145" s="6">
        <f t="shared" si="9"/>
        <v>1.166666667</v>
      </c>
      <c r="CC145" s="102">
        <f t="shared" si="10"/>
        <v>0.4761904762</v>
      </c>
      <c r="CD145" s="102">
        <f t="shared" si="11"/>
        <v>0.8571428571</v>
      </c>
      <c r="CE145" s="102">
        <f t="shared" si="12"/>
        <v>857.1428571</v>
      </c>
      <c r="CG145" s="98" t="s">
        <v>598</v>
      </c>
      <c r="CH145" s="98" t="s">
        <v>598</v>
      </c>
    </row>
    <row r="146">
      <c r="B146" s="150"/>
      <c r="C146" s="151" t="s">
        <v>240</v>
      </c>
      <c r="D146" s="147">
        <f>1000*I147</f>
        <v>14000</v>
      </c>
      <c r="E146" s="147" t="s">
        <v>149</v>
      </c>
      <c r="F146" s="152">
        <f>1000*I147</f>
        <v>14000</v>
      </c>
      <c r="G146" s="138"/>
      <c r="H146" s="153" t="s">
        <v>584</v>
      </c>
      <c r="I146" s="143">
        <f t="array" ref="I146">match(TRUE,ISBLANK(F146:F202),0)-1</f>
        <v>2</v>
      </c>
      <c r="J146" s="154" t="s">
        <v>420</v>
      </c>
      <c r="K146" s="154" t="s">
        <v>585</v>
      </c>
      <c r="L146" s="100" t="s">
        <v>704</v>
      </c>
      <c r="M146" s="147"/>
      <c r="N146" s="147"/>
      <c r="O146" s="147"/>
      <c r="P146" s="147"/>
      <c r="Q146" s="147"/>
      <c r="R146" s="155"/>
      <c r="S146" s="155"/>
      <c r="T146" s="155"/>
      <c r="U146" s="143"/>
      <c r="V146" s="143"/>
      <c r="W146" s="143"/>
      <c r="X146" s="143"/>
      <c r="Y146" s="143"/>
      <c r="Z146" s="143"/>
      <c r="AA146" s="143"/>
      <c r="AB146" s="143"/>
      <c r="AC146" s="143"/>
      <c r="AD146" s="143"/>
      <c r="AE146" s="143"/>
      <c r="AF146" s="143"/>
      <c r="AG146" s="156"/>
      <c r="AH146" s="143"/>
      <c r="AI146" s="143"/>
      <c r="AJ146" s="143"/>
      <c r="AK146" s="143"/>
      <c r="AL146" s="143"/>
      <c r="AM146" s="143"/>
      <c r="AN146" s="143"/>
      <c r="AO146" s="143"/>
      <c r="AP146" s="143"/>
      <c r="AQ146" s="143"/>
      <c r="AR146" s="143"/>
      <c r="AS146" s="143"/>
      <c r="AT146" s="156"/>
      <c r="AU146" s="143"/>
      <c r="AV146" s="143"/>
      <c r="AW146" s="143"/>
      <c r="AX146" s="143"/>
      <c r="AY146" s="143"/>
      <c r="AZ146" s="143"/>
      <c r="BA146" s="143"/>
      <c r="BB146" s="143">
        <f>BB145*AZ145</f>
        <v>4800</v>
      </c>
      <c r="BC146" s="143"/>
      <c r="BD146" s="143"/>
      <c r="BE146" s="143"/>
      <c r="BF146" s="143"/>
      <c r="BG146" s="143"/>
      <c r="BH146" s="143"/>
      <c r="BI146" s="149"/>
      <c r="BK146" s="22"/>
      <c r="BS146" s="6" t="s">
        <v>71</v>
      </c>
      <c r="BT146" s="140">
        <v>0.0</v>
      </c>
      <c r="BU146" s="6">
        <f>VLOOKUP(BS146,'Item List'!$A$2:$D$300,2,FALSE)</f>
        <v>1</v>
      </c>
      <c r="BV146" s="6">
        <f>VLOOKUP(BS146,'Item List'!$A$2:$D$300,3,FALSE)</f>
        <v>3</v>
      </c>
      <c r="BW146" s="6">
        <f>VLOOKUP(BS146,'Item List'!$A$2:$D$300,4,FALSE)</f>
        <v>2</v>
      </c>
      <c r="CA146" s="140">
        <f t="shared" si="8"/>
        <v>99000</v>
      </c>
      <c r="CB146" s="6">
        <f t="shared" si="9"/>
        <v>8.25</v>
      </c>
      <c r="CC146" s="102">
        <f t="shared" si="10"/>
        <v>0.06734006734</v>
      </c>
      <c r="CD146" s="102">
        <f t="shared" si="11"/>
        <v>0.1212121212</v>
      </c>
      <c r="CE146" s="102">
        <f t="shared" si="12"/>
        <v>121.2121212</v>
      </c>
      <c r="CG146" s="5">
        <f>SUM(BZ152:BZ182)</f>
        <v>793712</v>
      </c>
      <c r="CH146" s="5">
        <f>SUM(CD152:CD182)</f>
        <v>5283000</v>
      </c>
    </row>
    <row r="147">
      <c r="B147" s="150"/>
      <c r="C147" s="151" t="s">
        <v>72</v>
      </c>
      <c r="D147" s="147">
        <f>1000*I147</f>
        <v>14000</v>
      </c>
      <c r="E147" s="147" t="s">
        <v>90</v>
      </c>
      <c r="F147" s="152">
        <f>1000*I147</f>
        <v>14000</v>
      </c>
      <c r="G147" s="138"/>
      <c r="H147" s="157" t="s">
        <v>502</v>
      </c>
      <c r="I147" s="158">
        <v>14.0</v>
      </c>
      <c r="J147" s="154" t="s">
        <v>424</v>
      </c>
      <c r="K147" s="154">
        <v>0.0</v>
      </c>
      <c r="L147" s="100">
        <v>0.0</v>
      </c>
      <c r="M147" s="143"/>
      <c r="N147" s="143"/>
      <c r="O147" s="143"/>
      <c r="P147" s="143"/>
      <c r="Q147" s="143"/>
      <c r="R147" s="143"/>
      <c r="S147" s="155"/>
      <c r="T147" s="155"/>
      <c r="U147" s="143"/>
      <c r="V147" s="143"/>
      <c r="W147" s="143"/>
      <c r="X147" s="143"/>
      <c r="Y147" s="143"/>
      <c r="Z147" s="143"/>
      <c r="AA147" s="143"/>
      <c r="AB147" s="143"/>
      <c r="AC147" s="143"/>
      <c r="AD147" s="143"/>
      <c r="AE147" s="143"/>
      <c r="AF147" s="143"/>
      <c r="AG147" s="156"/>
      <c r="AH147" s="143"/>
      <c r="AI147" s="143"/>
      <c r="AJ147" s="143"/>
      <c r="AK147" s="143"/>
      <c r="AL147" s="143"/>
      <c r="AM147" s="143"/>
      <c r="AN147" s="143"/>
      <c r="AO147" s="143"/>
      <c r="AP147" s="143"/>
      <c r="AQ147" s="143"/>
      <c r="AR147" s="143"/>
      <c r="AS147" s="143"/>
      <c r="AT147" s="156"/>
      <c r="AU147" s="143"/>
      <c r="AV147" s="143"/>
      <c r="AW147" s="143"/>
      <c r="AX147" s="143"/>
      <c r="AY147" s="143"/>
      <c r="AZ147" s="143"/>
      <c r="BA147" s="143"/>
      <c r="BB147" s="143"/>
      <c r="BC147" s="143"/>
      <c r="BD147" s="143"/>
      <c r="BE147" s="143"/>
      <c r="BF147" s="143"/>
      <c r="BG147" s="143"/>
      <c r="BH147" s="143"/>
      <c r="BI147" s="149"/>
      <c r="BK147" s="22"/>
      <c r="BS147" s="140" t="s">
        <v>72</v>
      </c>
      <c r="BT147" s="140">
        <v>-209000.0</v>
      </c>
      <c r="BU147" s="6">
        <f>VLOOKUP(BS147,'Item List'!$A$2:$D$300,2,FALSE)</f>
        <v>1</v>
      </c>
      <c r="BV147" s="6">
        <f>VLOOKUP(BS147,'Item List'!$A$2:$D$300,3,FALSE)</f>
        <v>3</v>
      </c>
      <c r="BW147" s="6">
        <f>VLOOKUP(BS147,'Item List'!$A$2:$D$300,4,FALSE)</f>
        <v>2</v>
      </c>
      <c r="CG147" s="98" t="s">
        <v>600</v>
      </c>
      <c r="CH147" s="98" t="s">
        <v>600</v>
      </c>
    </row>
    <row r="148">
      <c r="B148" s="135"/>
      <c r="C148" s="136"/>
      <c r="D148" s="137"/>
      <c r="E148" s="137"/>
      <c r="F148" s="137"/>
      <c r="G148" s="138"/>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8"/>
      <c r="AH148" s="137"/>
      <c r="AI148" s="137"/>
      <c r="AJ148" s="137"/>
      <c r="AK148" s="137"/>
      <c r="AL148" s="137"/>
      <c r="AM148" s="137"/>
      <c r="AN148" s="137"/>
      <c r="AO148" s="137"/>
      <c r="AP148" s="137"/>
      <c r="AQ148" s="137"/>
      <c r="AR148" s="137"/>
      <c r="AS148" s="137"/>
      <c r="AT148" s="138"/>
      <c r="AU148" s="137"/>
      <c r="AV148" s="137"/>
      <c r="AW148" s="137"/>
      <c r="AX148" s="137"/>
      <c r="AY148" s="137"/>
      <c r="AZ148" s="137"/>
      <c r="BA148" s="137"/>
      <c r="BB148" s="137"/>
      <c r="BC148" s="137"/>
      <c r="BD148" s="137"/>
      <c r="BE148" s="137"/>
      <c r="BF148" s="137"/>
      <c r="BG148" s="137"/>
      <c r="BH148" s="137"/>
      <c r="BI148" s="139"/>
      <c r="BK148" s="22"/>
      <c r="BS148" s="140" t="s">
        <v>85</v>
      </c>
      <c r="BT148" s="140">
        <v>8000.0</v>
      </c>
      <c r="BU148" s="6">
        <f>VLOOKUP(BS148,'Item List'!$A$2:$D$300,2,FALSE)</f>
        <v>1</v>
      </c>
      <c r="BV148" s="6">
        <f>VLOOKUP(BS148,'Item List'!$A$2:$D$300,3,FALSE)</f>
        <v>4</v>
      </c>
      <c r="BW148" s="6">
        <f>VLOOKUP(BS148,'Item List'!$A$2:$D$300,4,FALSE)</f>
        <v>2</v>
      </c>
      <c r="CG148" s="161">
        <f>CA184</f>
        <v>1000</v>
      </c>
      <c r="CH148" s="161">
        <f>CE184</f>
        <v>100000</v>
      </c>
    </row>
    <row r="149">
      <c r="B149" s="31" t="s">
        <v>734</v>
      </c>
      <c r="C149" s="54"/>
      <c r="D149" s="45"/>
      <c r="E149" s="45"/>
      <c r="F149" s="47"/>
      <c r="G149" s="35"/>
      <c r="H149" s="55" t="s">
        <v>363</v>
      </c>
      <c r="I149" s="38" t="str">
        <f>VLOOKUP(H149,'Machine List'!$A$1:$I$300,9,FALSE)</f>
        <v>1T</v>
      </c>
      <c r="J149" s="38">
        <f>IF(VLOOKUP(H149,'Machine List'!$A$1:$I$300,5,FALSE)="Multi",IF(VLOOKUP(H149,'Machine List'!$A$1:$I$300,6,FALSE)="Yes",AI149*3*10^AB149,AI149*(2*3)*10^(AB149-1)),0)</f>
        <v>6000</v>
      </c>
      <c r="K149" s="38">
        <f>J149+IF(ISNUMBER(I149),I149,
  SWITCH(
      I149,
      "1T",1*10^AB149,
      "2T",2*10^AB149,
      "3T",3*10^AB149,
      "4T",4*10^AB149,
      "4000+500(7O-5)",4000+500*(7*I150-5),
      "13500 + 16C",13500+16*VLOOKUP(J151,'Machine Helper Sheet'!$G$1:$K$16,5,FALSE),
      1
  )
)</f>
        <v>16000</v>
      </c>
      <c r="L149" s="38">
        <f>IF(VLOOKUP(H149,'Machine List'!$A$1:$I$300,5,FALSE)="Multi",IF(VLOOKUP(H149,'Machine List'!$A$1:$I$300,6,FALSE)="Yes",AW149*3*10^AV149,AW149*(2*3)*10^(AV149-1)),0)</f>
        <v>120000</v>
      </c>
      <c r="M149" s="38">
        <f>L149+IF(ISNUMBER(I149),I149,
  SWITCH(
      I149,
      "1T",1*10^AV149,
      "2T",2*10^AV149,
      "3T",3*10^AV149,
      "4T",4*10^AV149,
      "4000+500(7O-5)",4000+500*(7*I150-5),
      1
  )
)</f>
        <v>220000</v>
      </c>
      <c r="N149" s="38" t="str">
        <f>VLOOKUP(H149,'Machine List'!$A$1:$I$300,8,FALSE)</f>
        <v>Tier</v>
      </c>
      <c r="O149" s="38">
        <f>IF(ISNUMBER(N149),N149,10^AB149)</f>
        <v>10000</v>
      </c>
      <c r="P149" s="38">
        <f>IF(ISNUMBER(N149),N149,10^AV149)</f>
        <v>100000</v>
      </c>
      <c r="Q149" s="38">
        <f>VLOOKUP(H149,'Machine List'!$A$1:$B$138,2,FALSE)</f>
        <v>1</v>
      </c>
      <c r="R149" s="38" t="s">
        <v>277</v>
      </c>
      <c r="S149" s="45">
        <f>IF(ISNUMBER(Q149),Q149,
  SWITCH(
      Q149,
      "1",1,
      "2T",AB149*2,
      "4T",AB149*4,
      "6T",AB149*6,
      "8T",AB149*8,
      "10T",AB149*10,
      "12T",AB149*12,
      "14T",AB149*14,
      "16T",AB149*16,
      "24T",AB149*24,
      "2(T+1)",2*(AB149+1),
      "1T*C",AB149*J151,
      "2*P",L151*2,
      1
  )
)</f>
        <v>1</v>
      </c>
      <c r="T149" s="38" t="s">
        <v>277</v>
      </c>
      <c r="U149" s="38">
        <f>IF(OR(T149="No",T149=""),S149,T149)</f>
        <v>1</v>
      </c>
      <c r="V149" s="38">
        <f>IF(ISNUMBER(Q149),Q149,
  SWITCH(
      Q149,
      "1",1,
      "2T",AV149*2,
      "4T",AV149*4,
      "6T",AV149*6,
      "8T",AV149*8,
      "10T",AV149*10,
      "12T",AV149*12,
      "14T",AV149*14,
      "16T",AV149*16,
      "24T",AV149*24,
      "2(T+1)",2*(AV149+1),
      "1T*C",AV149*J151,
      "2*P",L151*2,
      1
  )
)</f>
        <v>1</v>
      </c>
      <c r="W149" s="38" t="str">
        <f>T149</f>
        <v>No</v>
      </c>
      <c r="X149" s="38">
        <f>IF(OR(W149="No",W149=""),V149,W149)</f>
        <v>1</v>
      </c>
      <c r="Y149" s="38">
        <f>VLOOKUP(H149,'Machine List'!$A$1:$C$138,3,FALSE)</f>
        <v>1</v>
      </c>
      <c r="Z149" s="38">
        <f>VLOOKUP(H149,'Machine List'!$A$1:$D$138,4,FALSE)</f>
        <v>1</v>
      </c>
      <c r="AA149" s="147" t="s">
        <v>401</v>
      </c>
      <c r="AB149" s="38">
        <f>VLOOKUP(AA149,'Item Helper Sheet'!$A$2:$B$16,2,FALSE)</f>
        <v>4</v>
      </c>
      <c r="AC149" s="147">
        <v>1920.0</v>
      </c>
      <c r="AD149" s="147">
        <f>600*20</f>
        <v>12000</v>
      </c>
      <c r="AE149" s="38">
        <f>AD149*I151</f>
        <v>84000</v>
      </c>
      <c r="AF149" s="38">
        <f>AC149*AE149</f>
        <v>161280000</v>
      </c>
      <c r="AG149" s="75"/>
      <c r="AH149" s="147" t="str">
        <f>AA149</f>
        <v>04 - EV</v>
      </c>
      <c r="AI149" s="38">
        <v>1.0</v>
      </c>
      <c r="AJ149" s="38">
        <v>1.0</v>
      </c>
      <c r="AK149" s="38">
        <f>AJ149*8*4^AB149</f>
        <v>2048</v>
      </c>
      <c r="AL149" s="38">
        <f>MIN(ROUNDDOWN(AK149/AN149,0),U149)</f>
        <v>1</v>
      </c>
      <c r="AM149" s="38">
        <f>IF(OR(T149="No",T149=""),AI149*S149,AI149*T149)</f>
        <v>1</v>
      </c>
      <c r="AN149" s="38">
        <f>ROUNDUP(AC149*VLOOKUP(H149,'Machine List'!$A$2:$D$219,4,FALSE),0)</f>
        <v>1920</v>
      </c>
      <c r="AO149" s="38">
        <f>AN149*AM149</f>
        <v>1920</v>
      </c>
      <c r="AP149" s="38">
        <f>ROUNDUP(AD149*I151,0)</f>
        <v>84000</v>
      </c>
      <c r="AQ149" s="38">
        <f>IF(ISNUMBER(Y149),ROUNDUP(AP149/Y149,0),
  SWITCH(
      Y149,
      "1+0.5C",ROUNDUP(AP149/(1+0.5*VLOOKUP(J151,'Machine Helper Sheet'!$G$1:$K$16,2,FALSE)),0),
      ROUNDUP(AP149/1,0)
  )
)</f>
        <v>84000</v>
      </c>
      <c r="AR149" s="38">
        <f>ROUNDUP(AQ149/AM149,0)</f>
        <v>84000</v>
      </c>
      <c r="AS149" s="38">
        <f>AO149*AR149</f>
        <v>161280000</v>
      </c>
      <c r="AT149" s="75"/>
      <c r="AU149" s="38" t="s">
        <v>405</v>
      </c>
      <c r="AV149" s="38">
        <f>VLOOKUP(AU149,'Item Helper Sheet'!$A$2:$B$16,2,FALSE)</f>
        <v>5</v>
      </c>
      <c r="AW149" s="38">
        <v>2.0</v>
      </c>
      <c r="AX149" s="38">
        <v>1.0</v>
      </c>
      <c r="AY149" s="38">
        <f>AX149*8*4^AV149</f>
        <v>8192</v>
      </c>
      <c r="AZ149" s="38">
        <f>MIN(ROUNDDOWN(AY149/AN149,0),X149)</f>
        <v>1</v>
      </c>
      <c r="BA149" s="38">
        <f>AZ149*AW149</f>
        <v>2</v>
      </c>
      <c r="BB149" s="38">
        <f>AN149</f>
        <v>1920</v>
      </c>
      <c r="BC149" s="38">
        <f>MIN(AV149-AB149,IF(AY149&gt;=BB150*4,
IF(AY149&gt;=BB150*4^2,
IF(AY149&gt;=BB150*4^3,
IF(AY149&gt;=BB150*4^4,
IF(AY149&gt;=BB150*4^5,
IF(AY149&gt;=BB150*4^6,
IF(AY149&gt;=BB150*4^7,
IF(AY149&gt;=BB150*4^8,
IF(AY149&gt;=BB150*4^9,
IF(AY149&gt;=BB150*4^10,
9),
8),
7),
6),
5),
4),
3),
2),
1),
0))</f>
        <v>1</v>
      </c>
      <c r="BD149" s="38">
        <f>BB149*AZ149*4^BC149</f>
        <v>7680</v>
      </c>
      <c r="BE149" s="38">
        <f>BD149*AW149</f>
        <v>15360</v>
      </c>
      <c r="BF149" s="45">
        <f>ROUNDUP(IF(R149="Yes",AP149/(2^((BC149)*2)),AP149/(2^(BC149))),0)</f>
        <v>42000</v>
      </c>
      <c r="BG149" s="45">
        <f>IF(ISNUMBER(Y149),ROUNDUP(BF149/Y149,0),
  SWITCH(
      Y149,
      "1+0.5C",ROUNDUP(BF149/(1+0.5*VLOOKUP(J151,'Machine Helper Sheet'!$G$1:$K$16,2,FALSE)),0),
      ROUNDUP(BF149/1,0)
  )
)</f>
        <v>42000</v>
      </c>
      <c r="BH149" s="45">
        <f>ROUNDUP(BG149/BA149,0)</f>
        <v>21000</v>
      </c>
      <c r="BI149" s="46">
        <f>BH149*BE149</f>
        <v>322560000</v>
      </c>
      <c r="BK149" s="22"/>
      <c r="BS149" s="140" t="s">
        <v>86</v>
      </c>
      <c r="BT149" s="140">
        <v>0.0</v>
      </c>
      <c r="BU149" s="6">
        <f>VLOOKUP(BS149,'Item List'!$A$2:$D$300,2,FALSE)</f>
        <v>1</v>
      </c>
      <c r="BV149" s="6">
        <f>VLOOKUP(BS149,'Item List'!$A$2:$D$300,3,FALSE)</f>
        <v>3</v>
      </c>
      <c r="BW149" s="6">
        <f>VLOOKUP(BS149,'Item List'!$A$2:$D$300,4,FALSE)</f>
        <v>2</v>
      </c>
    </row>
    <row r="150">
      <c r="B150" s="40"/>
      <c r="C150" s="41" t="s">
        <v>149</v>
      </c>
      <c r="D150" s="38">
        <f>2000*I151</f>
        <v>14000</v>
      </c>
      <c r="E150" s="38" t="s">
        <v>241</v>
      </c>
      <c r="F150" s="42">
        <f>2000*I151</f>
        <v>14000</v>
      </c>
      <c r="G150" s="43"/>
      <c r="H150" s="99" t="s">
        <v>584</v>
      </c>
      <c r="I150" s="45">
        <f t="array" ref="I150">match(TRUE,ISBLANK(F150:F161),0)-1</f>
        <v>4</v>
      </c>
      <c r="J150" s="100" t="s">
        <v>420</v>
      </c>
      <c r="K150" s="100" t="s">
        <v>585</v>
      </c>
      <c r="L150" s="100" t="s">
        <v>704</v>
      </c>
      <c r="M150" s="38"/>
      <c r="N150" s="38"/>
      <c r="O150" s="38"/>
      <c r="P150" s="38"/>
      <c r="Q150" s="38"/>
      <c r="R150" s="101"/>
      <c r="S150" s="101"/>
      <c r="T150" s="101"/>
      <c r="U150" s="45"/>
      <c r="V150" s="45"/>
      <c r="W150" s="45"/>
      <c r="X150" s="45"/>
      <c r="Y150" s="45"/>
      <c r="Z150" s="45"/>
      <c r="AA150" s="45"/>
      <c r="AB150" s="45"/>
      <c r="AC150" s="45"/>
      <c r="AD150" s="45"/>
      <c r="AE150" s="45"/>
      <c r="AF150" s="45"/>
      <c r="AG150" s="79"/>
      <c r="AH150" s="45"/>
      <c r="AI150" s="45"/>
      <c r="AJ150" s="45"/>
      <c r="AK150" s="45"/>
      <c r="AL150" s="45"/>
      <c r="AM150" s="45"/>
      <c r="AN150" s="45"/>
      <c r="AO150" s="45"/>
      <c r="AP150" s="45"/>
      <c r="AQ150" s="45"/>
      <c r="AR150" s="45"/>
      <c r="AS150" s="45"/>
      <c r="AT150" s="79"/>
      <c r="AU150" s="45"/>
      <c r="AV150" s="45"/>
      <c r="AW150" s="45"/>
      <c r="AX150" s="45"/>
      <c r="AY150" s="45"/>
      <c r="AZ150" s="45"/>
      <c r="BA150" s="45"/>
      <c r="BB150" s="45">
        <f>BB149*AZ149</f>
        <v>1920</v>
      </c>
      <c r="BC150" s="45"/>
      <c r="BD150" s="45"/>
      <c r="BE150" s="45"/>
      <c r="BF150" s="45"/>
      <c r="BG150" s="45"/>
      <c r="BH150" s="45"/>
      <c r="BI150" s="46"/>
      <c r="BK150" s="22"/>
      <c r="BS150" s="140" t="s">
        <v>87</v>
      </c>
      <c r="BT150" s="140">
        <v>-217000.0</v>
      </c>
      <c r="BU150" s="6">
        <f>VLOOKUP(BS150,'Item List'!$A$2:$D$300,2,FALSE)</f>
        <v>1</v>
      </c>
      <c r="BV150" s="6">
        <f>VLOOKUP(BS150,'Item List'!$A$2:$D$300,3,FALSE)</f>
        <v>4</v>
      </c>
      <c r="BW150" s="6">
        <f>VLOOKUP(BS150,'Item List'!$A$2:$D$300,4,FALSE)</f>
        <v>1</v>
      </c>
      <c r="CG150" s="98" t="s">
        <v>602</v>
      </c>
      <c r="CH150" s="98" t="s">
        <v>583</v>
      </c>
      <c r="CI150" s="98" t="s">
        <v>603</v>
      </c>
      <c r="CJ150" s="98" t="s">
        <v>604</v>
      </c>
    </row>
    <row r="151">
      <c r="B151" s="40"/>
      <c r="C151" s="41" t="s">
        <v>215</v>
      </c>
      <c r="D151" s="38">
        <f>3000*I151</f>
        <v>21000</v>
      </c>
      <c r="E151" s="38" t="s">
        <v>215</v>
      </c>
      <c r="F151" s="42">
        <f>2000*I151</f>
        <v>14000</v>
      </c>
      <c r="G151" s="43"/>
      <c r="H151" s="56" t="s">
        <v>502</v>
      </c>
      <c r="I151" s="49">
        <v>7.0</v>
      </c>
      <c r="J151" s="100" t="s">
        <v>424</v>
      </c>
      <c r="K151" s="100">
        <v>0.0</v>
      </c>
      <c r="L151" s="100">
        <v>0.0</v>
      </c>
      <c r="M151" s="45"/>
      <c r="N151" s="45"/>
      <c r="O151" s="45"/>
      <c r="P151" s="45"/>
      <c r="Q151" s="45"/>
      <c r="R151" s="45"/>
      <c r="S151" s="101"/>
      <c r="T151" s="101"/>
      <c r="U151" s="45"/>
      <c r="V151" s="45"/>
      <c r="W151" s="45"/>
      <c r="X151" s="45"/>
      <c r="Y151" s="45"/>
      <c r="Z151" s="45"/>
      <c r="AA151" s="45"/>
      <c r="AB151" s="45"/>
      <c r="AC151" s="45"/>
      <c r="AD151" s="45"/>
      <c r="AE151" s="45"/>
      <c r="AF151" s="45"/>
      <c r="AG151" s="79"/>
      <c r="AH151" s="45"/>
      <c r="AI151" s="45"/>
      <c r="AJ151" s="45"/>
      <c r="AK151" s="45"/>
      <c r="AL151" s="45"/>
      <c r="AM151" s="45"/>
      <c r="AN151" s="45"/>
      <c r="AO151" s="45"/>
      <c r="AP151" s="45"/>
      <c r="AQ151" s="45"/>
      <c r="AR151" s="45"/>
      <c r="AS151" s="45"/>
      <c r="AT151" s="79"/>
      <c r="AU151" s="45"/>
      <c r="AV151" s="45"/>
      <c r="AW151" s="45"/>
      <c r="AX151" s="45"/>
      <c r="AY151" s="45"/>
      <c r="AZ151" s="45"/>
      <c r="BA151" s="45"/>
      <c r="BB151" s="45"/>
      <c r="BC151" s="45"/>
      <c r="BD151" s="45"/>
      <c r="BE151" s="45"/>
      <c r="BF151" s="45"/>
      <c r="BG151" s="45"/>
      <c r="BH151" s="45"/>
      <c r="BI151" s="46"/>
      <c r="BK151" s="22"/>
      <c r="BS151" s="140" t="s">
        <v>90</v>
      </c>
      <c r="BT151" s="140">
        <v>0.0</v>
      </c>
      <c r="BU151" s="6">
        <f>VLOOKUP(BS151,'Item List'!$A$2:$D$300,2,FALSE)</f>
        <v>1</v>
      </c>
      <c r="BV151" s="6">
        <f>VLOOKUP(BS151,'Item List'!$A$2:$D$300,3,FALSE)</f>
        <v>3</v>
      </c>
      <c r="BW151" s="6">
        <f>VLOOKUP(BS151,'Item List'!$A$2:$D$300,4,FALSE)</f>
        <v>2</v>
      </c>
      <c r="BY151" s="6" t="s">
        <v>457</v>
      </c>
      <c r="BZ151" s="6" t="s">
        <v>607</v>
      </c>
      <c r="CA151" s="6" t="s">
        <v>545</v>
      </c>
      <c r="CC151" s="6" t="s">
        <v>457</v>
      </c>
      <c r="CD151" s="6" t="s">
        <v>620</v>
      </c>
      <c r="CE151" s="6" t="s">
        <v>546</v>
      </c>
      <c r="CG151" s="5" t="str">
        <f t="shared" ref="CG151:CH151" si="13">CG136</f>
        <v>LFTR Fuel 2</v>
      </c>
      <c r="CH151" s="5">
        <f t="shared" si="13"/>
        <v>28000</v>
      </c>
      <c r="CI151" s="4">
        <v>2621440.0</v>
      </c>
      <c r="CJ151" s="109">
        <v>1.0</v>
      </c>
    </row>
    <row r="152">
      <c r="B152" s="40"/>
      <c r="C152" s="41"/>
      <c r="D152" s="38"/>
      <c r="E152" s="38" t="s">
        <v>72</v>
      </c>
      <c r="F152" s="42">
        <f>1000*I151</f>
        <v>7000</v>
      </c>
      <c r="G152" s="43"/>
      <c r="H152" s="44"/>
      <c r="I152" s="45"/>
      <c r="J152" s="45"/>
      <c r="K152" s="45"/>
      <c r="L152" s="45"/>
      <c r="M152" s="45"/>
      <c r="N152" s="45"/>
      <c r="O152" s="45"/>
      <c r="P152" s="45"/>
      <c r="Q152" s="45"/>
      <c r="R152" s="45"/>
      <c r="S152" s="101"/>
      <c r="T152" s="101"/>
      <c r="U152" s="45"/>
      <c r="V152" s="45"/>
      <c r="W152" s="45"/>
      <c r="X152" s="45"/>
      <c r="Y152" s="45"/>
      <c r="Z152" s="45"/>
      <c r="AA152" s="45"/>
      <c r="AB152" s="45"/>
      <c r="AC152" s="45"/>
      <c r="AD152" s="45"/>
      <c r="AE152" s="45"/>
      <c r="AF152" s="45"/>
      <c r="AG152" s="79"/>
      <c r="AH152" s="45"/>
      <c r="AI152" s="45"/>
      <c r="AJ152" s="45"/>
      <c r="AK152" s="45"/>
      <c r="AL152" s="45"/>
      <c r="AM152" s="45"/>
      <c r="AN152" s="45"/>
      <c r="AO152" s="45"/>
      <c r="AP152" s="45"/>
      <c r="AQ152" s="45"/>
      <c r="AR152" s="45"/>
      <c r="AS152" s="45"/>
      <c r="AT152" s="79"/>
      <c r="AU152" s="45"/>
      <c r="AV152" s="45"/>
      <c r="AW152" s="45"/>
      <c r="AX152" s="45"/>
      <c r="AY152" s="45"/>
      <c r="AZ152" s="45"/>
      <c r="BA152" s="45"/>
      <c r="BB152" s="45"/>
      <c r="BC152" s="45"/>
      <c r="BD152" s="45"/>
      <c r="BE152" s="45"/>
      <c r="BF152" s="45"/>
      <c r="BG152" s="45"/>
      <c r="BH152" s="45"/>
      <c r="BI152" s="46"/>
      <c r="BK152" s="22"/>
      <c r="BS152" s="140" t="s">
        <v>91</v>
      </c>
      <c r="BT152" s="140">
        <v>1000.0</v>
      </c>
      <c r="BU152" s="6">
        <f>VLOOKUP(BS152,'Item List'!$A$2:$D$300,2,FALSE)</f>
        <v>1</v>
      </c>
      <c r="BV152" s="6">
        <f>VLOOKUP(BS152,'Item List'!$A$2:$D$300,3,FALSE)</f>
        <v>3</v>
      </c>
      <c r="BW152" s="6">
        <f>VLOOKUP(BS152,'Item List'!$A$2:$D$300,4,FALSE)</f>
        <v>2</v>
      </c>
      <c r="BY152" s="6" t="s">
        <v>730</v>
      </c>
      <c r="BZ152" s="6">
        <v>160000.0</v>
      </c>
      <c r="CA152" s="6">
        <v>100000.0</v>
      </c>
      <c r="CC152" s="6" t="s">
        <v>730</v>
      </c>
      <c r="CD152" s="6">
        <v>440000.0</v>
      </c>
      <c r="CE152" s="6">
        <v>100000.0</v>
      </c>
      <c r="CJ152" s="5"/>
    </row>
    <row r="153">
      <c r="B153" s="40"/>
      <c r="C153" s="41"/>
      <c r="D153" s="133"/>
      <c r="E153" s="38" t="s">
        <v>148</v>
      </c>
      <c r="F153" s="42">
        <f>4*I151</f>
        <v>28</v>
      </c>
      <c r="G153" s="43"/>
      <c r="H153" s="44"/>
      <c r="I153" s="45"/>
      <c r="J153" s="45"/>
      <c r="K153" s="45"/>
      <c r="L153" s="45"/>
      <c r="M153" s="45"/>
      <c r="N153" s="45"/>
      <c r="O153" s="45"/>
      <c r="P153" s="45"/>
      <c r="Q153" s="45"/>
      <c r="R153" s="45"/>
      <c r="S153" s="101"/>
      <c r="T153" s="101"/>
      <c r="U153" s="45"/>
      <c r="V153" s="45"/>
      <c r="W153" s="45"/>
      <c r="X153" s="45"/>
      <c r="Y153" s="45"/>
      <c r="Z153" s="45"/>
      <c r="AA153" s="45"/>
      <c r="AB153" s="45"/>
      <c r="AC153" s="45"/>
      <c r="AD153" s="45"/>
      <c r="AE153" s="45"/>
      <c r="AF153" s="45"/>
      <c r="AG153" s="79"/>
      <c r="AH153" s="45"/>
      <c r="AI153" s="45"/>
      <c r="AJ153" s="45"/>
      <c r="AK153" s="45"/>
      <c r="AL153" s="45"/>
      <c r="AM153" s="45"/>
      <c r="AN153" s="45"/>
      <c r="AO153" s="45"/>
      <c r="AP153" s="45"/>
      <c r="AQ153" s="45"/>
      <c r="AR153" s="45"/>
      <c r="AS153" s="45"/>
      <c r="AT153" s="79"/>
      <c r="AU153" s="45"/>
      <c r="AV153" s="45"/>
      <c r="AW153" s="45"/>
      <c r="AX153" s="45"/>
      <c r="AY153" s="45"/>
      <c r="AZ153" s="45"/>
      <c r="BA153" s="45"/>
      <c r="BB153" s="45"/>
      <c r="BC153" s="45"/>
      <c r="BD153" s="45"/>
      <c r="BE153" s="45"/>
      <c r="BF153" s="45"/>
      <c r="BG153" s="45"/>
      <c r="BH153" s="45"/>
      <c r="BI153" s="46"/>
      <c r="BK153" s="22"/>
      <c r="BS153" s="6" t="s">
        <v>101</v>
      </c>
      <c r="BT153" s="6">
        <v>0.0</v>
      </c>
      <c r="BU153" s="6">
        <f>VLOOKUP(BS153,'Item List'!$A$2:$D$300,2,FALSE)</f>
        <v>1</v>
      </c>
      <c r="BV153" s="6">
        <f>VLOOKUP(BS153,'Item List'!$A$2:$D$300,3,FALSE)</f>
        <v>3</v>
      </c>
      <c r="BW153" s="6">
        <f>VLOOKUP(BS153,'Item List'!$A$2:$D$300,4,FALSE)</f>
        <v>2</v>
      </c>
      <c r="BY153" s="6" t="s">
        <v>731</v>
      </c>
      <c r="BZ153" s="6">
        <v>160000.0</v>
      </c>
      <c r="CA153" s="6">
        <v>100000.0</v>
      </c>
      <c r="CC153" s="6" t="s">
        <v>731</v>
      </c>
      <c r="CD153" s="6">
        <v>1360000.0</v>
      </c>
      <c r="CE153" s="6">
        <v>100000.0</v>
      </c>
      <c r="CG153" s="98" t="s">
        <v>608</v>
      </c>
      <c r="CH153" s="98" t="s">
        <v>609</v>
      </c>
      <c r="CI153" s="98" t="s">
        <v>610</v>
      </c>
      <c r="CJ153" s="5"/>
    </row>
    <row r="154">
      <c r="B154" s="135"/>
      <c r="C154" s="136"/>
      <c r="D154" s="137"/>
      <c r="E154" s="137"/>
      <c r="F154" s="137"/>
      <c r="G154" s="138"/>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8"/>
      <c r="AH154" s="137"/>
      <c r="AI154" s="137"/>
      <c r="AJ154" s="137"/>
      <c r="AK154" s="137"/>
      <c r="AL154" s="137"/>
      <c r="AM154" s="137"/>
      <c r="AN154" s="137"/>
      <c r="AO154" s="137"/>
      <c r="AP154" s="137"/>
      <c r="AQ154" s="137"/>
      <c r="AR154" s="137"/>
      <c r="AS154" s="137"/>
      <c r="AT154" s="138"/>
      <c r="AU154" s="137"/>
      <c r="AV154" s="137"/>
      <c r="AW154" s="137"/>
      <c r="AX154" s="137"/>
      <c r="AY154" s="137"/>
      <c r="AZ154" s="137"/>
      <c r="BA154" s="137"/>
      <c r="BB154" s="137"/>
      <c r="BC154" s="137"/>
      <c r="BD154" s="137"/>
      <c r="BE154" s="137"/>
      <c r="BF154" s="137"/>
      <c r="BG154" s="137"/>
      <c r="BH154" s="137"/>
      <c r="BI154" s="139"/>
      <c r="BK154" s="22"/>
      <c r="BS154" s="6" t="s">
        <v>103</v>
      </c>
      <c r="BT154" s="140">
        <v>-600.0</v>
      </c>
      <c r="BU154" s="6">
        <f>VLOOKUP(BS154,'Item List'!$A$2:$D$300,2,FALSE)</f>
        <v>1</v>
      </c>
      <c r="BV154" s="6">
        <f>VLOOKUP(BS154,'Item List'!$A$2:$D$300,3,FALSE)</f>
        <v>3</v>
      </c>
      <c r="BW154" s="6">
        <f>VLOOKUP(BS154,'Item List'!$A$2:$D$300,4,FALSE)</f>
        <v>2</v>
      </c>
      <c r="BY154" s="140" t="s">
        <v>733</v>
      </c>
      <c r="BZ154" s="6">
        <v>1600.0</v>
      </c>
      <c r="CA154" s="140">
        <v>1000.0</v>
      </c>
      <c r="CC154" s="140" t="s">
        <v>733</v>
      </c>
      <c r="CD154" s="6">
        <v>160000.0</v>
      </c>
      <c r="CE154" s="140">
        <v>100000.0</v>
      </c>
      <c r="CG154" s="5">
        <f>CH151*CI151*CJ151</f>
        <v>73400320000</v>
      </c>
      <c r="CH154" s="5">
        <f>BO219</f>
        <v>4300800000</v>
      </c>
      <c r="CI154" s="110">
        <f>1-(CH154/CG154)</f>
        <v>0.94140625</v>
      </c>
      <c r="CJ154" s="5"/>
    </row>
    <row r="155">
      <c r="B155" s="141" t="s">
        <v>735</v>
      </c>
      <c r="C155" s="142"/>
      <c r="D155" s="143"/>
      <c r="E155" s="143"/>
      <c r="F155" s="144"/>
      <c r="G155" s="145"/>
      <c r="H155" s="146" t="s">
        <v>349</v>
      </c>
      <c r="I155" s="147">
        <f>VLOOKUP(H155,'Machine List'!$A$1:$I$300,9,FALSE)</f>
        <v>4000</v>
      </c>
      <c r="J155" s="147">
        <f>IF(VLOOKUP(H155,'Machine List'!$A$1:$I$300,5,FALSE)="Multi",IF(VLOOKUP(H155,'Machine List'!$A$1:$I$300,6,FALSE)="Yes",AI155*3*10^AB155,AI155*(2*3)*10^(AB155-1)),0)</f>
        <v>6</v>
      </c>
      <c r="K155" s="147">
        <f>J155+IF(ISNUMBER(I155),I155,
  SWITCH(
      I155,
      "1T",1*10^AB155,
      "2T",2*10^AB155,
      "3T",3*10^AB155,
      "4T",4*10^AB155,
      "4000+500(7O-5)",4000+500*(7*I156-5),
      "13500 + 16C",13500+16*VLOOKUP(J157,'Machine Helper Sheet'!$G$1:$K$16,5,FALSE),
      1
  )
)</f>
        <v>4006</v>
      </c>
      <c r="L155" s="147">
        <f>IF(VLOOKUP(H155,'Machine List'!$A$1:$I$300,5,FALSE)="Multi",IF(VLOOKUP(H155,'Machine List'!$A$1:$I$300,6,FALSE)="Yes",AW155*3*10^AV155,AW155*(2*3)*10^(AV155-1)),0)</f>
        <v>60000</v>
      </c>
      <c r="M155" s="147">
        <f>L155+IF(ISNUMBER(I155),I155,
  SWITCH(
      I155,
      "1T",1*10^AV155,
      "2T",2*10^AV155,
      "3T",3*10^AV155,
      "4T",4*10^AV155,
      "4000+500(7O-5)",4000+500*(7*I156-5),
      1
  )
)</f>
        <v>64000</v>
      </c>
      <c r="N155" s="147" t="str">
        <f>VLOOKUP(H155,'Machine List'!$A$1:$I$300,8,FALSE)</f>
        <v>Tier</v>
      </c>
      <c r="O155" s="147">
        <f>IF(ISNUMBER(N155),N155,10^AB155)</f>
        <v>10</v>
      </c>
      <c r="P155" s="147">
        <f>IF(ISNUMBER(N155),N155,10^AV155)</f>
        <v>100000</v>
      </c>
      <c r="Q155" s="147">
        <f>VLOOKUP(H155,'Machine List'!$A$1:$B$138,2,FALSE)</f>
        <v>1</v>
      </c>
      <c r="R155" s="147" t="s">
        <v>594</v>
      </c>
      <c r="S155" s="143">
        <f>IF(ISNUMBER(Q155),Q155,
  SWITCH(
      Q155,
      "1",1,
      "2T",AB155*2,
      "4T",AB155*4,
      "6T",AB155*6,
      "8T",AB155*8,
      "10T",AB155*10,
      "12T",AB155*12,
      "14T",AB155*14,
      "16T",AB155*16,
      "24T",AB155*24,
      "2(T+1)",2*(AB155+1),
      "1T*C",AB155*J157,
      "2*P",L157*2,
      1
  )
)</f>
        <v>1</v>
      </c>
      <c r="T155" s="38" t="s">
        <v>277</v>
      </c>
      <c r="U155" s="147">
        <f>IF(OR(T155="No",T155=""),S155,T155)</f>
        <v>1</v>
      </c>
      <c r="V155" s="147">
        <f>IF(ISNUMBER(Q155),Q155,
  SWITCH(
      Q155,
      "1",1,
      "2T",AV155*2,
      "4T",AV155*4,
      "6T",AV155*6,
      "8T",AV155*8,
      "10T",AV155*10,
      "12T",AV155*12,
      "14T",AV155*14,
      "16T",AV155*16,
      "24T",AV155*24,
      "2(T+1)",2*(AV155+1),
      "1T*C",AV155*J157,
      "2*P",L157*2,
      1
  )
)</f>
        <v>1</v>
      </c>
      <c r="W155" s="147" t="str">
        <f>T155</f>
        <v>No</v>
      </c>
      <c r="X155" s="147">
        <f>IF(OR(W155="No",W155=""),V155,W155)</f>
        <v>1</v>
      </c>
      <c r="Y155" s="38">
        <f>VLOOKUP(H155,'Machine List'!$A$1:$C$138,3,FALSE)</f>
        <v>1</v>
      </c>
      <c r="Z155" s="38">
        <f>VLOOKUP(H155,'Machine List'!$A$1:$D$138,4,FALSE)</f>
        <v>1</v>
      </c>
      <c r="AA155" s="147" t="s">
        <v>390</v>
      </c>
      <c r="AB155" s="147">
        <f>VLOOKUP(AA155,'Item Helper Sheet'!$A$2:$B$16,2,FALSE)</f>
        <v>1</v>
      </c>
      <c r="AC155" s="147">
        <v>30.0</v>
      </c>
      <c r="AD155" s="147">
        <f>10*20</f>
        <v>200</v>
      </c>
      <c r="AE155" s="147">
        <f>AD155*I157</f>
        <v>9000</v>
      </c>
      <c r="AF155" s="147">
        <f>AC155*AE155</f>
        <v>270000</v>
      </c>
      <c r="AG155" s="148"/>
      <c r="AH155" s="147" t="str">
        <f>AA155</f>
        <v>01 - LV</v>
      </c>
      <c r="AI155" s="147">
        <v>1.0</v>
      </c>
      <c r="AJ155" s="147">
        <v>1.0</v>
      </c>
      <c r="AK155" s="147">
        <f>AJ155*8*4^AB155</f>
        <v>32</v>
      </c>
      <c r="AL155" s="147">
        <f>MIN(ROUNDDOWN(AK155/AN155,0),U155)</f>
        <v>1</v>
      </c>
      <c r="AM155" s="147">
        <f>IF(OR(T155="No",T155=""),AI155*S155,AI155*T155)</f>
        <v>1</v>
      </c>
      <c r="AN155" s="147">
        <f>ROUNDUP(AC155*VLOOKUP(H155,'Machine List'!$A$2:$D$219,4,FALSE),0)</f>
        <v>30</v>
      </c>
      <c r="AO155" s="147">
        <f>AN155*AM155</f>
        <v>30</v>
      </c>
      <c r="AP155" s="147">
        <f>ROUNDUP(AD155*I157,0)</f>
        <v>9000</v>
      </c>
      <c r="AQ155" s="38">
        <f>IF(ISNUMBER(Y155),ROUNDUP(AP155/Y155,0),
  SWITCH(
      Y155,
      "1+0.5C",ROUNDUP(AP155/(1+0.5*VLOOKUP(J157,'Machine Helper Sheet'!$G$1:$K$16,2,FALSE)),0),
      ROUNDUP(AP155/1,0)
  )
)</f>
        <v>9000</v>
      </c>
      <c r="AR155" s="147">
        <f>ROUNDUP(AQ155/AM155,0)</f>
        <v>9000</v>
      </c>
      <c r="AS155" s="147">
        <f>AO155*AR155</f>
        <v>270000</v>
      </c>
      <c r="AT155" s="148"/>
      <c r="AU155" s="147" t="s">
        <v>405</v>
      </c>
      <c r="AV155" s="147">
        <f>VLOOKUP(AU155,'Item Helper Sheet'!$A$2:$B$16,2,FALSE)</f>
        <v>5</v>
      </c>
      <c r="AW155" s="147">
        <f>AI155</f>
        <v>1</v>
      </c>
      <c r="AX155" s="147">
        <v>1.0</v>
      </c>
      <c r="AY155" s="147">
        <f>AX155*8*4^AV155</f>
        <v>8192</v>
      </c>
      <c r="AZ155" s="147">
        <f>MIN(ROUNDDOWN(AY155/AN155,0),X155)</f>
        <v>1</v>
      </c>
      <c r="BA155" s="147">
        <f>AZ155*AW155</f>
        <v>1</v>
      </c>
      <c r="BB155" s="147">
        <f>AN155</f>
        <v>30</v>
      </c>
      <c r="BC155" s="147">
        <f>MIN(AV155-AB155,IF(AY155&gt;=BB156*4,
IF(AY155&gt;=BB156*4^2,
IF(AY155&gt;=BB156*4^3,
IF(AY155&gt;=BB156*4^4,
IF(AY155&gt;=BB156*4^5,
IF(AY155&gt;=BB156*4^6,
IF(AY155&gt;=BB156*4^7,
IF(AY155&gt;=BB156*4^8,
IF(AY155&gt;=BB156*4^9,
IF(AY155&gt;=BB156*4^10,
9),
8),
7),
6),
5),
4),
3),
2),
1),
0))</f>
        <v>4</v>
      </c>
      <c r="BD155" s="147">
        <f>BB155*AZ155*4^BC155</f>
        <v>7680</v>
      </c>
      <c r="BE155" s="147">
        <f>BD155*AW155</f>
        <v>7680</v>
      </c>
      <c r="BF155" s="143">
        <f>ROUNDUP(IF(R155="Yes",AP155/(2^((BC155)*2)),AP155/(2^(BC155))),0)</f>
        <v>36</v>
      </c>
      <c r="BG155" s="45">
        <f>IF(ISNUMBER(Y155),ROUNDUP(BF155/Y155,0),
  SWITCH(
      Y155,
      "1+0.5C",ROUNDUP(BF155/(1+0.5*VLOOKUP(J157,'Machine Helper Sheet'!$G$1:$K$16,2,FALSE)),0),
      ROUNDUP(BF155/1,0)
  )
)</f>
        <v>36</v>
      </c>
      <c r="BH155" s="143">
        <f>ROUNDUP(BG155/BA155,0)</f>
        <v>36</v>
      </c>
      <c r="BI155" s="149">
        <f>BH155*BE155</f>
        <v>276480</v>
      </c>
      <c r="BK155" s="22"/>
      <c r="BS155" s="140" t="s">
        <v>736</v>
      </c>
      <c r="BT155" s="140">
        <v>-384.0</v>
      </c>
      <c r="BU155" s="6" t="str">
        <f>VLOOKUP(BS155,'Item List'!$A$2:$D$300,2,FALSE)</f>
        <v>#N/A</v>
      </c>
      <c r="BV155" s="6" t="str">
        <f>VLOOKUP(BS155,'Item List'!$A$2:$D$300,3,FALSE)</f>
        <v>#N/A</v>
      </c>
      <c r="BW155" s="6" t="str">
        <f>VLOOKUP(BS155,'Item List'!$A$2:$D$300,4,FALSE)</f>
        <v>#N/A</v>
      </c>
      <c r="BY155" s="6" t="s">
        <v>734</v>
      </c>
      <c r="BZ155" s="6">
        <v>16000.0</v>
      </c>
      <c r="CA155" s="6">
        <v>10000.0</v>
      </c>
      <c r="CC155" s="6" t="s">
        <v>734</v>
      </c>
      <c r="CD155" s="6">
        <v>440000.0</v>
      </c>
      <c r="CE155" s="6">
        <v>100000.0</v>
      </c>
      <c r="CJ155" s="5"/>
    </row>
    <row r="156">
      <c r="B156" s="150"/>
      <c r="C156" s="151" t="s">
        <v>647</v>
      </c>
      <c r="D156" s="147">
        <f>1*I157</f>
        <v>45</v>
      </c>
      <c r="E156" s="147" t="s">
        <v>737</v>
      </c>
      <c r="F156" s="152">
        <f>3*I157</f>
        <v>135</v>
      </c>
      <c r="G156" s="138"/>
      <c r="H156" s="153" t="s">
        <v>584</v>
      </c>
      <c r="I156" s="143">
        <f t="array" ref="I156">match(TRUE,ISBLANK(F156:F212),0)-1</f>
        <v>2</v>
      </c>
      <c r="J156" s="154" t="s">
        <v>420</v>
      </c>
      <c r="K156" s="154" t="s">
        <v>585</v>
      </c>
      <c r="L156" s="100" t="s">
        <v>704</v>
      </c>
      <c r="M156" s="147"/>
      <c r="N156" s="147"/>
      <c r="O156" s="147"/>
      <c r="P156" s="147"/>
      <c r="Q156" s="147"/>
      <c r="R156" s="155"/>
      <c r="S156" s="155"/>
      <c r="T156" s="155"/>
      <c r="U156" s="143"/>
      <c r="V156" s="143"/>
      <c r="W156" s="143"/>
      <c r="X156" s="143"/>
      <c r="Y156" s="143"/>
      <c r="Z156" s="143"/>
      <c r="AA156" s="143"/>
      <c r="AB156" s="143"/>
      <c r="AC156" s="143"/>
      <c r="AD156" s="143"/>
      <c r="AE156" s="143"/>
      <c r="AF156" s="143"/>
      <c r="AG156" s="156"/>
      <c r="AH156" s="143"/>
      <c r="AI156" s="143"/>
      <c r="AJ156" s="143"/>
      <c r="AK156" s="143"/>
      <c r="AL156" s="143"/>
      <c r="AM156" s="143"/>
      <c r="AN156" s="143"/>
      <c r="AO156" s="143"/>
      <c r="AP156" s="143"/>
      <c r="AQ156" s="143"/>
      <c r="AR156" s="143"/>
      <c r="AS156" s="143"/>
      <c r="AT156" s="156"/>
      <c r="AU156" s="143"/>
      <c r="AV156" s="143"/>
      <c r="AW156" s="143"/>
      <c r="AX156" s="143"/>
      <c r="AY156" s="143"/>
      <c r="AZ156" s="143"/>
      <c r="BA156" s="143"/>
      <c r="BB156" s="143">
        <f>BB155*AZ155</f>
        <v>30</v>
      </c>
      <c r="BC156" s="143"/>
      <c r="BD156" s="143"/>
      <c r="BE156" s="143"/>
      <c r="BF156" s="143"/>
      <c r="BG156" s="143"/>
      <c r="BH156" s="143"/>
      <c r="BI156" s="149"/>
      <c r="BK156" s="22"/>
      <c r="BS156" s="140" t="s">
        <v>108</v>
      </c>
      <c r="BT156" s="140">
        <v>1.0</v>
      </c>
      <c r="BU156" s="6">
        <f>VLOOKUP(BS156,'Item List'!$A$2:$D$300,2,FALSE)</f>
        <v>1</v>
      </c>
      <c r="BV156" s="6">
        <f>VLOOKUP(BS156,'Item List'!$A$2:$D$300,3,FALSE)</f>
        <v>3</v>
      </c>
      <c r="BW156" s="6">
        <f>VLOOKUP(BS156,'Item List'!$A$2:$D$300,4,FALSE)</f>
        <v>2</v>
      </c>
      <c r="BY156" s="140" t="s">
        <v>735</v>
      </c>
      <c r="BZ156" s="6">
        <v>4006.0</v>
      </c>
      <c r="CA156" s="140">
        <v>10.0</v>
      </c>
      <c r="CC156" s="140" t="s">
        <v>735</v>
      </c>
      <c r="CD156" s="6">
        <v>64000.0</v>
      </c>
      <c r="CE156" s="140">
        <v>100000.0</v>
      </c>
      <c r="CG156" s="98" t="s">
        <v>612</v>
      </c>
      <c r="CH156" s="98" t="s">
        <v>613</v>
      </c>
      <c r="CI156" s="98" t="s">
        <v>614</v>
      </c>
    </row>
    <row r="157">
      <c r="B157" s="150"/>
      <c r="C157" s="151" t="s">
        <v>248</v>
      </c>
      <c r="D157" s="147">
        <f>1000*I157</f>
        <v>45000</v>
      </c>
      <c r="E157" s="147" t="s">
        <v>87</v>
      </c>
      <c r="F157" s="152">
        <f>1000*I157</f>
        <v>45000</v>
      </c>
      <c r="G157" s="138"/>
      <c r="H157" s="157" t="s">
        <v>502</v>
      </c>
      <c r="I157" s="158">
        <v>45.0</v>
      </c>
      <c r="J157" s="154" t="s">
        <v>424</v>
      </c>
      <c r="K157" s="154">
        <v>0.0</v>
      </c>
      <c r="L157" s="100">
        <v>0.0</v>
      </c>
      <c r="M157" s="143"/>
      <c r="N157" s="143"/>
      <c r="O157" s="143"/>
      <c r="P157" s="143"/>
      <c r="Q157" s="143"/>
      <c r="R157" s="143"/>
      <c r="S157" s="155"/>
      <c r="T157" s="155"/>
      <c r="U157" s="143"/>
      <c r="V157" s="143"/>
      <c r="W157" s="143"/>
      <c r="X157" s="143"/>
      <c r="Y157" s="143"/>
      <c r="Z157" s="143"/>
      <c r="AA157" s="143"/>
      <c r="AB157" s="143"/>
      <c r="AC157" s="143"/>
      <c r="AD157" s="143"/>
      <c r="AE157" s="143"/>
      <c r="AF157" s="143"/>
      <c r="AG157" s="156"/>
      <c r="AH157" s="143"/>
      <c r="AI157" s="143"/>
      <c r="AJ157" s="143"/>
      <c r="AK157" s="143"/>
      <c r="AL157" s="143"/>
      <c r="AM157" s="143"/>
      <c r="AN157" s="143"/>
      <c r="AO157" s="143"/>
      <c r="AP157" s="143"/>
      <c r="AQ157" s="143"/>
      <c r="AR157" s="143"/>
      <c r="AS157" s="143"/>
      <c r="AT157" s="156"/>
      <c r="AU157" s="143"/>
      <c r="AV157" s="143"/>
      <c r="AW157" s="143"/>
      <c r="AX157" s="143"/>
      <c r="AY157" s="143"/>
      <c r="AZ157" s="143"/>
      <c r="BA157" s="143"/>
      <c r="BB157" s="143"/>
      <c r="BC157" s="143"/>
      <c r="BD157" s="143"/>
      <c r="BE157" s="143"/>
      <c r="BF157" s="143"/>
      <c r="BG157" s="143"/>
      <c r="BH157" s="143"/>
      <c r="BI157" s="149"/>
      <c r="BK157" s="22"/>
      <c r="BS157" s="140" t="s">
        <v>109</v>
      </c>
      <c r="BT157" s="140">
        <v>-72.0</v>
      </c>
      <c r="BU157" s="6">
        <f>VLOOKUP(BS157,'Item List'!$A$2:$D$300,2,FALSE)</f>
        <v>1</v>
      </c>
      <c r="BV157" s="6">
        <f>VLOOKUP(BS157,'Item List'!$A$2:$D$300,3,FALSE)</f>
        <v>3</v>
      </c>
      <c r="BW157" s="6">
        <f>VLOOKUP(BS157,'Item List'!$A$2:$D$300,4,FALSE)</f>
        <v>2</v>
      </c>
      <c r="BY157" s="140" t="s">
        <v>738</v>
      </c>
      <c r="BZ157" s="6">
        <v>4006.0</v>
      </c>
      <c r="CA157" s="140">
        <v>10.0</v>
      </c>
      <c r="CC157" s="140" t="s">
        <v>738</v>
      </c>
      <c r="CD157" s="6">
        <v>64000.0</v>
      </c>
      <c r="CE157" s="140">
        <v>100000.0</v>
      </c>
      <c r="CG157" s="5">
        <f>CG154-CH154</f>
        <v>69099520000</v>
      </c>
      <c r="CH157" s="5">
        <f>BR224</f>
        <v>140000</v>
      </c>
      <c r="CI157" s="5">
        <f>CG157/CH157</f>
        <v>493568</v>
      </c>
    </row>
    <row r="158">
      <c r="B158" s="135"/>
      <c r="C158" s="136"/>
      <c r="D158" s="137"/>
      <c r="E158" s="137"/>
      <c r="F158" s="137"/>
      <c r="G158" s="138"/>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8"/>
      <c r="AH158" s="137"/>
      <c r="AI158" s="137"/>
      <c r="AJ158" s="137"/>
      <c r="AK158" s="137"/>
      <c r="AL158" s="137"/>
      <c r="AM158" s="137"/>
      <c r="AN158" s="137"/>
      <c r="AO158" s="137"/>
      <c r="AP158" s="137"/>
      <c r="AQ158" s="137"/>
      <c r="AR158" s="137"/>
      <c r="AS158" s="137"/>
      <c r="AT158" s="138"/>
      <c r="AU158" s="137"/>
      <c r="AV158" s="137"/>
      <c r="AW158" s="137"/>
      <c r="AX158" s="137"/>
      <c r="AY158" s="137"/>
      <c r="AZ158" s="137"/>
      <c r="BA158" s="137"/>
      <c r="BB158" s="137"/>
      <c r="BC158" s="137"/>
      <c r="BD158" s="137"/>
      <c r="BE158" s="137"/>
      <c r="BF158" s="137"/>
      <c r="BG158" s="137"/>
      <c r="BH158" s="137"/>
      <c r="BI158" s="139"/>
      <c r="BK158" s="22"/>
      <c r="BS158" s="140" t="s">
        <v>110</v>
      </c>
      <c r="BT158" s="140">
        <v>0.0</v>
      </c>
      <c r="BU158" s="6">
        <f>VLOOKUP(BS158,'Item List'!$A$2:$D$300,2,FALSE)</f>
        <v>1</v>
      </c>
      <c r="BV158" s="6">
        <f>VLOOKUP(BS158,'Item List'!$A$2:$D$300,3,FALSE)</f>
        <v>3</v>
      </c>
      <c r="BW158" s="6">
        <f>VLOOKUP(BS158,'Item List'!$A$2:$D$300,4,FALSE)</f>
        <v>2</v>
      </c>
      <c r="BY158" s="140" t="s">
        <v>739</v>
      </c>
      <c r="BZ158" s="102">
        <v>1000.0</v>
      </c>
      <c r="CA158" s="140">
        <v>1000.0</v>
      </c>
      <c r="CC158" s="140" t="s">
        <v>739</v>
      </c>
      <c r="CD158" s="102">
        <v>100000.0</v>
      </c>
      <c r="CE158" s="140">
        <v>100000.0</v>
      </c>
    </row>
    <row r="159">
      <c r="B159" s="141" t="s">
        <v>738</v>
      </c>
      <c r="C159" s="142"/>
      <c r="D159" s="143"/>
      <c r="E159" s="143"/>
      <c r="F159" s="144"/>
      <c r="G159" s="145"/>
      <c r="H159" s="146" t="s">
        <v>349</v>
      </c>
      <c r="I159" s="147">
        <f>VLOOKUP(H159,'Machine List'!$A$1:$I$300,9,FALSE)</f>
        <v>4000</v>
      </c>
      <c r="J159" s="147">
        <f>IF(VLOOKUP(H159,'Machine List'!$A$1:$I$300,5,FALSE)="Multi",IF(VLOOKUP(H159,'Machine List'!$A$1:$I$300,6,FALSE)="Yes",AI159*3*10^AB159,AI159*(2*3)*10^(AB159-1)),0)</f>
        <v>6</v>
      </c>
      <c r="K159" s="147">
        <f>J159+IF(ISNUMBER(I159),I159,
  SWITCH(
      I159,
      "1T",1*10^AB159,
      "2T",2*10^AB159,
      "3T",3*10^AB159,
      "4T",4*10^AB159,
      "4000+500(7O-5)",4000+500*(7*I160-5),
      "13500 + 16C",13500+16*VLOOKUP(J161,'Machine Helper Sheet'!$G$1:$K$16,5,FALSE),
      1
  )
)</f>
        <v>4006</v>
      </c>
      <c r="L159" s="147">
        <f>IF(VLOOKUP(H159,'Machine List'!$A$1:$I$300,5,FALSE)="Multi",IF(VLOOKUP(H159,'Machine List'!$A$1:$I$300,6,FALSE)="Yes",AW159*3*10^AV159,AW159*(2*3)*10^(AV159-1)),0)</f>
        <v>60000</v>
      </c>
      <c r="M159" s="147">
        <f>L159+IF(ISNUMBER(I159),I159,
  SWITCH(
      I159,
      "1T",1*10^AV159,
      "2T",2*10^AV159,
      "3T",3*10^AV159,
      "4T",4*10^AV159,
      "4000+500(7O-5)",4000+500*(7*I160-5),
      1
  )
)</f>
        <v>64000</v>
      </c>
      <c r="N159" s="147" t="str">
        <f>VLOOKUP(H159,'Machine List'!$A$1:$I$300,8,FALSE)</f>
        <v>Tier</v>
      </c>
      <c r="O159" s="147">
        <f>IF(ISNUMBER(N159),N159,10^AB159)</f>
        <v>10</v>
      </c>
      <c r="P159" s="147">
        <f>IF(ISNUMBER(N159),N159,10^AV159)</f>
        <v>100000</v>
      </c>
      <c r="Q159" s="147">
        <f>VLOOKUP(H159,'Machine List'!$A$1:$B$138,2,FALSE)</f>
        <v>1</v>
      </c>
      <c r="R159" s="147" t="s">
        <v>594</v>
      </c>
      <c r="S159" s="143">
        <f>IF(ISNUMBER(Q159),Q159,
  SWITCH(
      Q159,
      "1",1,
      "2T",AB159*2,
      "4T",AB159*4,
      "6T",AB159*6,
      "8T",AB159*8,
      "10T",AB159*10,
      "12T",AB159*12,
      "14T",AB159*14,
      "16T",AB159*16,
      "24T",AB159*24,
      "2(T+1)",2*(AB159+1),
      "1T*C",AB159*J161,
      "2*P",L161*2,
      1
  )
)</f>
        <v>1</v>
      </c>
      <c r="T159" s="38" t="s">
        <v>277</v>
      </c>
      <c r="U159" s="147">
        <f>IF(OR(T159="No",T159=""),S159,T159)</f>
        <v>1</v>
      </c>
      <c r="V159" s="147">
        <f>IF(ISNUMBER(Q159),Q159,
  SWITCH(
      Q159,
      "1",1,
      "2T",AV159*2,
      "4T",AV159*4,
      "6T",AV159*6,
      "8T",AV159*8,
      "10T",AV159*10,
      "12T",AV159*12,
      "14T",AV159*14,
      "16T",AV159*16,
      "24T",AV159*24,
      "2(T+1)",2*(AV159+1),
      "1T*C",AV159*J161,
      "2*P",L161*2,
      1
  )
)</f>
        <v>1</v>
      </c>
      <c r="W159" s="147" t="str">
        <f>T159</f>
        <v>No</v>
      </c>
      <c r="X159" s="147">
        <f>IF(OR(W159="No",W159=""),V159,W159)</f>
        <v>1</v>
      </c>
      <c r="Y159" s="38">
        <f>VLOOKUP(H159,'Machine List'!$A$1:$C$138,3,FALSE)</f>
        <v>1</v>
      </c>
      <c r="Z159" s="38">
        <f>VLOOKUP(H159,'Machine List'!$A$1:$D$138,4,FALSE)</f>
        <v>1</v>
      </c>
      <c r="AA159" s="147" t="s">
        <v>390</v>
      </c>
      <c r="AB159" s="147">
        <f>VLOOKUP(AA159,'Item Helper Sheet'!$A$2:$B$16,2,FALSE)</f>
        <v>1</v>
      </c>
      <c r="AC159" s="147">
        <v>30.0</v>
      </c>
      <c r="AD159" s="147">
        <f>60*20</f>
        <v>1200</v>
      </c>
      <c r="AE159" s="147">
        <f>AD159*I161</f>
        <v>54000</v>
      </c>
      <c r="AF159" s="147">
        <f>AC159*AE159</f>
        <v>1620000</v>
      </c>
      <c r="AG159" s="148"/>
      <c r="AH159" s="147" t="str">
        <f>AA159</f>
        <v>01 - LV</v>
      </c>
      <c r="AI159" s="147">
        <v>1.0</v>
      </c>
      <c r="AJ159" s="147">
        <v>1.0</v>
      </c>
      <c r="AK159" s="147">
        <f>AJ159*8*4^AB159</f>
        <v>32</v>
      </c>
      <c r="AL159" s="147">
        <f>MIN(ROUNDDOWN(AK159/AN159,0),U159)</f>
        <v>1</v>
      </c>
      <c r="AM159" s="147">
        <f>IF(OR(T159="No",T159=""),AI159*S159,AI159*T159)</f>
        <v>1</v>
      </c>
      <c r="AN159" s="147">
        <f>ROUNDUP(AC159*VLOOKUP(H159,'Machine List'!$A$2:$D$219,4,FALSE),0)</f>
        <v>30</v>
      </c>
      <c r="AO159" s="147">
        <f>AN159*AM159</f>
        <v>30</v>
      </c>
      <c r="AP159" s="147">
        <f>ROUNDUP(AD159*I161,0)</f>
        <v>54000</v>
      </c>
      <c r="AQ159" s="38">
        <f>IF(ISNUMBER(Y159),ROUNDUP(AP159/Y159,0),
  SWITCH(
      Y159,
      "1+0.5C",ROUNDUP(AP159/(1+0.5*VLOOKUP(J161,'Machine Helper Sheet'!$G$1:$K$16,2,FALSE)),0),
      ROUNDUP(AP159/1,0)
  )
)</f>
        <v>54000</v>
      </c>
      <c r="AR159" s="147">
        <f>ROUNDUP(AQ159/AM159,0)</f>
        <v>54000</v>
      </c>
      <c r="AS159" s="147">
        <f>AO159*AR159</f>
        <v>1620000</v>
      </c>
      <c r="AT159" s="148"/>
      <c r="AU159" s="147" t="s">
        <v>405</v>
      </c>
      <c r="AV159" s="147">
        <f>VLOOKUP(AU159,'Item Helper Sheet'!$A$2:$B$16,2,FALSE)</f>
        <v>5</v>
      </c>
      <c r="AW159" s="147">
        <f>AI159</f>
        <v>1</v>
      </c>
      <c r="AX159" s="147">
        <v>1.0</v>
      </c>
      <c r="AY159" s="147">
        <f>AX159*8*4^AV159</f>
        <v>8192</v>
      </c>
      <c r="AZ159" s="147">
        <f>MIN(ROUNDDOWN(AY159/AN159,0),X159)</f>
        <v>1</v>
      </c>
      <c r="BA159" s="147">
        <f>AZ159*AW159</f>
        <v>1</v>
      </c>
      <c r="BB159" s="147">
        <f>AN159</f>
        <v>30</v>
      </c>
      <c r="BC159" s="147">
        <f>MIN(AV159-AB159,IF(AY159&gt;=BB160*4,
IF(AY159&gt;=BB160*4^2,
IF(AY159&gt;=BB160*4^3,
IF(AY159&gt;=BB160*4^4,
IF(AY159&gt;=BB160*4^5,
IF(AY159&gt;=BB160*4^6,
IF(AY159&gt;=BB160*4^7,
IF(AY159&gt;=BB160*4^8,
IF(AY159&gt;=BB160*4^9,
IF(AY159&gt;=BB160*4^10,
9),
8),
7),
6),
5),
4),
3),
2),
1),
0))</f>
        <v>4</v>
      </c>
      <c r="BD159" s="147">
        <f>BB159*AZ159*4^BC159</f>
        <v>7680</v>
      </c>
      <c r="BE159" s="147">
        <f>BD159*AW159</f>
        <v>7680</v>
      </c>
      <c r="BF159" s="143">
        <f>ROUNDUP(IF(R159="Yes",AP159/(2^((BC159)*2)),AP159/(2^(BC159))),0)</f>
        <v>211</v>
      </c>
      <c r="BG159" s="45">
        <f>IF(ISNUMBER(Y159),ROUNDUP(BF159/Y159,0),
  SWITCH(
      Y159,
      "1+0.5C",ROUNDUP(BF159/(1+0.5*VLOOKUP(J161,'Machine Helper Sheet'!$G$1:$K$16,2,FALSE)),0),
      ROUNDUP(BF159/1,0)
  )
)</f>
        <v>211</v>
      </c>
      <c r="BH159" s="143">
        <f>ROUNDUP(BG159/BA159,0)</f>
        <v>211</v>
      </c>
      <c r="BI159" s="149">
        <f>BH159*BE159</f>
        <v>1620480</v>
      </c>
      <c r="BK159" s="22"/>
      <c r="BS159" s="140" t="s">
        <v>111</v>
      </c>
      <c r="BT159" s="140">
        <v>-1296.0</v>
      </c>
      <c r="BU159" s="6">
        <f>VLOOKUP(BS159,'Item List'!$A$2:$D$300,2,FALSE)</f>
        <v>1</v>
      </c>
      <c r="BV159" s="6">
        <f>VLOOKUP(BS159,'Item List'!$A$2:$D$300,3,FALSE)</f>
        <v>3</v>
      </c>
      <c r="BW159" s="6">
        <f>VLOOKUP(BS159,'Item List'!$A$2:$D$300,4,FALSE)</f>
        <v>2</v>
      </c>
      <c r="BY159" s="140" t="s">
        <v>740</v>
      </c>
      <c r="BZ159" s="6">
        <v>160000.0</v>
      </c>
      <c r="CA159" s="140">
        <v>100000.0</v>
      </c>
      <c r="CC159" s="140" t="s">
        <v>740</v>
      </c>
      <c r="CD159" s="6">
        <v>160000.0</v>
      </c>
      <c r="CE159" s="140">
        <v>100000.0</v>
      </c>
    </row>
    <row r="160">
      <c r="B160" s="150"/>
      <c r="C160" s="151" t="s">
        <v>737</v>
      </c>
      <c r="D160" s="147">
        <f>3*I161</f>
        <v>135</v>
      </c>
      <c r="E160" s="147" t="s">
        <v>214</v>
      </c>
      <c r="F160" s="152">
        <f>2*I161</f>
        <v>90</v>
      </c>
      <c r="G160" s="138"/>
      <c r="H160" s="153" t="s">
        <v>584</v>
      </c>
      <c r="I160" s="143">
        <f t="array" ref="I160">match(TRUE,ISBLANK(F160:F216),0)-1</f>
        <v>2</v>
      </c>
      <c r="J160" s="154" t="s">
        <v>420</v>
      </c>
      <c r="K160" s="154" t="s">
        <v>585</v>
      </c>
      <c r="L160" s="100" t="s">
        <v>704</v>
      </c>
      <c r="M160" s="147"/>
      <c r="N160" s="147"/>
      <c r="O160" s="147"/>
      <c r="P160" s="147"/>
      <c r="Q160" s="147"/>
      <c r="R160" s="155"/>
      <c r="S160" s="155"/>
      <c r="T160" s="155"/>
      <c r="U160" s="143"/>
      <c r="V160" s="143"/>
      <c r="W160" s="143"/>
      <c r="X160" s="143"/>
      <c r="Y160" s="143"/>
      <c r="Z160" s="143"/>
      <c r="AA160" s="143"/>
      <c r="AB160" s="143"/>
      <c r="AC160" s="143"/>
      <c r="AD160" s="143"/>
      <c r="AE160" s="143"/>
      <c r="AF160" s="143"/>
      <c r="AG160" s="156"/>
      <c r="AH160" s="143"/>
      <c r="AI160" s="143"/>
      <c r="AJ160" s="143"/>
      <c r="AK160" s="143"/>
      <c r="AL160" s="143"/>
      <c r="AM160" s="143"/>
      <c r="AN160" s="143"/>
      <c r="AO160" s="143"/>
      <c r="AP160" s="143"/>
      <c r="AQ160" s="143"/>
      <c r="AR160" s="143"/>
      <c r="AS160" s="143"/>
      <c r="AT160" s="156"/>
      <c r="AU160" s="143"/>
      <c r="AV160" s="143"/>
      <c r="AW160" s="143"/>
      <c r="AX160" s="143"/>
      <c r="AY160" s="143"/>
      <c r="AZ160" s="143"/>
      <c r="BA160" s="143"/>
      <c r="BB160" s="143">
        <f>BB159*AZ159</f>
        <v>30</v>
      </c>
      <c r="BC160" s="143"/>
      <c r="BD160" s="143"/>
      <c r="BE160" s="143"/>
      <c r="BF160" s="143"/>
      <c r="BG160" s="143"/>
      <c r="BH160" s="143"/>
      <c r="BI160" s="149"/>
      <c r="BK160" s="22"/>
      <c r="BS160" s="140" t="s">
        <v>112</v>
      </c>
      <c r="BT160" s="140">
        <v>3.0</v>
      </c>
      <c r="BU160" s="6">
        <f>VLOOKUP(BS160,'Item List'!$A$2:$D$300,2,FALSE)</f>
        <v>1</v>
      </c>
      <c r="BV160" s="6">
        <f>VLOOKUP(BS160,'Item List'!$A$2:$D$300,3,FALSE)</f>
        <v>3</v>
      </c>
      <c r="BW160" s="6">
        <f>VLOOKUP(BS160,'Item List'!$A$2:$D$300,4,FALSE)</f>
        <v>2</v>
      </c>
      <c r="BY160" s="6" t="s">
        <v>741</v>
      </c>
      <c r="BZ160" s="6">
        <v>1600.0</v>
      </c>
      <c r="CA160" s="6">
        <v>1000.0</v>
      </c>
      <c r="CC160" s="6" t="s">
        <v>741</v>
      </c>
      <c r="CD160" s="6">
        <v>440000.0</v>
      </c>
      <c r="CE160" s="6">
        <v>100000.0</v>
      </c>
    </row>
    <row r="161">
      <c r="B161" s="150"/>
      <c r="C161" s="151" t="s">
        <v>91</v>
      </c>
      <c r="D161" s="147">
        <f>500*I161</f>
        <v>22500</v>
      </c>
      <c r="E161" s="147" t="s">
        <v>248</v>
      </c>
      <c r="F161" s="152">
        <f>1000*I161</f>
        <v>45000</v>
      </c>
      <c r="G161" s="138"/>
      <c r="H161" s="157" t="s">
        <v>502</v>
      </c>
      <c r="I161" s="158">
        <v>45.0</v>
      </c>
      <c r="J161" s="154" t="s">
        <v>424</v>
      </c>
      <c r="K161" s="154">
        <v>0.0</v>
      </c>
      <c r="L161" s="100">
        <v>0.0</v>
      </c>
      <c r="M161" s="143"/>
      <c r="N161" s="143"/>
      <c r="O161" s="143"/>
      <c r="P161" s="143"/>
      <c r="Q161" s="143"/>
      <c r="R161" s="143"/>
      <c r="S161" s="155"/>
      <c r="T161" s="155"/>
      <c r="U161" s="143"/>
      <c r="V161" s="143"/>
      <c r="W161" s="143"/>
      <c r="X161" s="143"/>
      <c r="Y161" s="143"/>
      <c r="Z161" s="143"/>
      <c r="AA161" s="143"/>
      <c r="AB161" s="143"/>
      <c r="AC161" s="143"/>
      <c r="AD161" s="143"/>
      <c r="AE161" s="143"/>
      <c r="AF161" s="143"/>
      <c r="AG161" s="156"/>
      <c r="AH161" s="143"/>
      <c r="AI161" s="143"/>
      <c r="AJ161" s="143"/>
      <c r="AK161" s="143"/>
      <c r="AL161" s="143"/>
      <c r="AM161" s="143"/>
      <c r="AN161" s="143"/>
      <c r="AO161" s="143"/>
      <c r="AP161" s="143"/>
      <c r="AQ161" s="143"/>
      <c r="AR161" s="143"/>
      <c r="AS161" s="143"/>
      <c r="AT161" s="156"/>
      <c r="AU161" s="143"/>
      <c r="AV161" s="143"/>
      <c r="AW161" s="143"/>
      <c r="AX161" s="143"/>
      <c r="AY161" s="143"/>
      <c r="AZ161" s="143"/>
      <c r="BA161" s="143"/>
      <c r="BB161" s="143"/>
      <c r="BC161" s="143"/>
      <c r="BD161" s="143"/>
      <c r="BE161" s="143"/>
      <c r="BF161" s="143"/>
      <c r="BG161" s="143"/>
      <c r="BH161" s="143"/>
      <c r="BI161" s="149"/>
      <c r="BK161" s="22"/>
      <c r="BS161" s="6" t="s">
        <v>113</v>
      </c>
      <c r="BT161" s="140">
        <v>16.0</v>
      </c>
      <c r="BU161" s="6">
        <f>VLOOKUP(BS161,'Item List'!$A$2:$D$300,2,FALSE)</f>
        <v>1</v>
      </c>
      <c r="BV161" s="6">
        <f>VLOOKUP(BS161,'Item List'!$A$2:$D$300,3,FALSE)</f>
        <v>3</v>
      </c>
      <c r="BW161" s="6">
        <f>VLOOKUP(BS161,'Item List'!$A$2:$D$300,4,FALSE)</f>
        <v>2</v>
      </c>
      <c r="BY161" s="140" t="s">
        <v>742</v>
      </c>
      <c r="BZ161" s="6">
        <v>4006.0</v>
      </c>
      <c r="CA161" s="140">
        <v>10.0</v>
      </c>
      <c r="CC161" s="140" t="s">
        <v>742</v>
      </c>
      <c r="CD161" s="6">
        <v>64000.0</v>
      </c>
      <c r="CE161" s="140">
        <v>100000.0</v>
      </c>
    </row>
    <row r="162">
      <c r="B162" s="135"/>
      <c r="C162" s="136"/>
      <c r="D162" s="137"/>
      <c r="E162" s="137"/>
      <c r="F162" s="137"/>
      <c r="G162" s="138"/>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c r="AG162" s="138"/>
      <c r="AH162" s="137"/>
      <c r="AI162" s="137"/>
      <c r="AJ162" s="137"/>
      <c r="AK162" s="137"/>
      <c r="AL162" s="137"/>
      <c r="AM162" s="137"/>
      <c r="AN162" s="137"/>
      <c r="AO162" s="137"/>
      <c r="AP162" s="137"/>
      <c r="AQ162" s="137"/>
      <c r="AR162" s="137"/>
      <c r="AS162" s="137"/>
      <c r="AT162" s="138"/>
      <c r="AU162" s="137"/>
      <c r="AV162" s="137"/>
      <c r="AW162" s="137"/>
      <c r="AX162" s="137"/>
      <c r="AY162" s="137"/>
      <c r="AZ162" s="137"/>
      <c r="BA162" s="137"/>
      <c r="BB162" s="137"/>
      <c r="BC162" s="137"/>
      <c r="BD162" s="137"/>
      <c r="BE162" s="137"/>
      <c r="BF162" s="137"/>
      <c r="BG162" s="137"/>
      <c r="BH162" s="137"/>
      <c r="BI162" s="139"/>
      <c r="BK162" s="22"/>
      <c r="BS162" s="6" t="s">
        <v>114</v>
      </c>
      <c r="BT162" s="140">
        <v>0.0</v>
      </c>
      <c r="BU162" s="6">
        <f>VLOOKUP(BS162,'Item List'!$A$2:$D$300,2,FALSE)</f>
        <v>1</v>
      </c>
      <c r="BV162" s="6">
        <f>VLOOKUP(BS162,'Item List'!$A$2:$D$300,3,FALSE)</f>
        <v>3</v>
      </c>
      <c r="BW162" s="6">
        <f>VLOOKUP(BS162,'Item List'!$A$2:$D$300,4,FALSE)</f>
        <v>2</v>
      </c>
      <c r="BY162" s="140" t="s">
        <v>743</v>
      </c>
      <c r="BZ162" s="6">
        <v>1600.0</v>
      </c>
      <c r="CA162" s="140">
        <v>1000.0</v>
      </c>
      <c r="CC162" s="140" t="s">
        <v>743</v>
      </c>
      <c r="CD162" s="6">
        <v>160000.0</v>
      </c>
      <c r="CE162" s="140">
        <v>100000.0</v>
      </c>
    </row>
    <row r="163">
      <c r="B163" s="141" t="s">
        <v>739</v>
      </c>
      <c r="C163" s="142"/>
      <c r="D163" s="143"/>
      <c r="E163" s="143"/>
      <c r="F163" s="144"/>
      <c r="G163" s="145"/>
      <c r="H163" s="146" t="s">
        <v>310</v>
      </c>
      <c r="I163" s="147" t="str">
        <f>VLOOKUP(H163,'Machine List'!$A$1:$I$300,9,FALSE)</f>
        <v>1T</v>
      </c>
      <c r="J163" s="147">
        <f>IF(VLOOKUP(H163,'Machine List'!$A$1:$I$300,5,FALSE)="Multi",IF(VLOOKUP(H163,'Machine List'!$A$1:$I$300,6,FALSE)="Yes",AI163*3*10^AB163,AI163*(2*3)*10^(AB163-1)),0)</f>
        <v>0</v>
      </c>
      <c r="K163" s="147">
        <f>J163+IF(ISNUMBER(I163),I163,
  SWITCH(
      I163,
      "1T",1*10^AB163,
      "2T",2*10^AB163,
      "3T",3*10^AB163,
      "4T",4*10^AB163,
      "4000+500(7O-5)",4000+500*(7*I164-5),
      "13500 + 16C",13500+16*VLOOKUP(J165,'Machine Helper Sheet'!$G$1:$K$16,5,FALSE),
      1
  )
)</f>
        <v>1000</v>
      </c>
      <c r="L163" s="147">
        <f>IF(VLOOKUP(H163,'Machine List'!$A$1:$I$300,5,FALSE)="Multi",IF(VLOOKUP(H163,'Machine List'!$A$1:$I$300,6,FALSE)="Yes",AW163*3*10^AV163,AW163*(2*3)*10^(AV163-1)),0)</f>
        <v>0</v>
      </c>
      <c r="M163" s="147">
        <f>L163+IF(ISNUMBER(I163),I163,
  SWITCH(
      I163,
      "1T",1*10^AV163,
      "2T",2*10^AV163,
      "3T",3*10^AV163,
      "4T",4*10^AV163,
      "4000+500(7O-5)",4000+500*(7*I164-5),
      1
  )
)</f>
        <v>100000</v>
      </c>
      <c r="N163" s="147" t="str">
        <f>VLOOKUP(H163,'Machine List'!$A$1:$I$300,8,FALSE)</f>
        <v>Tier</v>
      </c>
      <c r="O163" s="147">
        <f>IF(ISNUMBER(N163),N163,10^AB163)</f>
        <v>1000</v>
      </c>
      <c r="P163" s="147">
        <f>IF(ISNUMBER(N163),N163,10^AV163)</f>
        <v>100000</v>
      </c>
      <c r="Q163" s="147">
        <f>VLOOKUP(H163,'Machine List'!$A$1:$B$138,2,FALSE)</f>
        <v>1</v>
      </c>
      <c r="R163" s="147" t="s">
        <v>277</v>
      </c>
      <c r="S163" s="143">
        <f>IF(ISNUMBER(Q163),Q163,
  SWITCH(
      Q163,
      "1",1,
      "2T",AB163*2,
      "4T",AB163*4,
      "6T",AB163*6,
      "8T",AB163*8,
      "10T",AB163*10,
      "12T",AB163*12,
      "14T",AB163*14,
      "16T",AB163*16,
      "24T",AB163*24,
      "2(T+1)",2*(AB163+1),
      "1T*C",AB163*J165,
      "2*P",L165*2,
      1
  )
)</f>
        <v>1</v>
      </c>
      <c r="T163" s="38" t="s">
        <v>277</v>
      </c>
      <c r="U163" s="147">
        <f>IF(OR(T163="No",T163=""),S163,T163)</f>
        <v>1</v>
      </c>
      <c r="V163" s="147">
        <f>IF(ISNUMBER(Q163),Q163,
  SWITCH(
      Q163,
      "1",1,
      "2T",AV163*2,
      "4T",AV163*4,
      "6T",AV163*6,
      "8T",AV163*8,
      "10T",AV163*10,
      "12T",AV163*12,
      "14T",AV163*14,
      "16T",AV163*16,
      "24T",AV163*24,
      "2(T+1)",2*(AV163+1),
      "1T*C",AV163*J165,
      "2*P",L165*2,
      1
  )
)</f>
        <v>1</v>
      </c>
      <c r="W163" s="147" t="str">
        <f>T163</f>
        <v>No</v>
      </c>
      <c r="X163" s="147">
        <f>IF(OR(W163="No",W163=""),V163,W163)</f>
        <v>1</v>
      </c>
      <c r="Y163" s="38">
        <f>VLOOKUP(H163,'Machine List'!$A$1:$C$138,3,FALSE)</f>
        <v>1</v>
      </c>
      <c r="Z163" s="38">
        <f>VLOOKUP(H163,'Machine List'!$A$1:$D$138,4,FALSE)</f>
        <v>1</v>
      </c>
      <c r="AA163" s="147" t="s">
        <v>397</v>
      </c>
      <c r="AB163" s="147">
        <f>VLOOKUP(AA163,'Item Helper Sheet'!$A$2:$B$16,2,FALSE)</f>
        <v>3</v>
      </c>
      <c r="AC163" s="147">
        <v>480.0</v>
      </c>
      <c r="AD163" s="147">
        <f>30*20</f>
        <v>600</v>
      </c>
      <c r="AE163" s="147">
        <f>AD163*I165</f>
        <v>53400</v>
      </c>
      <c r="AF163" s="147">
        <f>AC163*AE163</f>
        <v>25632000</v>
      </c>
      <c r="AG163" s="148"/>
      <c r="AH163" s="147" t="str">
        <f>AA163</f>
        <v>03 - HV</v>
      </c>
      <c r="AI163" s="147">
        <v>1.0</v>
      </c>
      <c r="AJ163" s="147">
        <v>1.0</v>
      </c>
      <c r="AK163" s="147">
        <f>AJ163*8*4^AB163</f>
        <v>512</v>
      </c>
      <c r="AL163" s="147">
        <f>MIN(ROUNDDOWN(AK163/AN163,0),U163)</f>
        <v>1</v>
      </c>
      <c r="AM163" s="147">
        <f>IF(OR(T163="No",T163=""),AI163*S163,AI163*T163)</f>
        <v>1</v>
      </c>
      <c r="AN163" s="147">
        <f>ROUNDUP(AC163*VLOOKUP(H163,'Machine List'!$A$2:$D$219,4,FALSE),0)</f>
        <v>480</v>
      </c>
      <c r="AO163" s="147">
        <f>AN163*AM163</f>
        <v>480</v>
      </c>
      <c r="AP163" s="147">
        <f>ROUNDUP(AD163*I165,0)</f>
        <v>53400</v>
      </c>
      <c r="AQ163" s="38">
        <f>IF(ISNUMBER(Y163),ROUNDUP(AP163/Y163,0),
  SWITCH(
      Y163,
      "1+0.5C",ROUNDUP(AP163/(1+0.5*VLOOKUP(J165,'Machine Helper Sheet'!$G$1:$K$16,2,FALSE)),0),
      ROUNDUP(AP163/1,0)
  )
)</f>
        <v>53400</v>
      </c>
      <c r="AR163" s="147">
        <f>ROUNDUP(AQ163/AM163,0)</f>
        <v>53400</v>
      </c>
      <c r="AS163" s="147">
        <f>AO163*AR163</f>
        <v>25632000</v>
      </c>
      <c r="AT163" s="148"/>
      <c r="AU163" s="147" t="s">
        <v>405</v>
      </c>
      <c r="AV163" s="147">
        <f>VLOOKUP(AU163,'Item Helper Sheet'!$A$2:$B$16,2,FALSE)</f>
        <v>5</v>
      </c>
      <c r="AW163" s="147">
        <f>AI163</f>
        <v>1</v>
      </c>
      <c r="AX163" s="147">
        <v>1.0</v>
      </c>
      <c r="AY163" s="147">
        <f>AX163*8*4^AV163</f>
        <v>8192</v>
      </c>
      <c r="AZ163" s="147">
        <f>MIN(ROUNDDOWN(AY163/AN163,0),X163)</f>
        <v>1</v>
      </c>
      <c r="BA163" s="147">
        <f>AZ163*AW163</f>
        <v>1</v>
      </c>
      <c r="BB163" s="147">
        <f>AN163</f>
        <v>480</v>
      </c>
      <c r="BC163" s="147">
        <f>MIN(AV163-AB163,IF(AY163&gt;=BB164*4,
IF(AY163&gt;=BB164*4^2,
IF(AY163&gt;=BB164*4^3,
IF(AY163&gt;=BB164*4^4,
IF(AY163&gt;=BB164*4^5,
IF(AY163&gt;=BB164*4^6,
IF(AY163&gt;=BB164*4^7,
IF(AY163&gt;=BB164*4^8,
IF(AY163&gt;=BB164*4^9,
IF(AY163&gt;=BB164*4^10,
9),
8),
7),
6),
5),
4),
3),
2),
1),
0))</f>
        <v>2</v>
      </c>
      <c r="BD163" s="147">
        <f>BB163*AZ163*4^BC163</f>
        <v>7680</v>
      </c>
      <c r="BE163" s="147">
        <f>BD163*AW163</f>
        <v>7680</v>
      </c>
      <c r="BF163" s="143">
        <f>ROUNDUP(IF(R163="Yes",AP163/(2^((BC163)*2)),AP163/(2^(BC163))),0)</f>
        <v>13350</v>
      </c>
      <c r="BG163" s="45">
        <f>IF(ISNUMBER(Y163),ROUNDUP(BF163/Y163,0),
  SWITCH(
      Y163,
      "1+0.5C",ROUNDUP(BF163/(1+0.5*VLOOKUP(J165,'Machine Helper Sheet'!$G$1:$K$16,2,FALSE)),0),
      ROUNDUP(BF163/1,0)
  )
)</f>
        <v>13350</v>
      </c>
      <c r="BH163" s="143">
        <f>ROUNDUP(BG163/BA163,0)</f>
        <v>13350</v>
      </c>
      <c r="BI163" s="149">
        <f>BH163*BE163</f>
        <v>102528000</v>
      </c>
      <c r="BK163" s="22"/>
      <c r="BS163" s="6" t="s">
        <v>142</v>
      </c>
      <c r="BT163" s="6">
        <v>-128000.0</v>
      </c>
      <c r="BU163" s="6">
        <f>VLOOKUP(BS163,'Item List'!$A$2:$D$300,2,FALSE)</f>
        <v>1</v>
      </c>
      <c r="BV163" s="6">
        <f>VLOOKUP(BS163,'Item List'!$A$2:$D$300,3,FALSE)</f>
        <v>5</v>
      </c>
      <c r="BW163" s="6">
        <f>VLOOKUP(BS163,'Item List'!$A$2:$D$300,4,FALSE)</f>
        <v>1</v>
      </c>
      <c r="BY163" s="140" t="s">
        <v>744</v>
      </c>
      <c r="BZ163" s="6">
        <v>65000.0</v>
      </c>
      <c r="CA163" s="140">
        <v>100000.0</v>
      </c>
      <c r="CC163" s="140" t="s">
        <v>744</v>
      </c>
      <c r="CD163" s="6">
        <v>65000.0</v>
      </c>
      <c r="CE163" s="140">
        <v>100000.0</v>
      </c>
    </row>
    <row r="164">
      <c r="B164" s="150"/>
      <c r="C164" s="151" t="s">
        <v>214</v>
      </c>
      <c r="D164" s="147">
        <f>1*I165</f>
        <v>89</v>
      </c>
      <c r="E164" s="147" t="s">
        <v>215</v>
      </c>
      <c r="F164" s="152">
        <f>144*I165</f>
        <v>12816</v>
      </c>
      <c r="G164" s="138"/>
      <c r="H164" s="153" t="s">
        <v>584</v>
      </c>
      <c r="I164" s="143">
        <f t="array" ref="I164">match(TRUE,ISBLANK(F164:F176),0)-1</f>
        <v>1</v>
      </c>
      <c r="J164" s="154" t="s">
        <v>420</v>
      </c>
      <c r="K164" s="154" t="s">
        <v>585</v>
      </c>
      <c r="L164" s="100" t="s">
        <v>704</v>
      </c>
      <c r="M164" s="147"/>
      <c r="N164" s="147"/>
      <c r="O164" s="147"/>
      <c r="P164" s="147"/>
      <c r="Q164" s="147"/>
      <c r="R164" s="155"/>
      <c r="S164" s="155"/>
      <c r="T164" s="155"/>
      <c r="U164" s="143"/>
      <c r="V164" s="143"/>
      <c r="W164" s="143"/>
      <c r="X164" s="143"/>
      <c r="Y164" s="143"/>
      <c r="Z164" s="143"/>
      <c r="AA164" s="143"/>
      <c r="AB164" s="143"/>
      <c r="AC164" s="143"/>
      <c r="AD164" s="143"/>
      <c r="AE164" s="143"/>
      <c r="AF164" s="143"/>
      <c r="AG164" s="156"/>
      <c r="AH164" s="143"/>
      <c r="AI164" s="143"/>
      <c r="AJ164" s="143"/>
      <c r="AK164" s="143"/>
      <c r="AL164" s="143"/>
      <c r="AM164" s="143"/>
      <c r="AN164" s="143"/>
      <c r="AO164" s="143"/>
      <c r="AP164" s="143"/>
      <c r="AQ164" s="143"/>
      <c r="AR164" s="143"/>
      <c r="AS164" s="143"/>
      <c r="AT164" s="156"/>
      <c r="AU164" s="143"/>
      <c r="AV164" s="143"/>
      <c r="AW164" s="143"/>
      <c r="AX164" s="143"/>
      <c r="AY164" s="143"/>
      <c r="AZ164" s="143"/>
      <c r="BA164" s="143"/>
      <c r="BB164" s="143">
        <f>BB163*AZ163</f>
        <v>480</v>
      </c>
      <c r="BC164" s="143"/>
      <c r="BD164" s="143"/>
      <c r="BE164" s="143"/>
      <c r="BF164" s="143"/>
      <c r="BG164" s="143"/>
      <c r="BH164" s="143"/>
      <c r="BI164" s="149"/>
      <c r="BK164" s="22"/>
      <c r="BS164" s="140" t="s">
        <v>148</v>
      </c>
      <c r="BT164" s="6">
        <v>28.0</v>
      </c>
      <c r="BU164" s="6">
        <f>VLOOKUP(BS164,'Item List'!$A$2:$D$300,2,FALSE)</f>
        <v>1</v>
      </c>
      <c r="BV164" s="6">
        <f>VLOOKUP(BS164,'Item List'!$A$2:$D$300,3,FALSE)</f>
        <v>3</v>
      </c>
      <c r="BW164" s="6">
        <f>VLOOKUP(BS164,'Item List'!$A$2:$D$300,4,FALSE)</f>
        <v>2</v>
      </c>
      <c r="BY164" s="140" t="s">
        <v>745</v>
      </c>
      <c r="BZ164" s="6">
        <v>160000.0</v>
      </c>
      <c r="CA164" s="140">
        <v>100000.0</v>
      </c>
      <c r="CC164" s="140" t="s">
        <v>745</v>
      </c>
      <c r="CD164" s="6">
        <v>160000.0</v>
      </c>
      <c r="CE164" s="140">
        <v>100000.0</v>
      </c>
    </row>
    <row r="165">
      <c r="B165" s="150"/>
      <c r="C165" s="151"/>
      <c r="D165" s="147"/>
      <c r="E165" s="147"/>
      <c r="F165" s="152"/>
      <c r="G165" s="138"/>
      <c r="H165" s="157" t="s">
        <v>502</v>
      </c>
      <c r="I165" s="158">
        <v>89.0</v>
      </c>
      <c r="J165" s="154" t="s">
        <v>424</v>
      </c>
      <c r="K165" s="154">
        <v>0.0</v>
      </c>
      <c r="L165" s="100">
        <v>0.0</v>
      </c>
      <c r="M165" s="143"/>
      <c r="N165" s="143"/>
      <c r="O165" s="143"/>
      <c r="P165" s="143"/>
      <c r="Q165" s="143"/>
      <c r="R165" s="143"/>
      <c r="S165" s="155"/>
      <c r="T165" s="155"/>
      <c r="U165" s="143"/>
      <c r="V165" s="143"/>
      <c r="W165" s="143"/>
      <c r="X165" s="143"/>
      <c r="Y165" s="143"/>
      <c r="Z165" s="143"/>
      <c r="AA165" s="143"/>
      <c r="AB165" s="143"/>
      <c r="AC165" s="143"/>
      <c r="AD165" s="143"/>
      <c r="AE165" s="143"/>
      <c r="AF165" s="143"/>
      <c r="AG165" s="156"/>
      <c r="AH165" s="143"/>
      <c r="AI165" s="143"/>
      <c r="AJ165" s="143"/>
      <c r="AK165" s="143"/>
      <c r="AL165" s="143"/>
      <c r="AM165" s="143"/>
      <c r="AN165" s="143"/>
      <c r="AO165" s="143"/>
      <c r="AP165" s="143"/>
      <c r="AQ165" s="143"/>
      <c r="AR165" s="143"/>
      <c r="AS165" s="143"/>
      <c r="AT165" s="156"/>
      <c r="AU165" s="143"/>
      <c r="AV165" s="143"/>
      <c r="AW165" s="143"/>
      <c r="AX165" s="143"/>
      <c r="AY165" s="143"/>
      <c r="AZ165" s="143"/>
      <c r="BA165" s="143"/>
      <c r="BB165" s="143"/>
      <c r="BC165" s="143"/>
      <c r="BD165" s="143"/>
      <c r="BE165" s="143"/>
      <c r="BF165" s="143"/>
      <c r="BG165" s="143"/>
      <c r="BH165" s="143"/>
      <c r="BI165" s="149"/>
      <c r="BK165" s="22"/>
      <c r="BS165" s="6" t="s">
        <v>149</v>
      </c>
      <c r="BT165" s="140">
        <v>0.0</v>
      </c>
      <c r="BU165" s="6">
        <f>VLOOKUP(BS165,'Item List'!$A$2:$D$300,2,FALSE)</f>
        <v>1</v>
      </c>
      <c r="BV165" s="6">
        <f>VLOOKUP(BS165,'Item List'!$A$2:$D$300,3,FALSE)</f>
        <v>3</v>
      </c>
      <c r="BW165" s="6">
        <f>VLOOKUP(BS165,'Item List'!$A$2:$D$300,4,FALSE)</f>
        <v>2</v>
      </c>
      <c r="BY165" s="140" t="s">
        <v>721</v>
      </c>
      <c r="BZ165" s="6">
        <v>10.0</v>
      </c>
      <c r="CA165" s="140">
        <v>10.0</v>
      </c>
      <c r="CC165" s="140" t="s">
        <v>721</v>
      </c>
      <c r="CD165" s="6">
        <v>100000.0</v>
      </c>
      <c r="CE165" s="140">
        <v>100000.0</v>
      </c>
    </row>
    <row r="166">
      <c r="B166" s="135"/>
      <c r="C166" s="136"/>
      <c r="D166" s="137"/>
      <c r="E166" s="137"/>
      <c r="F166" s="137"/>
      <c r="G166" s="138"/>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c r="AG166" s="138"/>
      <c r="AH166" s="137"/>
      <c r="AI166" s="137"/>
      <c r="AJ166" s="137"/>
      <c r="AK166" s="137"/>
      <c r="AL166" s="137"/>
      <c r="AM166" s="137"/>
      <c r="AN166" s="137"/>
      <c r="AO166" s="137"/>
      <c r="AP166" s="137"/>
      <c r="AQ166" s="137"/>
      <c r="AR166" s="137"/>
      <c r="AS166" s="137"/>
      <c r="AT166" s="138"/>
      <c r="AU166" s="137"/>
      <c r="AV166" s="137"/>
      <c r="AW166" s="137"/>
      <c r="AX166" s="137"/>
      <c r="AY166" s="137"/>
      <c r="AZ166" s="137"/>
      <c r="BA166" s="137"/>
      <c r="BB166" s="137"/>
      <c r="BC166" s="137"/>
      <c r="BD166" s="137"/>
      <c r="BE166" s="137"/>
      <c r="BF166" s="137"/>
      <c r="BG166" s="137"/>
      <c r="BH166" s="137"/>
      <c r="BI166" s="139"/>
      <c r="BK166" s="22"/>
      <c r="BS166" s="140" t="s">
        <v>163</v>
      </c>
      <c r="BT166" s="6">
        <v>9.899999999999999</v>
      </c>
      <c r="BU166" s="6">
        <f>VLOOKUP(BS166,'Item List'!$A$2:$D$300,2,FALSE)</f>
        <v>1</v>
      </c>
      <c r="BV166" s="6">
        <f>VLOOKUP(BS166,'Item List'!$A$2:$D$300,3,FALSE)</f>
        <v>3</v>
      </c>
      <c r="BW166" s="6">
        <f>VLOOKUP(BS166,'Item List'!$A$2:$D$300,4,FALSE)</f>
        <v>2</v>
      </c>
      <c r="BY166" s="140" t="s">
        <v>722</v>
      </c>
      <c r="BZ166" s="6">
        <v>10.0</v>
      </c>
      <c r="CA166" s="140">
        <v>10.0</v>
      </c>
      <c r="CC166" s="140" t="s">
        <v>722</v>
      </c>
      <c r="CD166" s="6">
        <v>100000.0</v>
      </c>
      <c r="CE166" s="140">
        <v>100000.0</v>
      </c>
    </row>
    <row r="167">
      <c r="B167" s="141" t="s">
        <v>740</v>
      </c>
      <c r="C167" s="142"/>
      <c r="D167" s="143"/>
      <c r="E167" s="143"/>
      <c r="F167" s="144"/>
      <c r="G167" s="145"/>
      <c r="H167" s="146" t="s">
        <v>356</v>
      </c>
      <c r="I167" s="147" t="str">
        <f>VLOOKUP(H167,'Machine List'!$A$1:$I$300,9,FALSE)</f>
        <v>1T</v>
      </c>
      <c r="J167" s="147">
        <f>IF(VLOOKUP(H167,'Machine List'!$A$1:$I$300,5,FALSE)="Multi",IF(VLOOKUP(H167,'Machine List'!$A$1:$I$300,6,FALSE)="Yes",AI167*3*10^AB167,AI167*(2*3)*10^(AB167-1)),0)</f>
        <v>60000</v>
      </c>
      <c r="K167" s="147">
        <f>J167+IF(ISNUMBER(I167),I167,
  SWITCH(
      I167,
      "1T",1*10^AB167,
      "2T",2*10^AB167,
      "3T",3*10^AB167,
      "4T",4*10^AB167,
      "4000+500(7O-5)",4000+500*(7*I168-5),
      "13500 + 16C",13500+16*VLOOKUP(J169,'Machine Helper Sheet'!$G$1:$K$16,5,FALSE),
      1
  )
)</f>
        <v>160000</v>
      </c>
      <c r="L167" s="147">
        <f>IF(VLOOKUP(H167,'Machine List'!$A$1:$I$300,5,FALSE)="Multi",IF(VLOOKUP(H167,'Machine List'!$A$1:$I$300,6,FALSE)="Yes",AW167*3*10^AV167,AW167*(2*3)*10^(AV167-1)),0)</f>
        <v>60000</v>
      </c>
      <c r="M167" s="147">
        <f>L167+IF(ISNUMBER(I167),I167,
  SWITCH(
      I167,
      "1T",1*10^AV167,
      "2T",2*10^AV167,
      "3T",3*10^AV167,
      "4T",4*10^AV167,
      "4000+500(7O-5)",4000+500*(7*I168-5),
      1
  )
)</f>
        <v>160000</v>
      </c>
      <c r="N167" s="147" t="str">
        <f>VLOOKUP(H167,'Machine List'!$A$1:$I$300,8,FALSE)</f>
        <v>Tier</v>
      </c>
      <c r="O167" s="147">
        <f>IF(ISNUMBER(N167),N167,10^AB167)</f>
        <v>100000</v>
      </c>
      <c r="P167" s="147">
        <f>IF(ISNUMBER(N167),N167,10^AV167)</f>
        <v>100000</v>
      </c>
      <c r="Q167" s="147" t="str">
        <f>VLOOKUP(H167,'Machine List'!$A$1:$B$138,2,FALSE)</f>
        <v>2T</v>
      </c>
      <c r="R167" s="147" t="s">
        <v>277</v>
      </c>
      <c r="S167" s="45">
        <f>IF(ISNUMBER(Q167),Q167,
  SWITCH(
      Q167,
      "1",1,
      "2T",AB167*2,
      "4T",AB167*4,
      "6T",AB167*6,
      "8T",AB167*8,
      "10T",AB167*10,
      "12T",AB167*12,
      "14T",AB167*14,
      "16T",AB167*16,
      "24T",AB167*24,
      "2(T+1)",2*(AB167+1),
      "1T*C",AB167*J169,
      "2*P",L169*2,
      1
  )
)</f>
        <v>10</v>
      </c>
      <c r="T167" s="38" t="s">
        <v>277</v>
      </c>
      <c r="U167" s="38">
        <f>IF(OR(T167="No",T167=""),S167,T167)</f>
        <v>10</v>
      </c>
      <c r="V167" s="38">
        <f>IF(ISNUMBER(Q167),Q167,
  SWITCH(
      Q167,
      "1",1,
      "2T",AV167*2,
      "4T",AV167*4,
      "6T",AV167*6,
      "8T",AV167*8,
      "10T",AV167*10,
      "12T",AV167*12,
      "14T",AV167*14,
      "16T",AV167*16,
      "24T",AV167*24,
      "2(T+1)",2*(AV167+1),
      "1T*C",AV167*J169,
      "2*P",L169*2,
      1
  )
)</f>
        <v>10</v>
      </c>
      <c r="W167" s="147" t="str">
        <f>T167</f>
        <v>No</v>
      </c>
      <c r="X167" s="147">
        <f>IF(OR(W167="No",W167=""),V167,W167)</f>
        <v>10</v>
      </c>
      <c r="Y167" s="38">
        <f>VLOOKUP(H167,'Machine List'!$A$1:$C$138,3,FALSE)</f>
        <v>2.5</v>
      </c>
      <c r="Z167" s="38">
        <f>VLOOKUP(H167,'Machine List'!$A$1:$D$138,4,FALSE)</f>
        <v>1</v>
      </c>
      <c r="AA167" s="147" t="s">
        <v>405</v>
      </c>
      <c r="AB167" s="147">
        <f>VLOOKUP(AA167,'Item Helper Sheet'!$A$2:$B$16,2,FALSE)</f>
        <v>5</v>
      </c>
      <c r="AC167" s="147">
        <v>7680.0</v>
      </c>
      <c r="AD167" s="147">
        <f>600*20</f>
        <v>12000</v>
      </c>
      <c r="AE167" s="147">
        <f>AD167*I169</f>
        <v>36000</v>
      </c>
      <c r="AF167" s="147">
        <f>AC167*AE167</f>
        <v>276480000</v>
      </c>
      <c r="AG167" s="148"/>
      <c r="AH167" s="147" t="str">
        <f>AA167</f>
        <v>05 - IV</v>
      </c>
      <c r="AI167" s="147">
        <v>1.0</v>
      </c>
      <c r="AJ167" s="147">
        <v>1.0</v>
      </c>
      <c r="AK167" s="147">
        <f>AJ167*8*4^AB167</f>
        <v>8192</v>
      </c>
      <c r="AL167" s="147">
        <f>MIN(ROUNDDOWN(AK167/AN167,0),U167)</f>
        <v>1</v>
      </c>
      <c r="AM167" s="147">
        <f>IF(OR(T167="No",T167=""),AI167*S167,AI167*T167)</f>
        <v>10</v>
      </c>
      <c r="AN167" s="147">
        <f>ROUNDUP(AC167*VLOOKUP(H167,'Machine List'!$A$2:$D$219,4,FALSE),0)</f>
        <v>7680</v>
      </c>
      <c r="AO167" s="147">
        <f>AN167*AM167</f>
        <v>76800</v>
      </c>
      <c r="AP167" s="147">
        <f>ROUNDUP(AD167*I169,0)</f>
        <v>36000</v>
      </c>
      <c r="AQ167" s="38">
        <f>IF(ISNUMBER(Y167),ROUNDUP(AP167/Y167,0),
  SWITCH(
      Y167,
      "1+0.5C",ROUNDUP(AP167/(1+0.5*VLOOKUP(J169,'Machine Helper Sheet'!$G$1:$K$16,2,FALSE)),0),
      ROUNDUP(AP167/1,0)
  )
)</f>
        <v>14400</v>
      </c>
      <c r="AR167" s="147">
        <f>ROUNDUP(AQ167/AM167,0)</f>
        <v>1440</v>
      </c>
      <c r="AS167" s="147">
        <f>AO167*AR167</f>
        <v>110592000</v>
      </c>
      <c r="AT167" s="148"/>
      <c r="AU167" s="147" t="s">
        <v>405</v>
      </c>
      <c r="AV167" s="147">
        <f>VLOOKUP(AU167,'Item Helper Sheet'!$A$2:$B$16,2,FALSE)</f>
        <v>5</v>
      </c>
      <c r="AW167" s="147">
        <f>AI167</f>
        <v>1</v>
      </c>
      <c r="AX167" s="147">
        <v>1.0</v>
      </c>
      <c r="AY167" s="147">
        <f>AX167*8*4^AV167</f>
        <v>8192</v>
      </c>
      <c r="AZ167" s="147">
        <f>MIN(ROUNDDOWN(AY167/AN167,0),X167)</f>
        <v>1</v>
      </c>
      <c r="BA167" s="147">
        <f>AZ167*AW167</f>
        <v>1</v>
      </c>
      <c r="BB167" s="147">
        <f>AN167</f>
        <v>7680</v>
      </c>
      <c r="BC167" s="147">
        <f>MIN(AV167-AB167,IF(AY167&gt;=BB168*4,
IF(AY167&gt;=BB168*4^2,
IF(AY167&gt;=BB168*4^3,
IF(AY167&gt;=BB168*4^4,
IF(AY167&gt;=BB168*4^5,
IF(AY167&gt;=BB168*4^6,
IF(AY167&gt;=BB168*4^7,
IF(AY167&gt;=BB168*4^8,
IF(AY167&gt;=BB168*4^9,
IF(AY167&gt;=BB168*4^10,
9),
8),
7),
6),
5),
4),
3),
2),
1),
0))</f>
        <v>0</v>
      </c>
      <c r="BD167" s="147">
        <f>BB167*AZ167*4^BC167</f>
        <v>7680</v>
      </c>
      <c r="BE167" s="147">
        <f>BD167*AW167</f>
        <v>7680</v>
      </c>
      <c r="BF167" s="143">
        <f>ROUNDUP(IF(R167="Yes",AP167/(2^((BC167)*2)),AP167/(2^(BC167))),0)</f>
        <v>36000</v>
      </c>
      <c r="BG167" s="45">
        <f>IF(ISNUMBER(Y167),ROUNDUP(BF167/Y167,0),
  SWITCH(
      Y167,
      "1+0.5C",ROUNDUP(BF167/(1+0.5*VLOOKUP(J169,'Machine Helper Sheet'!$G$1:$K$16,2,FALSE)),0),
      ROUNDUP(BF167/1,0)
  )
)</f>
        <v>14400</v>
      </c>
      <c r="BH167" s="143">
        <f>ROUNDUP(BG167/BA167,0)</f>
        <v>14400</v>
      </c>
      <c r="BI167" s="149">
        <f>BH167*BE167</f>
        <v>110592000</v>
      </c>
      <c r="BK167" s="22"/>
      <c r="BS167" s="140" t="s">
        <v>647</v>
      </c>
      <c r="BT167" s="140">
        <v>-45.0</v>
      </c>
      <c r="BU167" s="6" t="str">
        <f>VLOOKUP(BS167,'Item List'!$A$2:$D$300,2,FALSE)</f>
        <v>#N/A</v>
      </c>
      <c r="BV167" s="6" t="str">
        <f>VLOOKUP(BS167,'Item List'!$A$2:$D$300,3,FALSE)</f>
        <v>#N/A</v>
      </c>
      <c r="BW167" s="6" t="str">
        <f>VLOOKUP(BS167,'Item List'!$A$2:$D$300,4,FALSE)</f>
        <v>#N/A</v>
      </c>
      <c r="BY167" s="140" t="s">
        <v>723</v>
      </c>
      <c r="BZ167" s="6">
        <v>1600.0</v>
      </c>
      <c r="CA167" s="140">
        <v>1000.0</v>
      </c>
      <c r="CC167" s="140" t="s">
        <v>723</v>
      </c>
      <c r="CD167" s="6">
        <v>61000.0</v>
      </c>
      <c r="CE167" s="140">
        <v>100000.0</v>
      </c>
    </row>
    <row r="168">
      <c r="B168" s="150"/>
      <c r="C168" s="151" t="s">
        <v>237</v>
      </c>
      <c r="D168" s="147">
        <f>10000*I169</f>
        <v>30000</v>
      </c>
      <c r="E168" s="147" t="s">
        <v>71</v>
      </c>
      <c r="F168" s="152">
        <f>3000*I169</f>
        <v>9000</v>
      </c>
      <c r="G168" s="138"/>
      <c r="H168" s="153" t="s">
        <v>584</v>
      </c>
      <c r="I168" s="143">
        <f t="array" ref="I168">match(TRUE,ISBLANK(F168:F224),0)-1</f>
        <v>4</v>
      </c>
      <c r="J168" s="154" t="s">
        <v>420</v>
      </c>
      <c r="K168" s="154" t="s">
        <v>585</v>
      </c>
      <c r="L168" s="100" t="s">
        <v>704</v>
      </c>
      <c r="M168" s="147"/>
      <c r="N168" s="147"/>
      <c r="O168" s="147"/>
      <c r="P168" s="147"/>
      <c r="Q168" s="147"/>
      <c r="R168" s="155"/>
      <c r="S168" s="155"/>
      <c r="T168" s="155"/>
      <c r="U168" s="143"/>
      <c r="V168" s="143"/>
      <c r="W168" s="143"/>
      <c r="X168" s="143"/>
      <c r="Y168" s="143"/>
      <c r="Z168" s="143"/>
      <c r="AA168" s="143"/>
      <c r="AB168" s="143"/>
      <c r="AC168" s="143"/>
      <c r="AD168" s="143"/>
      <c r="AE168" s="143"/>
      <c r="AF168" s="143"/>
      <c r="AG168" s="156"/>
      <c r="AH168" s="143"/>
      <c r="AI168" s="143"/>
      <c r="AJ168" s="143"/>
      <c r="AK168" s="143"/>
      <c r="AL168" s="143"/>
      <c r="AM168" s="143"/>
      <c r="AN168" s="143"/>
      <c r="AO168" s="143"/>
      <c r="AP168" s="143"/>
      <c r="AQ168" s="143"/>
      <c r="AR168" s="143"/>
      <c r="AS168" s="143"/>
      <c r="AT168" s="156"/>
      <c r="AU168" s="143"/>
      <c r="AV168" s="143"/>
      <c r="AW168" s="143"/>
      <c r="AX168" s="143"/>
      <c r="AY168" s="143"/>
      <c r="AZ168" s="143"/>
      <c r="BA168" s="143"/>
      <c r="BB168" s="143">
        <f>BB167*AZ167</f>
        <v>7680</v>
      </c>
      <c r="BC168" s="143"/>
      <c r="BD168" s="143"/>
      <c r="BE168" s="143"/>
      <c r="BF168" s="143"/>
      <c r="BG168" s="143"/>
      <c r="BH168" s="143"/>
      <c r="BI168" s="149"/>
      <c r="BK168" s="22"/>
      <c r="BS168" s="140" t="s">
        <v>214</v>
      </c>
      <c r="BT168" s="140">
        <v>1.0</v>
      </c>
      <c r="BU168" s="6">
        <f>VLOOKUP(BS168,'Item List'!$A$2:$D$300,2,FALSE)</f>
        <v>1</v>
      </c>
      <c r="BV168" s="6">
        <f>VLOOKUP(BS168,'Item List'!$A$2:$D$300,3,FALSE)</f>
        <v>3</v>
      </c>
      <c r="BW168" s="6">
        <f>VLOOKUP(BS168,'Item List'!$A$2:$D$300,4,FALSE)</f>
        <v>2</v>
      </c>
      <c r="BY168" s="140" t="s">
        <v>724</v>
      </c>
      <c r="BZ168" s="6">
        <v>1000.0</v>
      </c>
      <c r="CA168" s="140">
        <v>1000.0</v>
      </c>
      <c r="CC168" s="140" t="s">
        <v>724</v>
      </c>
      <c r="CD168" s="6">
        <v>100000.0</v>
      </c>
      <c r="CE168" s="140">
        <v>100000.0</v>
      </c>
    </row>
    <row r="169">
      <c r="B169" s="150"/>
      <c r="C169" s="151" t="s">
        <v>72</v>
      </c>
      <c r="D169" s="147">
        <f>6000*I169</f>
        <v>18000</v>
      </c>
      <c r="E169" s="147" t="s">
        <v>109</v>
      </c>
      <c r="F169" s="152">
        <f>1000*I169</f>
        <v>3000</v>
      </c>
      <c r="G169" s="138"/>
      <c r="H169" s="157" t="s">
        <v>502</v>
      </c>
      <c r="I169" s="158">
        <v>3.0</v>
      </c>
      <c r="J169" s="154" t="s">
        <v>424</v>
      </c>
      <c r="K169" s="154">
        <v>0.0</v>
      </c>
      <c r="L169" s="100">
        <v>0.0</v>
      </c>
      <c r="M169" s="143"/>
      <c r="N169" s="143"/>
      <c r="O169" s="143"/>
      <c r="P169" s="143"/>
      <c r="Q169" s="143"/>
      <c r="R169" s="143"/>
      <c r="S169" s="155"/>
      <c r="T169" s="155"/>
      <c r="U169" s="143"/>
      <c r="V169" s="143"/>
      <c r="W169" s="143"/>
      <c r="X169" s="143"/>
      <c r="Y169" s="143"/>
      <c r="Z169" s="143"/>
      <c r="AA169" s="143"/>
      <c r="AB169" s="143"/>
      <c r="AC169" s="143"/>
      <c r="AD169" s="143"/>
      <c r="AE169" s="143"/>
      <c r="AF169" s="143"/>
      <c r="AG169" s="156"/>
      <c r="AH169" s="143"/>
      <c r="AI169" s="143"/>
      <c r="AJ169" s="143"/>
      <c r="AK169" s="143"/>
      <c r="AL169" s="143"/>
      <c r="AM169" s="143"/>
      <c r="AN169" s="143"/>
      <c r="AO169" s="143"/>
      <c r="AP169" s="143"/>
      <c r="AQ169" s="143"/>
      <c r="AR169" s="143"/>
      <c r="AS169" s="143"/>
      <c r="AT169" s="156"/>
      <c r="AU169" s="143"/>
      <c r="AV169" s="143"/>
      <c r="AW169" s="143"/>
      <c r="AX169" s="143"/>
      <c r="AY169" s="143"/>
      <c r="AZ169" s="143"/>
      <c r="BA169" s="143"/>
      <c r="BB169" s="143"/>
      <c r="BC169" s="143"/>
      <c r="BD169" s="143"/>
      <c r="BE169" s="143"/>
      <c r="BF169" s="143"/>
      <c r="BG169" s="143"/>
      <c r="BH169" s="143"/>
      <c r="BI169" s="149"/>
      <c r="BK169" s="22"/>
      <c r="BS169" s="6" t="s">
        <v>215</v>
      </c>
      <c r="BT169" s="6">
        <v>-184.0</v>
      </c>
      <c r="BU169" s="6">
        <f>VLOOKUP(BS169,'Item List'!$A$2:$D$300,2,FALSE)</f>
        <v>1</v>
      </c>
      <c r="BV169" s="6">
        <f>VLOOKUP(BS169,'Item List'!$A$2:$D$300,3,FALSE)</f>
        <v>3</v>
      </c>
      <c r="BW169" s="6">
        <f>VLOOKUP(BS169,'Item List'!$A$2:$D$300,4,FALSE)</f>
        <v>2</v>
      </c>
      <c r="BY169" s="140" t="s">
        <v>725</v>
      </c>
      <c r="BZ169" s="6">
        <v>10000.0</v>
      </c>
      <c r="CA169" s="140">
        <v>10000.0</v>
      </c>
      <c r="CC169" s="140" t="s">
        <v>725</v>
      </c>
      <c r="CD169" s="6">
        <v>100000.0</v>
      </c>
      <c r="CE169" s="140">
        <v>100000.0</v>
      </c>
    </row>
    <row r="170">
      <c r="B170" s="40"/>
      <c r="C170" s="41"/>
      <c r="D170" s="38"/>
      <c r="E170" s="38" t="s">
        <v>33</v>
      </c>
      <c r="F170" s="42">
        <f>1000*I169</f>
        <v>3000</v>
      </c>
      <c r="G170" s="43"/>
      <c r="H170" s="44"/>
      <c r="I170" s="45"/>
      <c r="J170" s="45"/>
      <c r="K170" s="45"/>
      <c r="L170" s="45"/>
      <c r="M170" s="45"/>
      <c r="N170" s="45"/>
      <c r="O170" s="45"/>
      <c r="P170" s="45"/>
      <c r="Q170" s="45"/>
      <c r="R170" s="45"/>
      <c r="S170" s="101"/>
      <c r="T170" s="101"/>
      <c r="U170" s="45"/>
      <c r="V170" s="45"/>
      <c r="W170" s="45"/>
      <c r="X170" s="45"/>
      <c r="Y170" s="45"/>
      <c r="Z170" s="45"/>
      <c r="AA170" s="45"/>
      <c r="AB170" s="45"/>
      <c r="AC170" s="45"/>
      <c r="AD170" s="45"/>
      <c r="AE170" s="45"/>
      <c r="AF170" s="45"/>
      <c r="AG170" s="79"/>
      <c r="AH170" s="45"/>
      <c r="AI170" s="45"/>
      <c r="AJ170" s="45"/>
      <c r="AK170" s="45"/>
      <c r="AL170" s="45"/>
      <c r="AM170" s="45"/>
      <c r="AN170" s="45"/>
      <c r="AO170" s="45"/>
      <c r="AP170" s="45"/>
      <c r="AQ170" s="45"/>
      <c r="AR170" s="45"/>
      <c r="AS170" s="45"/>
      <c r="AT170" s="79"/>
      <c r="AU170" s="45"/>
      <c r="AV170" s="45"/>
      <c r="AW170" s="45"/>
      <c r="AX170" s="45"/>
      <c r="AY170" s="45"/>
      <c r="AZ170" s="45"/>
      <c r="BA170" s="45"/>
      <c r="BB170" s="45"/>
      <c r="BC170" s="45"/>
      <c r="BD170" s="45"/>
      <c r="BE170" s="45"/>
      <c r="BF170" s="45"/>
      <c r="BG170" s="45"/>
      <c r="BH170" s="45"/>
      <c r="BI170" s="46"/>
      <c r="BK170" s="22"/>
      <c r="BS170" s="140" t="s">
        <v>737</v>
      </c>
      <c r="BT170" s="140">
        <v>0.0</v>
      </c>
      <c r="BU170" s="6" t="str">
        <f>VLOOKUP(BS170,'Item List'!$A$2:$D$300,2,FALSE)</f>
        <v>#N/A</v>
      </c>
      <c r="BV170" s="6" t="str">
        <f>VLOOKUP(BS170,'Item List'!$A$2:$D$300,3,FALSE)</f>
        <v>#N/A</v>
      </c>
      <c r="BW170" s="6" t="str">
        <f>VLOOKUP(BS170,'Item List'!$A$2:$D$300,4,FALSE)</f>
        <v>#N/A</v>
      </c>
      <c r="BY170" s="6" t="s">
        <v>746</v>
      </c>
      <c r="BZ170" s="6">
        <v>4006.0</v>
      </c>
      <c r="CA170" s="6">
        <v>10.0</v>
      </c>
      <c r="CC170" s="6" t="s">
        <v>746</v>
      </c>
      <c r="CD170" s="6">
        <v>64000.0</v>
      </c>
      <c r="CE170" s="6">
        <v>100000.0</v>
      </c>
    </row>
    <row r="171">
      <c r="B171" s="40"/>
      <c r="C171" s="41"/>
      <c r="D171" s="38"/>
      <c r="E171" s="38" t="s">
        <v>163</v>
      </c>
      <c r="F171" s="42">
        <f>3.3*I169</f>
        <v>9.9</v>
      </c>
      <c r="G171" s="43"/>
      <c r="H171" s="44"/>
      <c r="I171" s="45"/>
      <c r="J171" s="45"/>
      <c r="K171" s="45"/>
      <c r="L171" s="45"/>
      <c r="M171" s="45"/>
      <c r="N171" s="45"/>
      <c r="O171" s="45"/>
      <c r="P171" s="45"/>
      <c r="Q171" s="45"/>
      <c r="R171" s="45"/>
      <c r="S171" s="101"/>
      <c r="T171" s="101"/>
      <c r="U171" s="45"/>
      <c r="V171" s="45"/>
      <c r="W171" s="45"/>
      <c r="X171" s="45"/>
      <c r="Y171" s="45"/>
      <c r="Z171" s="45"/>
      <c r="AA171" s="45"/>
      <c r="AB171" s="45"/>
      <c r="AC171" s="45"/>
      <c r="AD171" s="45"/>
      <c r="AE171" s="45"/>
      <c r="AF171" s="45"/>
      <c r="AG171" s="79"/>
      <c r="AH171" s="45"/>
      <c r="AI171" s="45"/>
      <c r="AJ171" s="45"/>
      <c r="AK171" s="45"/>
      <c r="AL171" s="45"/>
      <c r="AM171" s="45"/>
      <c r="AN171" s="45"/>
      <c r="AO171" s="45"/>
      <c r="AP171" s="45"/>
      <c r="AQ171" s="45"/>
      <c r="AR171" s="45"/>
      <c r="AS171" s="45"/>
      <c r="AT171" s="79"/>
      <c r="AU171" s="45"/>
      <c r="AV171" s="45"/>
      <c r="AW171" s="45"/>
      <c r="AX171" s="45"/>
      <c r="AY171" s="45"/>
      <c r="AZ171" s="45"/>
      <c r="BA171" s="45"/>
      <c r="BB171" s="45"/>
      <c r="BC171" s="45"/>
      <c r="BD171" s="45"/>
      <c r="BE171" s="45"/>
      <c r="BF171" s="45"/>
      <c r="BG171" s="45"/>
      <c r="BH171" s="45"/>
      <c r="BI171" s="46"/>
      <c r="BK171" s="22"/>
      <c r="BS171" s="140" t="s">
        <v>225</v>
      </c>
      <c r="BT171" s="140">
        <v>200.0</v>
      </c>
      <c r="BU171" s="6">
        <f>VLOOKUP(BS171,'Item List'!$A$2:$D$300,2,FALSE)</f>
        <v>1</v>
      </c>
      <c r="BV171" s="6">
        <f>VLOOKUP(BS171,'Item List'!$A$2:$D$300,3,FALSE)</f>
        <v>3</v>
      </c>
      <c r="BW171" s="6">
        <f>VLOOKUP(BS171,'Item List'!$A$2:$D$300,4,FALSE)</f>
        <v>2</v>
      </c>
      <c r="BY171" s="140" t="s">
        <v>747</v>
      </c>
      <c r="BZ171" s="6">
        <v>10.0</v>
      </c>
      <c r="CA171" s="140">
        <v>10.0</v>
      </c>
      <c r="CC171" s="140" t="s">
        <v>747</v>
      </c>
      <c r="CD171" s="6">
        <v>100000.0</v>
      </c>
      <c r="CE171" s="140">
        <v>100000.0</v>
      </c>
    </row>
    <row r="172">
      <c r="B172" s="135"/>
      <c r="C172" s="136"/>
      <c r="D172" s="137"/>
      <c r="E172" s="137"/>
      <c r="F172" s="137"/>
      <c r="G172" s="138"/>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c r="AG172" s="138"/>
      <c r="AH172" s="137"/>
      <c r="AI172" s="137"/>
      <c r="AJ172" s="137"/>
      <c r="AK172" s="137"/>
      <c r="AL172" s="137"/>
      <c r="AM172" s="137"/>
      <c r="AN172" s="137"/>
      <c r="AO172" s="137"/>
      <c r="AP172" s="137"/>
      <c r="AQ172" s="137"/>
      <c r="AR172" s="137"/>
      <c r="AS172" s="137"/>
      <c r="AT172" s="138"/>
      <c r="AU172" s="137"/>
      <c r="AV172" s="137"/>
      <c r="AW172" s="137"/>
      <c r="AX172" s="137"/>
      <c r="AY172" s="137"/>
      <c r="AZ172" s="137"/>
      <c r="BA172" s="137"/>
      <c r="BB172" s="137"/>
      <c r="BC172" s="137"/>
      <c r="BD172" s="137"/>
      <c r="BE172" s="137"/>
      <c r="BF172" s="137"/>
      <c r="BG172" s="137"/>
      <c r="BH172" s="137"/>
      <c r="BI172" s="139"/>
      <c r="BK172" s="22"/>
      <c r="BS172" s="140" t="s">
        <v>237</v>
      </c>
      <c r="BT172" s="140">
        <v>-2000.0</v>
      </c>
      <c r="BU172" s="6">
        <f>VLOOKUP(BS172,'Item List'!$A$2:$D$300,2,FALSE)</f>
        <v>1</v>
      </c>
      <c r="BV172" s="6">
        <f>VLOOKUP(BS172,'Item List'!$A$2:$D$300,3,FALSE)</f>
        <v>3</v>
      </c>
      <c r="BW172" s="6">
        <f>VLOOKUP(BS172,'Item List'!$A$2:$D$300,4,FALSE)</f>
        <v>2</v>
      </c>
      <c r="BY172" s="140" t="s">
        <v>748</v>
      </c>
      <c r="BZ172" s="6">
        <v>4006.0</v>
      </c>
      <c r="CA172" s="140">
        <v>10.0</v>
      </c>
      <c r="CC172" s="140" t="s">
        <v>748</v>
      </c>
      <c r="CD172" s="6">
        <v>64000.0</v>
      </c>
      <c r="CE172" s="140">
        <v>100000.0</v>
      </c>
    </row>
    <row r="173">
      <c r="B173" s="31" t="s">
        <v>741</v>
      </c>
      <c r="C173" s="54"/>
      <c r="D173" s="45"/>
      <c r="E173" s="45"/>
      <c r="F173" s="47"/>
      <c r="G173" s="35"/>
      <c r="H173" s="55" t="s">
        <v>363</v>
      </c>
      <c r="I173" s="38" t="str">
        <f>VLOOKUP(H173,'Machine List'!$A$1:$I$300,9,FALSE)</f>
        <v>1T</v>
      </c>
      <c r="J173" s="38">
        <f>IF(VLOOKUP(H173,'Machine List'!$A$1:$I$300,5,FALSE)="Multi",IF(VLOOKUP(H173,'Machine List'!$A$1:$I$300,6,FALSE)="Yes",AI173*3*10^AB173,AI173*(2*3)*10^(AB173-1)),0)</f>
        <v>600</v>
      </c>
      <c r="K173" s="38">
        <f>J173+IF(ISNUMBER(I173),I173,
  SWITCH(
      I173,
      "1T",1*10^AB173,
      "2T",2*10^AB173,
      "3T",3*10^AB173,
      "4T",4*10^AB173,
      "4000+500(7O-5)",4000+500*(7*I174-5),
      "13500 + 16C",13500+16*VLOOKUP(J175,'Machine Helper Sheet'!$G$1:$K$16,5,FALSE),
      1
  )
)</f>
        <v>1600</v>
      </c>
      <c r="L173" s="38">
        <f>IF(VLOOKUP(H173,'Machine List'!$A$1:$I$300,5,FALSE)="Multi",IF(VLOOKUP(H173,'Machine List'!$A$1:$I$300,6,FALSE)="Yes",AW173*3*10^AV173,AW173*(2*3)*10^(AV173-1)),0)</f>
        <v>120000</v>
      </c>
      <c r="M173" s="38">
        <f>L173+IF(ISNUMBER(I173),I173,
  SWITCH(
      I173,
      "1T",1*10^AV173,
      "2T",2*10^AV173,
      "3T",3*10^AV173,
      "4T",4*10^AV173,
      "4000+500(7O-5)",4000+500*(7*I174-5),
      1
  )
)</f>
        <v>220000</v>
      </c>
      <c r="N173" s="38" t="str">
        <f>VLOOKUP(H173,'Machine List'!$A$1:$I$300,8,FALSE)</f>
        <v>Tier</v>
      </c>
      <c r="O173" s="38">
        <f>IF(ISNUMBER(N173),N173,10^AB173)</f>
        <v>1000</v>
      </c>
      <c r="P173" s="38">
        <f>IF(ISNUMBER(N173),N173,10^AV173)</f>
        <v>100000</v>
      </c>
      <c r="Q173" s="38">
        <f>VLOOKUP(H173,'Machine List'!$A$1:$B$138,2,FALSE)</f>
        <v>1</v>
      </c>
      <c r="R173" s="38" t="s">
        <v>277</v>
      </c>
      <c r="S173" s="45">
        <f>IF(ISNUMBER(Q173),Q173,
  SWITCH(
      Q173,
      "1",1,
      "2T",AB173*2,
      "4T",AB173*4,
      "6T",AB173*6,
      "8T",AB173*8,
      "10T",AB173*10,
      "12T",AB173*12,
      "14T",AB173*14,
      "16T",AB173*16,
      "24T",AB173*24,
      "2(T+1)",2*(AB173+1),
      "1T*C",AB173*J175,
      "2*P",L175*2,
      1
  )
)</f>
        <v>1</v>
      </c>
      <c r="T173" s="38" t="s">
        <v>277</v>
      </c>
      <c r="U173" s="38">
        <f>IF(OR(T173="No",T173=""),S173,T173)</f>
        <v>1</v>
      </c>
      <c r="V173" s="38">
        <f>IF(ISNUMBER(Q173),Q173,
  SWITCH(
      Q173,
      "1",1,
      "2T",AV173*2,
      "4T",AV173*4,
      "6T",AV173*6,
      "8T",AV173*8,
      "10T",AV173*10,
      "12T",AV173*12,
      "14T",AV173*14,
      "16T",AV173*16,
      "24T",AV173*24,
      "2(T+1)",2*(AV173+1),
      "1T*C",AV173*J175,
      "2*P",L175*2,
      1
  )
)</f>
        <v>1</v>
      </c>
      <c r="W173" s="38" t="str">
        <f>T173</f>
        <v>No</v>
      </c>
      <c r="X173" s="38">
        <f>IF(OR(W173="No",W173=""),V173,W173)</f>
        <v>1</v>
      </c>
      <c r="Y173" s="38">
        <f>VLOOKUP(H173,'Machine List'!$A$1:$C$138,3,FALSE)</f>
        <v>1</v>
      </c>
      <c r="Z173" s="38">
        <f>VLOOKUP(H173,'Machine List'!$A$1:$D$138,4,FALSE)</f>
        <v>1</v>
      </c>
      <c r="AA173" s="147" t="s">
        <v>397</v>
      </c>
      <c r="AB173" s="38">
        <f>VLOOKUP(AA173,'Item Helper Sheet'!$A$2:$B$16,2,FALSE)</f>
        <v>3</v>
      </c>
      <c r="AC173" s="147">
        <v>480.0</v>
      </c>
      <c r="AD173" s="147">
        <f>600*20</f>
        <v>12000</v>
      </c>
      <c r="AE173" s="38">
        <f>AD173*I175</f>
        <v>36000</v>
      </c>
      <c r="AF173" s="38">
        <f>AC173*AE173</f>
        <v>17280000</v>
      </c>
      <c r="AG173" s="75"/>
      <c r="AH173" s="147" t="str">
        <f>AA173</f>
        <v>03 - HV</v>
      </c>
      <c r="AI173" s="38">
        <v>1.0</v>
      </c>
      <c r="AJ173" s="38">
        <v>1.0</v>
      </c>
      <c r="AK173" s="38">
        <f>AJ173*8*4^AB173</f>
        <v>512</v>
      </c>
      <c r="AL173" s="38">
        <f>MIN(ROUNDDOWN(AK173/AN173,0),U173)</f>
        <v>1</v>
      </c>
      <c r="AM173" s="38">
        <f>IF(OR(T173="No",T173=""),AI173*S173,AI173*T173)</f>
        <v>1</v>
      </c>
      <c r="AN173" s="38">
        <f>ROUNDUP(AC173*VLOOKUP(H173,'Machine List'!$A$2:$D$219,4,FALSE),0)</f>
        <v>480</v>
      </c>
      <c r="AO173" s="38">
        <f>AN173*AM173</f>
        <v>480</v>
      </c>
      <c r="AP173" s="38">
        <f>ROUNDUP(AD173*I175,0)</f>
        <v>36000</v>
      </c>
      <c r="AQ173" s="38">
        <f>IF(ISNUMBER(Y173),ROUNDUP(AP173/Y173,0),
  SWITCH(
      Y173,
      "1+0.5C",ROUNDUP(AP173/(1+0.5*VLOOKUP(J175,'Machine Helper Sheet'!$G$1:$K$16,2,FALSE)),0),
      ROUNDUP(AP173/1,0)
  )
)</f>
        <v>36000</v>
      </c>
      <c r="AR173" s="38">
        <f>ROUNDUP(AQ173/AM173,0)</f>
        <v>36000</v>
      </c>
      <c r="AS173" s="38">
        <f>AO173*AR173</f>
        <v>17280000</v>
      </c>
      <c r="AT173" s="75"/>
      <c r="AU173" s="38" t="s">
        <v>405</v>
      </c>
      <c r="AV173" s="38">
        <f>VLOOKUP(AU173,'Item Helper Sheet'!$A$2:$B$16,2,FALSE)</f>
        <v>5</v>
      </c>
      <c r="AW173" s="38">
        <v>2.0</v>
      </c>
      <c r="AX173" s="38">
        <v>1.0</v>
      </c>
      <c r="AY173" s="38">
        <f>AX173*8*4^AV173</f>
        <v>8192</v>
      </c>
      <c r="AZ173" s="38">
        <f>MIN(ROUNDDOWN(AY173/AN173,0),X173)</f>
        <v>1</v>
      </c>
      <c r="BA173" s="38">
        <f>AZ173*AW173</f>
        <v>2</v>
      </c>
      <c r="BB173" s="38">
        <f>AN173</f>
        <v>480</v>
      </c>
      <c r="BC173" s="38">
        <f>MIN(AV173-AB173,IF(AY173&gt;=BB174*4,
IF(AY173&gt;=BB174*4^2,
IF(AY173&gt;=BB174*4^3,
IF(AY173&gt;=BB174*4^4,
IF(AY173&gt;=BB174*4^5,
IF(AY173&gt;=BB174*4^6,
IF(AY173&gt;=BB174*4^7,
IF(AY173&gt;=BB174*4^8,
IF(AY173&gt;=BB174*4^9,
IF(AY173&gt;=BB174*4^10,
9),
8),
7),
6),
5),
4),
3),
2),
1),
0))</f>
        <v>2</v>
      </c>
      <c r="BD173" s="38">
        <f>BB173*AZ173*4^BC173</f>
        <v>7680</v>
      </c>
      <c r="BE173" s="38">
        <f>BD173*AW173</f>
        <v>15360</v>
      </c>
      <c r="BF173" s="45">
        <f>ROUNDUP(IF(R173="Yes",AP173/(2^((BC173)*2)),AP173/(2^(BC173))),0)</f>
        <v>9000</v>
      </c>
      <c r="BG173" s="45">
        <f>IF(ISNUMBER(Y173),ROUNDUP(BF173/Y173,0),
  SWITCH(
      Y173,
      "1+0.5C",ROUNDUP(BF173/(1+0.5*VLOOKUP(J175,'Machine Helper Sheet'!$G$1:$K$16,2,FALSE)),0),
      ROUNDUP(BF173/1,0)
  )
)</f>
        <v>9000</v>
      </c>
      <c r="BH173" s="45">
        <f>ROUNDUP(BG173/BA173,0)</f>
        <v>4500</v>
      </c>
      <c r="BI173" s="46">
        <f>BH173*BE173</f>
        <v>69120000</v>
      </c>
      <c r="BK173" s="22"/>
      <c r="BS173" s="140" t="s">
        <v>240</v>
      </c>
      <c r="BT173" s="140">
        <v>0.0</v>
      </c>
      <c r="BU173" s="6">
        <f>VLOOKUP(BS173,'Item List'!$A$2:$D$300,2,FALSE)</f>
        <v>1</v>
      </c>
      <c r="BV173" s="6">
        <f>VLOOKUP(BS173,'Item List'!$A$2:$D$300,3,FALSE)</f>
        <v>3</v>
      </c>
      <c r="BW173" s="6">
        <f>VLOOKUP(BS173,'Item List'!$A$2:$D$300,4,FALSE)</f>
        <v>2</v>
      </c>
      <c r="BY173" s="140" t="s">
        <v>749</v>
      </c>
      <c r="BZ173" s="6">
        <v>4060.0</v>
      </c>
      <c r="CA173" s="140">
        <v>100.0</v>
      </c>
      <c r="CC173" s="140" t="s">
        <v>749</v>
      </c>
      <c r="CD173" s="6">
        <v>64000.0</v>
      </c>
      <c r="CE173" s="140">
        <v>100000.0</v>
      </c>
    </row>
    <row r="174">
      <c r="B174" s="40"/>
      <c r="C174" s="41" t="s">
        <v>71</v>
      </c>
      <c r="D174" s="38">
        <f>3000*I175</f>
        <v>9000</v>
      </c>
      <c r="E174" s="38" t="s">
        <v>241</v>
      </c>
      <c r="F174" s="42">
        <f>2000*I175</f>
        <v>6000</v>
      </c>
      <c r="G174" s="43"/>
      <c r="H174" s="99" t="s">
        <v>584</v>
      </c>
      <c r="I174" s="45">
        <f t="array" ref="I174">match(TRUE,ISBLANK(F174:F185),0)-1</f>
        <v>4</v>
      </c>
      <c r="J174" s="100" t="s">
        <v>420</v>
      </c>
      <c r="K174" s="100" t="s">
        <v>585</v>
      </c>
      <c r="L174" s="100" t="s">
        <v>704</v>
      </c>
      <c r="M174" s="38"/>
      <c r="N174" s="38"/>
      <c r="O174" s="38"/>
      <c r="P174" s="38"/>
      <c r="Q174" s="38"/>
      <c r="R174" s="101"/>
      <c r="S174" s="101"/>
      <c r="T174" s="101"/>
      <c r="U174" s="45"/>
      <c r="V174" s="45"/>
      <c r="W174" s="45"/>
      <c r="X174" s="45"/>
      <c r="Y174" s="45"/>
      <c r="Z174" s="45"/>
      <c r="AA174" s="45"/>
      <c r="AB174" s="45"/>
      <c r="AC174" s="45"/>
      <c r="AD174" s="45"/>
      <c r="AE174" s="45"/>
      <c r="AF174" s="45"/>
      <c r="AG174" s="79"/>
      <c r="AH174" s="45"/>
      <c r="AI174" s="45"/>
      <c r="AJ174" s="45"/>
      <c r="AK174" s="45"/>
      <c r="AL174" s="45"/>
      <c r="AM174" s="45"/>
      <c r="AN174" s="45"/>
      <c r="AO174" s="45"/>
      <c r="AP174" s="45"/>
      <c r="AQ174" s="45"/>
      <c r="AR174" s="45"/>
      <c r="AS174" s="45"/>
      <c r="AT174" s="79"/>
      <c r="AU174" s="45"/>
      <c r="AV174" s="45"/>
      <c r="AW174" s="45"/>
      <c r="AX174" s="45"/>
      <c r="AY174" s="45"/>
      <c r="AZ174" s="45"/>
      <c r="BA174" s="45"/>
      <c r="BB174" s="45">
        <f>BB173*AZ173</f>
        <v>480</v>
      </c>
      <c r="BC174" s="45"/>
      <c r="BD174" s="45"/>
      <c r="BE174" s="45"/>
      <c r="BF174" s="45"/>
      <c r="BG174" s="45"/>
      <c r="BH174" s="45"/>
      <c r="BI174" s="46"/>
      <c r="BK174" s="22"/>
      <c r="BS174" s="140" t="s">
        <v>241</v>
      </c>
      <c r="BT174" s="140">
        <v>20200.0</v>
      </c>
      <c r="BU174" s="6">
        <f>VLOOKUP(BS174,'Item List'!$A$2:$D$300,2,FALSE)</f>
        <v>1</v>
      </c>
      <c r="BV174" s="6">
        <f>VLOOKUP(BS174,'Item List'!$A$2:$D$300,3,FALSE)</f>
        <v>3</v>
      </c>
      <c r="BW174" s="6">
        <f>VLOOKUP(BS174,'Item List'!$A$2:$D$300,4,FALSE)</f>
        <v>2</v>
      </c>
      <c r="BY174" s="6" t="s">
        <v>750</v>
      </c>
      <c r="BZ174" s="6">
        <v>4060.0</v>
      </c>
      <c r="CA174" s="6">
        <v>100.0</v>
      </c>
      <c r="CC174" s="6" t="s">
        <v>750</v>
      </c>
      <c r="CD174" s="6">
        <v>64000.0</v>
      </c>
      <c r="CE174" s="6">
        <v>100000.0</v>
      </c>
    </row>
    <row r="175">
      <c r="B175" s="40"/>
      <c r="C175" s="41" t="s">
        <v>215</v>
      </c>
      <c r="D175" s="38">
        <f>4000*I175</f>
        <v>12000</v>
      </c>
      <c r="E175" s="38" t="s">
        <v>215</v>
      </c>
      <c r="F175" s="42">
        <f>2000*I175</f>
        <v>6000</v>
      </c>
      <c r="G175" s="43"/>
      <c r="H175" s="56" t="s">
        <v>502</v>
      </c>
      <c r="I175" s="49">
        <v>3.0</v>
      </c>
      <c r="J175" s="100" t="s">
        <v>424</v>
      </c>
      <c r="K175" s="100">
        <v>0.0</v>
      </c>
      <c r="L175" s="100">
        <v>0.0</v>
      </c>
      <c r="M175" s="45"/>
      <c r="N175" s="45"/>
      <c r="O175" s="45"/>
      <c r="P175" s="45"/>
      <c r="Q175" s="45"/>
      <c r="R175" s="45"/>
      <c r="S175" s="101"/>
      <c r="T175" s="101"/>
      <c r="U175" s="45"/>
      <c r="V175" s="45"/>
      <c r="W175" s="45"/>
      <c r="X175" s="45"/>
      <c r="Y175" s="45"/>
      <c r="Z175" s="45"/>
      <c r="AA175" s="45"/>
      <c r="AB175" s="45"/>
      <c r="AC175" s="45"/>
      <c r="AD175" s="45"/>
      <c r="AE175" s="45"/>
      <c r="AF175" s="45"/>
      <c r="AG175" s="79"/>
      <c r="AH175" s="45"/>
      <c r="AI175" s="45"/>
      <c r="AJ175" s="45"/>
      <c r="AK175" s="45"/>
      <c r="AL175" s="45"/>
      <c r="AM175" s="45"/>
      <c r="AN175" s="45"/>
      <c r="AO175" s="45"/>
      <c r="AP175" s="45"/>
      <c r="AQ175" s="45"/>
      <c r="AR175" s="45"/>
      <c r="AS175" s="45"/>
      <c r="AT175" s="79"/>
      <c r="AU175" s="45"/>
      <c r="AV175" s="45"/>
      <c r="AW175" s="45"/>
      <c r="AX175" s="45"/>
      <c r="AY175" s="45"/>
      <c r="AZ175" s="45"/>
      <c r="BA175" s="45"/>
      <c r="BB175" s="45"/>
      <c r="BC175" s="45"/>
      <c r="BD175" s="45"/>
      <c r="BE175" s="45"/>
      <c r="BF175" s="45"/>
      <c r="BG175" s="45"/>
      <c r="BH175" s="45"/>
      <c r="BI175" s="46"/>
      <c r="BK175" s="22"/>
      <c r="BS175" s="6" t="s">
        <v>242</v>
      </c>
      <c r="BT175" s="6">
        <v>2620.0</v>
      </c>
      <c r="BU175" s="6">
        <f>VLOOKUP(BS175,'Item List'!$A$2:$D$300,2,FALSE)</f>
        <v>1</v>
      </c>
      <c r="BV175" s="6">
        <f>VLOOKUP(BS175,'Item List'!$A$2:$D$300,3,FALSE)</f>
        <v>3</v>
      </c>
      <c r="BW175" s="6">
        <f>VLOOKUP(BS175,'Item List'!$A$2:$D$300,4,FALSE)</f>
        <v>2</v>
      </c>
      <c r="BY175" s="140" t="s">
        <v>751</v>
      </c>
      <c r="BZ175" s="6">
        <v>10000.0</v>
      </c>
      <c r="CA175" s="140">
        <v>10000.0</v>
      </c>
      <c r="CC175" s="140" t="s">
        <v>751</v>
      </c>
      <c r="CD175" s="6">
        <v>200000.0</v>
      </c>
      <c r="CE175" s="140">
        <v>100000.0</v>
      </c>
    </row>
    <row r="176">
      <c r="B176" s="40"/>
      <c r="C176" s="41"/>
      <c r="D176" s="38"/>
      <c r="E176" s="38" t="s">
        <v>72</v>
      </c>
      <c r="F176" s="42">
        <f>2000*I175</f>
        <v>6000</v>
      </c>
      <c r="G176" s="43"/>
      <c r="H176" s="44"/>
      <c r="I176" s="45"/>
      <c r="J176" s="45"/>
      <c r="K176" s="45"/>
      <c r="L176" s="45"/>
      <c r="M176" s="45"/>
      <c r="N176" s="45"/>
      <c r="O176" s="45"/>
      <c r="P176" s="45"/>
      <c r="Q176" s="45"/>
      <c r="R176" s="45"/>
      <c r="S176" s="101"/>
      <c r="T176" s="101"/>
      <c r="U176" s="45"/>
      <c r="V176" s="45"/>
      <c r="W176" s="45"/>
      <c r="X176" s="45"/>
      <c r="Y176" s="45"/>
      <c r="Z176" s="45"/>
      <c r="AA176" s="45"/>
      <c r="AB176" s="45"/>
      <c r="AC176" s="45"/>
      <c r="AD176" s="45"/>
      <c r="AE176" s="45"/>
      <c r="AF176" s="45"/>
      <c r="AG176" s="79"/>
      <c r="AH176" s="45"/>
      <c r="AI176" s="45"/>
      <c r="AJ176" s="45"/>
      <c r="AK176" s="45"/>
      <c r="AL176" s="45"/>
      <c r="AM176" s="45"/>
      <c r="AN176" s="45"/>
      <c r="AO176" s="45"/>
      <c r="AP176" s="45"/>
      <c r="AQ176" s="45"/>
      <c r="AR176" s="45"/>
      <c r="AS176" s="45"/>
      <c r="AT176" s="79"/>
      <c r="AU176" s="45"/>
      <c r="AV176" s="45"/>
      <c r="AW176" s="45"/>
      <c r="AX176" s="45"/>
      <c r="AY176" s="45"/>
      <c r="AZ176" s="45"/>
      <c r="BA176" s="45"/>
      <c r="BB176" s="45"/>
      <c r="BC176" s="45"/>
      <c r="BD176" s="45"/>
      <c r="BE176" s="45"/>
      <c r="BF176" s="45"/>
      <c r="BG176" s="45"/>
      <c r="BH176" s="45"/>
      <c r="BI176" s="46"/>
      <c r="BK176" s="22"/>
      <c r="BS176" s="6" t="s">
        <v>243</v>
      </c>
      <c r="BT176" s="6">
        <v>2.8999999999999995</v>
      </c>
      <c r="BU176" s="6">
        <f>VLOOKUP(BS176,'Item List'!$A$2:$D$300,2,FALSE)</f>
        <v>1</v>
      </c>
      <c r="BV176" s="6">
        <f>VLOOKUP(BS176,'Item List'!$A$2:$D$300,3,FALSE)</f>
        <v>3</v>
      </c>
      <c r="BW176" s="6">
        <f>VLOOKUP(BS176,'Item List'!$A$2:$D$300,4,FALSE)</f>
        <v>2</v>
      </c>
      <c r="BY176" s="6" t="s">
        <v>752</v>
      </c>
      <c r="BZ176" s="6">
        <v>4006.0</v>
      </c>
      <c r="CA176" s="6">
        <v>10.0</v>
      </c>
      <c r="CC176" s="6" t="s">
        <v>752</v>
      </c>
      <c r="CD176" s="6">
        <v>64000.0</v>
      </c>
      <c r="CE176" s="6">
        <v>100000.0</v>
      </c>
    </row>
    <row r="177">
      <c r="B177" s="40"/>
      <c r="C177" s="41"/>
      <c r="D177" s="133"/>
      <c r="E177" s="38" t="s">
        <v>243</v>
      </c>
      <c r="F177" s="42">
        <f>2.3*I175</f>
        <v>6.9</v>
      </c>
      <c r="G177" s="43"/>
      <c r="H177" s="44"/>
      <c r="I177" s="45"/>
      <c r="J177" s="45"/>
      <c r="K177" s="45"/>
      <c r="L177" s="45"/>
      <c r="M177" s="45"/>
      <c r="N177" s="45"/>
      <c r="O177" s="45"/>
      <c r="P177" s="45"/>
      <c r="Q177" s="45"/>
      <c r="R177" s="45"/>
      <c r="S177" s="101"/>
      <c r="T177" s="101"/>
      <c r="U177" s="45"/>
      <c r="V177" s="45"/>
      <c r="W177" s="45"/>
      <c r="X177" s="45"/>
      <c r="Y177" s="45"/>
      <c r="Z177" s="45"/>
      <c r="AA177" s="45"/>
      <c r="AB177" s="45"/>
      <c r="AC177" s="45"/>
      <c r="AD177" s="45"/>
      <c r="AE177" s="45"/>
      <c r="AF177" s="45"/>
      <c r="AG177" s="79"/>
      <c r="AH177" s="45"/>
      <c r="AI177" s="45"/>
      <c r="AJ177" s="45"/>
      <c r="AK177" s="45"/>
      <c r="AL177" s="45"/>
      <c r="AM177" s="45"/>
      <c r="AN177" s="45"/>
      <c r="AO177" s="45"/>
      <c r="AP177" s="45"/>
      <c r="AQ177" s="45"/>
      <c r="AR177" s="45"/>
      <c r="AS177" s="45"/>
      <c r="AT177" s="79"/>
      <c r="AU177" s="45"/>
      <c r="AV177" s="45"/>
      <c r="AW177" s="45"/>
      <c r="AX177" s="45"/>
      <c r="AY177" s="45"/>
      <c r="AZ177" s="45"/>
      <c r="BA177" s="45"/>
      <c r="BB177" s="45"/>
      <c r="BC177" s="45"/>
      <c r="BD177" s="45"/>
      <c r="BE177" s="45"/>
      <c r="BF177" s="45"/>
      <c r="BG177" s="45"/>
      <c r="BH177" s="45"/>
      <c r="BI177" s="46"/>
      <c r="BK177" s="22"/>
      <c r="BS177" s="140" t="s">
        <v>244</v>
      </c>
      <c r="BT177" s="6">
        <v>14000.0</v>
      </c>
      <c r="BU177" s="6">
        <f>VLOOKUP(BS177,'Item List'!$A$2:$D$300,2,FALSE)</f>
        <v>1</v>
      </c>
      <c r="BV177" s="6">
        <f>VLOOKUP(BS177,'Item List'!$A$2:$D$300,3,FALSE)</f>
        <v>3</v>
      </c>
      <c r="BW177" s="6">
        <f>VLOOKUP(BS177,'Item List'!$A$2:$D$300,4,FALSE)</f>
        <v>2</v>
      </c>
      <c r="BY177" s="140" t="s">
        <v>753</v>
      </c>
      <c r="BZ177" s="6">
        <v>100.0</v>
      </c>
      <c r="CA177" s="140">
        <v>100.0</v>
      </c>
      <c r="CC177" s="140" t="s">
        <v>753</v>
      </c>
      <c r="CD177" s="6">
        <v>100000.0</v>
      </c>
      <c r="CE177" s="140">
        <v>100000.0</v>
      </c>
    </row>
    <row r="178">
      <c r="B178" s="135"/>
      <c r="C178" s="136"/>
      <c r="D178" s="137"/>
      <c r="E178" s="137"/>
      <c r="F178" s="137"/>
      <c r="G178" s="138"/>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8"/>
      <c r="AH178" s="137"/>
      <c r="AI178" s="137"/>
      <c r="AJ178" s="137"/>
      <c r="AK178" s="137"/>
      <c r="AL178" s="137"/>
      <c r="AM178" s="137"/>
      <c r="AN178" s="137"/>
      <c r="AO178" s="137"/>
      <c r="AP178" s="137"/>
      <c r="AQ178" s="137"/>
      <c r="AR178" s="137"/>
      <c r="AS178" s="137"/>
      <c r="AT178" s="138"/>
      <c r="AU178" s="137"/>
      <c r="AV178" s="137"/>
      <c r="AW178" s="137"/>
      <c r="AX178" s="137"/>
      <c r="AY178" s="137"/>
      <c r="AZ178" s="137"/>
      <c r="BA178" s="137"/>
      <c r="BB178" s="137"/>
      <c r="BC178" s="137"/>
      <c r="BD178" s="137"/>
      <c r="BE178" s="137"/>
      <c r="BF178" s="137"/>
      <c r="BG178" s="137"/>
      <c r="BH178" s="137"/>
      <c r="BI178" s="139"/>
      <c r="BK178" s="22"/>
      <c r="BS178" s="6" t="s">
        <v>245</v>
      </c>
      <c r="BT178" s="6">
        <v>-1.0</v>
      </c>
      <c r="BU178" s="6">
        <f>VLOOKUP(BS178,'Item List'!$A$2:$D$300,2,FALSE)</f>
        <v>1</v>
      </c>
      <c r="BV178" s="6">
        <f>VLOOKUP(BS178,'Item List'!$A$2:$D$300,3,FALSE)</f>
        <v>3</v>
      </c>
      <c r="BW178" s="6">
        <f>VLOOKUP(BS178,'Item List'!$A$2:$D$300,4,FALSE)</f>
        <v>2</v>
      </c>
      <c r="BY178" s="140" t="s">
        <v>754</v>
      </c>
      <c r="BZ178" s="6">
        <v>4006.0</v>
      </c>
      <c r="CA178" s="140">
        <v>10.0</v>
      </c>
      <c r="CC178" s="140" t="s">
        <v>754</v>
      </c>
      <c r="CD178" s="6">
        <v>64000.0</v>
      </c>
      <c r="CE178" s="140">
        <v>100000.0</v>
      </c>
    </row>
    <row r="179">
      <c r="B179" s="141" t="s">
        <v>742</v>
      </c>
      <c r="C179" s="142"/>
      <c r="D179" s="143"/>
      <c r="E179" s="143"/>
      <c r="F179" s="144"/>
      <c r="G179" s="145"/>
      <c r="H179" s="146" t="s">
        <v>349</v>
      </c>
      <c r="I179" s="147">
        <f>VLOOKUP(H179,'Machine List'!$A$1:$I$300,9,FALSE)</f>
        <v>4000</v>
      </c>
      <c r="J179" s="147">
        <f>IF(VLOOKUP(H179,'Machine List'!$A$1:$I$300,5,FALSE)="Multi",IF(VLOOKUP(H179,'Machine List'!$A$1:$I$300,6,FALSE)="Yes",AI179*3*10^AB179,AI179*(2*3)*10^(AB179-1)),0)</f>
        <v>6</v>
      </c>
      <c r="K179" s="147">
        <f>J179+IF(ISNUMBER(I179),I179,
  SWITCH(
      I179,
      "1T",1*10^AB179,
      "2T",2*10^AB179,
      "3T",3*10^AB179,
      "4T",4*10^AB179,
      "4000+500(7O-5)",4000+500*(7*I180-5),
      "13500 + 16C",13500+16*VLOOKUP(J181,'Machine Helper Sheet'!$G$1:$K$16,5,FALSE),
      1
  )
)</f>
        <v>4006</v>
      </c>
      <c r="L179" s="147">
        <f>IF(VLOOKUP(H179,'Machine List'!$A$1:$I$300,5,FALSE)="Multi",IF(VLOOKUP(H179,'Machine List'!$A$1:$I$300,6,FALSE)="Yes",AW179*3*10^AV179,AW179*(2*3)*10^(AV179-1)),0)</f>
        <v>60000</v>
      </c>
      <c r="M179" s="147">
        <f>L179+IF(ISNUMBER(I179),I179,
  SWITCH(
      I179,
      "1T",1*10^AV179,
      "2T",2*10^AV179,
      "3T",3*10^AV179,
      "4T",4*10^AV179,
      "4000+500(7O-5)",4000+500*(7*I180-5),
      1
  )
)</f>
        <v>64000</v>
      </c>
      <c r="N179" s="147" t="str">
        <f>VLOOKUP(H179,'Machine List'!$A$1:$I$300,8,FALSE)</f>
        <v>Tier</v>
      </c>
      <c r="O179" s="147">
        <f>IF(ISNUMBER(N179),N179,10^AB179)</f>
        <v>10</v>
      </c>
      <c r="P179" s="147">
        <f>IF(ISNUMBER(N179),N179,10^AV179)</f>
        <v>100000</v>
      </c>
      <c r="Q179" s="147">
        <f>VLOOKUP(H179,'Machine List'!$A$1:$B$138,2,FALSE)</f>
        <v>1</v>
      </c>
      <c r="R179" s="147" t="s">
        <v>594</v>
      </c>
      <c r="S179" s="143">
        <f>IF(ISNUMBER(Q179),Q179,
  SWITCH(
      Q179,
      "1",1,
      "2T",AB179*2,
      "4T",AB179*4,
      "6T",AB179*6,
      "8T",AB179*8,
      "10T",AB179*10,
      "12T",AB179*12,
      "14T",AB179*14,
      "16T",AB179*16,
      "24T",AB179*24,
      "2(T+1)",2*(AB179+1),
      "1T*C",AB179*J181,
      "2*P",L181*2,
      1
  )
)</f>
        <v>1</v>
      </c>
      <c r="T179" s="38" t="s">
        <v>277</v>
      </c>
      <c r="U179" s="147">
        <f>IF(OR(T179="No",T179=""),S179,T179)</f>
        <v>1</v>
      </c>
      <c r="V179" s="147">
        <f>IF(ISNUMBER(Q179),Q179,
  SWITCH(
      Q179,
      "1",1,
      "2T",AV179*2,
      "4T",AV179*4,
      "6T",AV179*6,
      "8T",AV179*8,
      "10T",AV179*10,
      "12T",AV179*12,
      "14T",AV179*14,
      "16T",AV179*16,
      "24T",AV179*24,
      "2(T+1)",2*(AV179+1),
      "1T*C",AV179*J181,
      "2*P",L181*2,
      1
  )
)</f>
        <v>1</v>
      </c>
      <c r="W179" s="147" t="str">
        <f>T179</f>
        <v>No</v>
      </c>
      <c r="X179" s="147">
        <f>IF(OR(W179="No",W179=""),V179,W179)</f>
        <v>1</v>
      </c>
      <c r="Y179" s="38">
        <f>VLOOKUP(H179,'Machine List'!$A$1:$C$138,3,FALSE)</f>
        <v>1</v>
      </c>
      <c r="Z179" s="38">
        <f>VLOOKUP(H179,'Machine List'!$A$1:$D$138,4,FALSE)</f>
        <v>1</v>
      </c>
      <c r="AA179" s="147" t="s">
        <v>390</v>
      </c>
      <c r="AB179" s="147">
        <f>VLOOKUP(AA179,'Item Helper Sheet'!$A$2:$B$16,2,FALSE)</f>
        <v>1</v>
      </c>
      <c r="AC179" s="147">
        <v>7.0</v>
      </c>
      <c r="AD179" s="147">
        <f>3*20</f>
        <v>60</v>
      </c>
      <c r="AE179" s="147">
        <f>AD179*I181</f>
        <v>11400</v>
      </c>
      <c r="AF179" s="147">
        <f>AC179*AE179</f>
        <v>79800</v>
      </c>
      <c r="AG179" s="148"/>
      <c r="AH179" s="147" t="str">
        <f>AA179</f>
        <v>01 - LV</v>
      </c>
      <c r="AI179" s="147">
        <v>1.0</v>
      </c>
      <c r="AJ179" s="147">
        <v>1.0</v>
      </c>
      <c r="AK179" s="147">
        <f>AJ179*8*4^AB179</f>
        <v>32</v>
      </c>
      <c r="AL179" s="147">
        <f>MIN(ROUNDDOWN(AK179/AN179,0),U179)</f>
        <v>1</v>
      </c>
      <c r="AM179" s="147">
        <f>IF(OR(T179="No",T179=""),AI179*S179,AI179*T179)</f>
        <v>1</v>
      </c>
      <c r="AN179" s="147">
        <f>ROUNDUP(AC179*VLOOKUP(H179,'Machine List'!$A$2:$D$219,4,FALSE),0)</f>
        <v>7</v>
      </c>
      <c r="AO179" s="147">
        <f>AN179*AM179</f>
        <v>7</v>
      </c>
      <c r="AP179" s="147">
        <f>ROUNDUP(AD179*I181,0)</f>
        <v>11400</v>
      </c>
      <c r="AQ179" s="38">
        <f>IF(ISNUMBER(Y179),ROUNDUP(AP179/Y179,0),
  SWITCH(
      Y179,
      "1+0.5C",ROUNDUP(AP179/(1+0.5*VLOOKUP(J181,'Machine Helper Sheet'!$G$1:$K$16,2,FALSE)),0),
      ROUNDUP(AP179/1,0)
  )
)</f>
        <v>11400</v>
      </c>
      <c r="AR179" s="147">
        <f>ROUNDUP(AQ179/AM179,0)</f>
        <v>11400</v>
      </c>
      <c r="AS179" s="147">
        <f>AO179*AR179</f>
        <v>79800</v>
      </c>
      <c r="AT179" s="148"/>
      <c r="AU179" s="147" t="s">
        <v>405</v>
      </c>
      <c r="AV179" s="147">
        <f>VLOOKUP(AU179,'Item Helper Sheet'!$A$2:$B$16,2,FALSE)</f>
        <v>5</v>
      </c>
      <c r="AW179" s="147">
        <f>AI179</f>
        <v>1</v>
      </c>
      <c r="AX179" s="147">
        <v>1.0</v>
      </c>
      <c r="AY179" s="147">
        <f>AX179*8*4^AV179</f>
        <v>8192</v>
      </c>
      <c r="AZ179" s="147">
        <f>MIN(ROUNDDOWN(AY179/AN179,0),X179)</f>
        <v>1</v>
      </c>
      <c r="BA179" s="147">
        <f>AZ179*AW179</f>
        <v>1</v>
      </c>
      <c r="BB179" s="147">
        <f>AN179</f>
        <v>7</v>
      </c>
      <c r="BC179" s="147">
        <f>MIN(AV179-AB179,IF(AY179&gt;=BB180*4,
IF(AY179&gt;=BB180*4^2,
IF(AY179&gt;=BB180*4^3,
IF(AY179&gt;=BB180*4^4,
IF(AY179&gt;=BB180*4^5,
IF(AY179&gt;=BB180*4^6,
IF(AY179&gt;=BB180*4^7,
IF(AY179&gt;=BB180*4^8,
IF(AY179&gt;=BB180*4^9,
IF(AY179&gt;=BB180*4^10,
9),
8),
7),
6),
5),
4),
3),
2),
1),
0))</f>
        <v>4</v>
      </c>
      <c r="BD179" s="147">
        <f>BB179*AZ179*4^BC179</f>
        <v>1792</v>
      </c>
      <c r="BE179" s="147">
        <f>BD179*AW179</f>
        <v>1792</v>
      </c>
      <c r="BF179" s="143">
        <f>ROUNDUP(IF(R179="Yes",AP179/(2^((BC179)*2)),AP179/(2^(BC179))),0)</f>
        <v>45</v>
      </c>
      <c r="BG179" s="45">
        <f>IF(ISNUMBER(Y179),ROUNDUP(BF179/Y179,0),
  SWITCH(
      Y179,
      "1+0.5C",ROUNDUP(BF179/(1+0.5*VLOOKUP(J181,'Machine Helper Sheet'!$G$1:$K$16,2,FALSE)),0),
      ROUNDUP(BF179/1,0)
  )
)</f>
        <v>45</v>
      </c>
      <c r="BH179" s="143">
        <f>ROUNDUP(BG179/BA179,0)</f>
        <v>45</v>
      </c>
      <c r="BI179" s="149">
        <f>BH179*BE179</f>
        <v>80640</v>
      </c>
      <c r="BK179" s="22"/>
      <c r="BS179" s="140" t="s">
        <v>248</v>
      </c>
      <c r="BT179" s="140">
        <v>99000.0</v>
      </c>
      <c r="BU179" s="6">
        <f>VLOOKUP(BS179,'Item List'!$A$2:$D$300,2,FALSE)</f>
        <v>0</v>
      </c>
      <c r="BV179" s="6">
        <f>VLOOKUP(BS179,'Item List'!$A$2:$D$300,3,FALSE)</f>
        <v>5</v>
      </c>
      <c r="BW179" s="6">
        <f>VLOOKUP(BS179,'Item List'!$A$2:$D$300,4,FALSE)</f>
        <v>0</v>
      </c>
      <c r="BY179" s="140" t="s">
        <v>755</v>
      </c>
      <c r="BZ179" s="6">
        <v>7000.0</v>
      </c>
      <c r="CA179" s="140">
        <v>10000.0</v>
      </c>
      <c r="CC179" s="140" t="s">
        <v>755</v>
      </c>
      <c r="CD179" s="6">
        <v>61000.0</v>
      </c>
      <c r="CE179" s="140">
        <v>100000.0</v>
      </c>
    </row>
    <row r="180">
      <c r="B180" s="150"/>
      <c r="C180" s="151" t="s">
        <v>87</v>
      </c>
      <c r="D180" s="147">
        <f>1000*I181</f>
        <v>190000</v>
      </c>
      <c r="E180" s="147" t="s">
        <v>86</v>
      </c>
      <c r="F180" s="152">
        <f>1000*I181</f>
        <v>190000</v>
      </c>
      <c r="G180" s="138"/>
      <c r="H180" s="153" t="s">
        <v>584</v>
      </c>
      <c r="I180" s="143">
        <f t="array" ref="I180">match(TRUE,ISBLANK(F180:F192),0)-1</f>
        <v>1</v>
      </c>
      <c r="J180" s="154" t="s">
        <v>420</v>
      </c>
      <c r="K180" s="154" t="s">
        <v>585</v>
      </c>
      <c r="L180" s="100" t="s">
        <v>704</v>
      </c>
      <c r="M180" s="147"/>
      <c r="N180" s="147"/>
      <c r="O180" s="147"/>
      <c r="P180" s="147"/>
      <c r="Q180" s="147"/>
      <c r="R180" s="155"/>
      <c r="S180" s="155"/>
      <c r="T180" s="155"/>
      <c r="U180" s="143"/>
      <c r="V180" s="143"/>
      <c r="W180" s="143"/>
      <c r="X180" s="143"/>
      <c r="Y180" s="143"/>
      <c r="Z180" s="143"/>
      <c r="AA180" s="143"/>
      <c r="AB180" s="143"/>
      <c r="AC180" s="143"/>
      <c r="AD180" s="143"/>
      <c r="AE180" s="143"/>
      <c r="AF180" s="143"/>
      <c r="AG180" s="156"/>
      <c r="AH180" s="143"/>
      <c r="AI180" s="143"/>
      <c r="AJ180" s="143"/>
      <c r="AK180" s="143"/>
      <c r="AL180" s="143"/>
      <c r="AM180" s="143"/>
      <c r="AN180" s="143"/>
      <c r="AO180" s="143"/>
      <c r="AP180" s="143"/>
      <c r="AQ180" s="143"/>
      <c r="AR180" s="143"/>
      <c r="AS180" s="143"/>
      <c r="AT180" s="156"/>
      <c r="AU180" s="143"/>
      <c r="AV180" s="143"/>
      <c r="AW180" s="143"/>
      <c r="AX180" s="143"/>
      <c r="AY180" s="143"/>
      <c r="AZ180" s="143"/>
      <c r="BA180" s="143"/>
      <c r="BB180" s="143">
        <f>BB179*AZ179</f>
        <v>7</v>
      </c>
      <c r="BC180" s="143"/>
      <c r="BD180" s="143"/>
      <c r="BE180" s="143"/>
      <c r="BF180" s="143"/>
      <c r="BG180" s="143"/>
      <c r="BH180" s="143"/>
      <c r="BI180" s="149"/>
      <c r="BK180" s="22"/>
      <c r="BS180" s="140" t="s">
        <v>256</v>
      </c>
      <c r="BT180" s="140">
        <v>-2.0</v>
      </c>
      <c r="BU180" s="6">
        <f>VLOOKUP(BS180,'Item List'!$A$2:$D$300,2,FALSE)</f>
        <v>1</v>
      </c>
      <c r="BV180" s="6">
        <f>VLOOKUP(BS180,'Item List'!$A$2:$D$300,3,FALSE)</f>
        <v>3</v>
      </c>
      <c r="BW180" s="6">
        <f>VLOOKUP(BS180,'Item List'!$A$2:$D$300,4,FALSE)</f>
        <v>2</v>
      </c>
      <c r="BY180" s="140" t="s">
        <v>756</v>
      </c>
      <c r="BZ180" s="6">
        <v>1000.0</v>
      </c>
      <c r="CA180" s="140">
        <v>1000.0</v>
      </c>
      <c r="CC180" s="140" t="s">
        <v>756</v>
      </c>
      <c r="CD180" s="6">
        <v>100000.0</v>
      </c>
      <c r="CE180" s="140">
        <v>100000.0</v>
      </c>
    </row>
    <row r="181">
      <c r="B181" s="150"/>
      <c r="C181" s="151" t="s">
        <v>72</v>
      </c>
      <c r="D181" s="147">
        <f>1000*I181</f>
        <v>190000</v>
      </c>
      <c r="E181" s="147"/>
      <c r="F181" s="152"/>
      <c r="G181" s="138"/>
      <c r="H181" s="157" t="s">
        <v>502</v>
      </c>
      <c r="I181" s="158">
        <v>190.0</v>
      </c>
      <c r="J181" s="154" t="s">
        <v>424</v>
      </c>
      <c r="K181" s="154">
        <v>0.0</v>
      </c>
      <c r="L181" s="100">
        <v>0.0</v>
      </c>
      <c r="M181" s="143"/>
      <c r="N181" s="143"/>
      <c r="O181" s="143"/>
      <c r="P181" s="143"/>
      <c r="Q181" s="143"/>
      <c r="R181" s="143"/>
      <c r="S181" s="155"/>
      <c r="T181" s="155"/>
      <c r="U181" s="143"/>
      <c r="V181" s="143"/>
      <c r="W181" s="143"/>
      <c r="X181" s="143"/>
      <c r="Y181" s="143"/>
      <c r="Z181" s="143"/>
      <c r="AA181" s="143"/>
      <c r="AB181" s="143"/>
      <c r="AC181" s="143"/>
      <c r="AD181" s="143"/>
      <c r="AE181" s="143"/>
      <c r="AF181" s="143"/>
      <c r="AG181" s="156"/>
      <c r="AH181" s="143"/>
      <c r="AI181" s="143"/>
      <c r="AJ181" s="143"/>
      <c r="AK181" s="143"/>
      <c r="AL181" s="143"/>
      <c r="AM181" s="143"/>
      <c r="AN181" s="143"/>
      <c r="AO181" s="143"/>
      <c r="AP181" s="143"/>
      <c r="AQ181" s="143"/>
      <c r="AR181" s="143"/>
      <c r="AS181" s="143"/>
      <c r="AT181" s="156"/>
      <c r="AU181" s="143"/>
      <c r="AV181" s="143"/>
      <c r="AW181" s="143"/>
      <c r="AX181" s="143"/>
      <c r="AY181" s="143"/>
      <c r="AZ181" s="143"/>
      <c r="BA181" s="143"/>
      <c r="BB181" s="143"/>
      <c r="BC181" s="143"/>
      <c r="BD181" s="143"/>
      <c r="BE181" s="143"/>
      <c r="BF181" s="143"/>
      <c r="BG181" s="143"/>
      <c r="BH181" s="143"/>
      <c r="BI181" s="149"/>
      <c r="BK181" s="22"/>
      <c r="BS181" s="140" t="s">
        <v>257</v>
      </c>
      <c r="BT181" s="140">
        <v>0.0</v>
      </c>
      <c r="BU181" s="6">
        <f>VLOOKUP(BS181,'Item List'!$A$2:$D$300,2,FALSE)</f>
        <v>1</v>
      </c>
      <c r="BV181" s="6">
        <f>VLOOKUP(BS181,'Item List'!$A$2:$D$300,3,FALSE)</f>
        <v>3</v>
      </c>
      <c r="BW181" s="6">
        <f>VLOOKUP(BS181,'Item List'!$A$2:$D$300,4,FALSE)</f>
        <v>2</v>
      </c>
      <c r="BY181" s="140" t="s">
        <v>757</v>
      </c>
      <c r="BZ181" s="6">
        <v>10.0</v>
      </c>
      <c r="CA181" s="140">
        <v>10.0</v>
      </c>
      <c r="CC181" s="140" t="s">
        <v>757</v>
      </c>
      <c r="CD181" s="6">
        <v>100000.0</v>
      </c>
      <c r="CE181" s="140">
        <v>100000.0</v>
      </c>
    </row>
    <row r="182">
      <c r="B182" s="135"/>
      <c r="C182" s="136"/>
      <c r="D182" s="137"/>
      <c r="E182" s="137"/>
      <c r="F182" s="137"/>
      <c r="G182" s="138"/>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8"/>
      <c r="AH182" s="137"/>
      <c r="AI182" s="137"/>
      <c r="AJ182" s="137"/>
      <c r="AK182" s="137"/>
      <c r="AL182" s="137"/>
      <c r="AM182" s="137"/>
      <c r="AN182" s="137"/>
      <c r="AO182" s="137"/>
      <c r="AP182" s="137"/>
      <c r="AQ182" s="137"/>
      <c r="AR182" s="137"/>
      <c r="AS182" s="137"/>
      <c r="AT182" s="138"/>
      <c r="AU182" s="137"/>
      <c r="AV182" s="137"/>
      <c r="AW182" s="137"/>
      <c r="AX182" s="137"/>
      <c r="AY182" s="137"/>
      <c r="AZ182" s="137"/>
      <c r="BA182" s="137"/>
      <c r="BB182" s="137"/>
      <c r="BC182" s="137"/>
      <c r="BD182" s="137"/>
      <c r="BE182" s="137"/>
      <c r="BF182" s="137"/>
      <c r="BG182" s="137"/>
      <c r="BH182" s="137"/>
      <c r="BI182" s="139"/>
      <c r="BK182" s="22"/>
      <c r="BS182" s="140" t="s">
        <v>258</v>
      </c>
      <c r="BT182" s="140">
        <v>0.0</v>
      </c>
      <c r="BU182" s="6">
        <f>VLOOKUP(BS182,'Item List'!$A$2:$D$300,2,FALSE)</f>
        <v>1</v>
      </c>
      <c r="BV182" s="6">
        <f>VLOOKUP(BS182,'Item List'!$A$2:$D$300,3,FALSE)</f>
        <v>3</v>
      </c>
      <c r="BW182" s="6">
        <f>VLOOKUP(BS182,'Item List'!$A$2:$D$300,4,FALSE)</f>
        <v>2</v>
      </c>
      <c r="BY182" s="140" t="s">
        <v>758</v>
      </c>
      <c r="BZ182" s="6">
        <v>10.0</v>
      </c>
      <c r="CA182" s="140">
        <v>10.0</v>
      </c>
      <c r="CC182" s="140" t="s">
        <v>758</v>
      </c>
      <c r="CD182" s="6">
        <v>100000.0</v>
      </c>
      <c r="CE182" s="140">
        <v>100000.0</v>
      </c>
    </row>
    <row r="183">
      <c r="B183" s="141" t="s">
        <v>743</v>
      </c>
      <c r="C183" s="142"/>
      <c r="D183" s="143"/>
      <c r="E183" s="143"/>
      <c r="F183" s="144"/>
      <c r="G183" s="145"/>
      <c r="H183" s="146" t="s">
        <v>376</v>
      </c>
      <c r="I183" s="147" t="str">
        <f>VLOOKUP(H183,'Machine List'!$A$1:$I$300,9,FALSE)</f>
        <v>1T</v>
      </c>
      <c r="J183" s="147">
        <f>IF(VLOOKUP(H183,'Machine List'!$A$1:$I$300,5,FALSE)="Multi",IF(VLOOKUP(H183,'Machine List'!$A$1:$I$300,6,FALSE)="Yes",AI183*3*10^AB183,AI183*(2*3)*10^(AB183-1)),0)</f>
        <v>600</v>
      </c>
      <c r="K183" s="147">
        <f>J183+IF(ISNUMBER(I183),I183,
  SWITCH(
      I183,
      "1T",1*10^AB183,
      "2T",2*10^AB183,
      "3T",3*10^AB183,
      "4T",4*10^AB183,
      "4000+500(7O-5)",4000+500*(7*I184-5),
      "13500 + 16C",13500+16*VLOOKUP(J185,'Machine Helper Sheet'!$G$1:$K$16,5,FALSE),
      1
  )
)</f>
        <v>1600</v>
      </c>
      <c r="L183" s="147">
        <f>IF(VLOOKUP(H183,'Machine List'!$A$1:$I$300,5,FALSE)="Multi",IF(VLOOKUP(H183,'Machine List'!$A$1:$I$300,6,FALSE)="Yes",AW183*3*10^AV183,AW183*(2*3)*10^(AV183-1)),0)</f>
        <v>60000</v>
      </c>
      <c r="M183" s="147">
        <f>L183+IF(ISNUMBER(I183),I183,
  SWITCH(
      I183,
      "1T",1*10^AV183,
      "2T",2*10^AV183,
      "3T",3*10^AV183,
      "4T",4*10^AV183,
      "4000+500(7O-5)",4000+500*(7*I184-5),
      1
  )
)</f>
        <v>160000</v>
      </c>
      <c r="N183" s="147" t="str">
        <f>VLOOKUP(H183,'Machine List'!$A$1:$I$300,8,FALSE)</f>
        <v>Tier</v>
      </c>
      <c r="O183" s="147">
        <f>IF(ISNUMBER(N183),N183,10^AB183)</f>
        <v>1000</v>
      </c>
      <c r="P183" s="147">
        <f>IF(ISNUMBER(N183),N183,10^AV183)</f>
        <v>100000</v>
      </c>
      <c r="Q183" s="147" t="str">
        <f>VLOOKUP(H183,'Machine List'!$A$1:$B$138,2,FALSE)</f>
        <v>2*P</v>
      </c>
      <c r="R183" s="147" t="s">
        <v>277</v>
      </c>
      <c r="S183" s="45">
        <f>IF(ISNUMBER(Q183),Q183,
  SWITCH(
      Q183,
      "1",1,
      "2T",AB183*2,
      "4T",AB183*4,
      "6T",AB183*6,
      "8T",AB183*8,
      "10T",AB183*10,
      "12T",AB183*12,
      "14T",AB183*14,
      "16T",AB183*16,
      "24T",AB183*24,
      "2(T+1)",2*(AB183+1),
      "1T*C",AB183*J185,
      "2*P",L185*2,
      1
  )
)</f>
        <v>2</v>
      </c>
      <c r="T183" s="38" t="s">
        <v>277</v>
      </c>
      <c r="U183" s="38">
        <f>IF(OR(T183="No",T183=""),S183,T183)</f>
        <v>2</v>
      </c>
      <c r="V183" s="38">
        <f>IF(ISNUMBER(Q183),Q183,
  SWITCH(
      Q183,
      "1",1,
      "2T",AV183*2,
      "4T",AV183*4,
      "6T",AV183*6,
      "8T",AV183*8,
      "10T",AV183*10,
      "12T",AV183*12,
      "14T",AV183*14,
      "16T",AV183*16,
      "24T",AV183*24,
      "2(T+1)",2*(AV183+1),
      "1T*C",AV183*J185,
      "2*P",L185*2,
      1
  )
)</f>
        <v>2</v>
      </c>
      <c r="W183" s="147" t="str">
        <f>T183</f>
        <v>No</v>
      </c>
      <c r="X183" s="147">
        <f>IF(OR(W183="No",W183=""),V183,W183)</f>
        <v>2</v>
      </c>
      <c r="Y183" s="38" t="str">
        <f>VLOOKUP(H183,'Machine List'!$A$1:$C$138,3,FALSE)</f>
        <v>1+0.5C</v>
      </c>
      <c r="Z183" s="38">
        <f>VLOOKUP(H183,'Machine List'!$A$1:$D$138,4,FALSE)</f>
        <v>1</v>
      </c>
      <c r="AA183" s="147" t="s">
        <v>397</v>
      </c>
      <c r="AB183" s="147">
        <f>VLOOKUP(AA183,'Item Helper Sheet'!$A$2:$B$16,2,FALSE)</f>
        <v>3</v>
      </c>
      <c r="AC183" s="147">
        <v>480.0</v>
      </c>
      <c r="AD183" s="147">
        <f>30*20</f>
        <v>600</v>
      </c>
      <c r="AE183" s="147">
        <f>AD183*I185</f>
        <v>22800</v>
      </c>
      <c r="AF183" s="147">
        <f>AC183*AE183</f>
        <v>10944000</v>
      </c>
      <c r="AG183" s="148"/>
      <c r="AH183" s="147" t="str">
        <f>AA183</f>
        <v>03 - HV</v>
      </c>
      <c r="AI183" s="147">
        <v>1.0</v>
      </c>
      <c r="AJ183" s="147">
        <v>1.0</v>
      </c>
      <c r="AK183" s="147">
        <f>AJ183*8*4^AB183</f>
        <v>512</v>
      </c>
      <c r="AL183" s="147">
        <f>MIN(ROUNDDOWN(AK183/AN183,0),U183)</f>
        <v>1</v>
      </c>
      <c r="AM183" s="147">
        <f>IF(OR(T183="No",T183=""),AI183*S183,AI183*T183)</f>
        <v>2</v>
      </c>
      <c r="AN183" s="147">
        <f>ROUNDUP(AC183*VLOOKUP(H183,'Machine List'!$A$2:$D$219,4,FALSE),0)</f>
        <v>480</v>
      </c>
      <c r="AO183" s="147">
        <f>AN183*AM183</f>
        <v>960</v>
      </c>
      <c r="AP183" s="147">
        <f>ROUNDUP(AD183*I185,0)</f>
        <v>22800</v>
      </c>
      <c r="AQ183" s="38">
        <f>IF(ISNUMBER(Y183),ROUNDUP(AP183/Y183,0),
  SWITCH(
      Y183,
      "1+0.5C",ROUNDUP(AP183/(1+0.5*VLOOKUP(J185,'Machine Helper Sheet'!$G$1:$K$16,2,FALSE)),0),
      ROUNDUP(AP183/1,0)
  )
)</f>
        <v>15200</v>
      </c>
      <c r="AR183" s="147">
        <f>ROUNDUP(AQ183/AM183,0)</f>
        <v>7600</v>
      </c>
      <c r="AS183" s="147">
        <f>AO183*AR183</f>
        <v>7296000</v>
      </c>
      <c r="AT183" s="148"/>
      <c r="AU183" s="147" t="s">
        <v>405</v>
      </c>
      <c r="AV183" s="147">
        <f>VLOOKUP(AU183,'Item Helper Sheet'!$A$2:$B$16,2,FALSE)</f>
        <v>5</v>
      </c>
      <c r="AW183" s="147">
        <f>AI183</f>
        <v>1</v>
      </c>
      <c r="AX183" s="147">
        <v>1.0</v>
      </c>
      <c r="AY183" s="147">
        <f>AX183*8*4^AV183</f>
        <v>8192</v>
      </c>
      <c r="AZ183" s="147">
        <f>MIN(ROUNDDOWN(AY183/AN183,0),X183)</f>
        <v>2</v>
      </c>
      <c r="BA183" s="147">
        <f>AZ183*AW183</f>
        <v>2</v>
      </c>
      <c r="BB183" s="147">
        <f>AN183</f>
        <v>480</v>
      </c>
      <c r="BC183" s="147">
        <f>MIN(AV183-AB183,IF(AY183&gt;=BB184*4,
IF(AY183&gt;=BB184*4^2,
IF(AY183&gt;=BB184*4^3,
IF(AY183&gt;=BB184*4^4,
IF(AY183&gt;=BB184*4^5,
IF(AY183&gt;=BB184*4^6,
IF(AY183&gt;=BB184*4^7,
IF(AY183&gt;=BB184*4^8,
IF(AY183&gt;=BB184*4^9,
IF(AY183&gt;=BB184*4^10,
9),
8),
7),
6),
5),
4),
3),
2),
1),
0))</f>
        <v>1</v>
      </c>
      <c r="BD183" s="147">
        <f>BB183*AZ183*4^BC183</f>
        <v>3840</v>
      </c>
      <c r="BE183" s="147">
        <f>BD183*AW183</f>
        <v>3840</v>
      </c>
      <c r="BF183" s="143">
        <f>ROUNDUP(IF(R183="Yes",AP183/(2^((BC183)*2)),AP183/(2^(BC183))),0)</f>
        <v>11400</v>
      </c>
      <c r="BG183" s="45">
        <f>IF(ISNUMBER(Y183),ROUNDUP(BF183/Y183,0),
  SWITCH(
      Y183,
      "1+0.5C",ROUNDUP(BF183/(1+0.5*VLOOKUP(J185,'Machine Helper Sheet'!$G$1:$K$16,2,FALSE)),0),
      ROUNDUP(BF183/1,0)
  )
)</f>
        <v>7600</v>
      </c>
      <c r="BH183" s="143">
        <f>ROUNDUP(BG183/BA183,0)</f>
        <v>3800</v>
      </c>
      <c r="BI183" s="149">
        <f>BH183*BE183</f>
        <v>14592000</v>
      </c>
      <c r="BK183" s="22"/>
      <c r="BS183" s="140" t="s">
        <v>259</v>
      </c>
      <c r="BT183" s="140">
        <v>0.0</v>
      </c>
      <c r="BU183" s="6">
        <f>VLOOKUP(BS183,'Item List'!$A$2:$D$300,2,FALSE)</f>
        <v>1</v>
      </c>
      <c r="BV183" s="6">
        <f>VLOOKUP(BS183,'Item List'!$A$2:$D$300,3,FALSE)</f>
        <v>3</v>
      </c>
      <c r="BW183" s="6">
        <f>VLOOKUP(BS183,'Item List'!$A$2:$D$300,4,FALSE)</f>
        <v>2</v>
      </c>
      <c r="BY183" s="6" t="s">
        <v>759</v>
      </c>
      <c r="BZ183" s="6">
        <v>160000.0</v>
      </c>
      <c r="CA183" s="6">
        <v>100000.0</v>
      </c>
      <c r="CC183" s="6" t="s">
        <v>759</v>
      </c>
      <c r="CD183" s="6">
        <v>1360000.0</v>
      </c>
      <c r="CE183" s="6">
        <v>100000.0</v>
      </c>
    </row>
    <row r="184">
      <c r="B184" s="150"/>
      <c r="C184" s="151" t="s">
        <v>91</v>
      </c>
      <c r="D184" s="147">
        <f>2000*I185</f>
        <v>76000</v>
      </c>
      <c r="E184" s="147" t="s">
        <v>91</v>
      </c>
      <c r="F184" s="152">
        <f>4500*I185</f>
        <v>171000</v>
      </c>
      <c r="G184" s="138"/>
      <c r="H184" s="153" t="s">
        <v>584</v>
      </c>
      <c r="I184" s="143">
        <f t="array" ref="I184">match(TRUE,ISBLANK(F184:F196),0)-1</f>
        <v>1</v>
      </c>
      <c r="J184" s="154" t="s">
        <v>420</v>
      </c>
      <c r="K184" s="154" t="s">
        <v>585</v>
      </c>
      <c r="L184" s="100" t="s">
        <v>704</v>
      </c>
      <c r="M184" s="147"/>
      <c r="N184" s="147"/>
      <c r="O184" s="147"/>
      <c r="P184" s="147"/>
      <c r="Q184" s="147"/>
      <c r="R184" s="155"/>
      <c r="S184" s="155"/>
      <c r="T184" s="155"/>
      <c r="U184" s="143"/>
      <c r="V184" s="143"/>
      <c r="W184" s="143"/>
      <c r="X184" s="143"/>
      <c r="Y184" s="143"/>
      <c r="Z184" s="143"/>
      <c r="AA184" s="143"/>
      <c r="AB184" s="143"/>
      <c r="AC184" s="143"/>
      <c r="AD184" s="143"/>
      <c r="AE184" s="143"/>
      <c r="AF184" s="143"/>
      <c r="AG184" s="156"/>
      <c r="AH184" s="143"/>
      <c r="AI184" s="143"/>
      <c r="AJ184" s="143"/>
      <c r="AK184" s="143"/>
      <c r="AL184" s="143"/>
      <c r="AM184" s="143"/>
      <c r="AN184" s="143"/>
      <c r="AO184" s="143"/>
      <c r="AP184" s="143"/>
      <c r="AQ184" s="143"/>
      <c r="AR184" s="143"/>
      <c r="AS184" s="143"/>
      <c r="AT184" s="156"/>
      <c r="AU184" s="143"/>
      <c r="AV184" s="143"/>
      <c r="AW184" s="143"/>
      <c r="AX184" s="143"/>
      <c r="AY184" s="143"/>
      <c r="AZ184" s="143"/>
      <c r="BA184" s="143"/>
      <c r="BB184" s="143">
        <f>BB183*AZ183</f>
        <v>960</v>
      </c>
      <c r="BC184" s="143"/>
      <c r="BD184" s="143"/>
      <c r="BE184" s="143"/>
      <c r="BF184" s="143"/>
      <c r="BG184" s="143"/>
      <c r="BH184" s="143"/>
      <c r="BI184" s="149"/>
      <c r="BK184" s="22"/>
      <c r="BS184" s="6" t="s">
        <v>260</v>
      </c>
      <c r="BT184" s="140">
        <v>-1080.0</v>
      </c>
      <c r="BU184" s="6">
        <f>VLOOKUP(BS184,'Item List'!$A$2:$D$300,2,FALSE)</f>
        <v>1</v>
      </c>
      <c r="BV184" s="6">
        <f>VLOOKUP(BS184,'Item List'!$A$2:$D$300,3,FALSE)</f>
        <v>3</v>
      </c>
      <c r="BW184" s="6">
        <f>VLOOKUP(BS184,'Item List'!$A$2:$D$300,4,FALSE)</f>
        <v>2</v>
      </c>
      <c r="BY184" s="140" t="s">
        <v>760</v>
      </c>
      <c r="BZ184" s="6">
        <v>1000.0</v>
      </c>
      <c r="CA184" s="140">
        <v>1000.0</v>
      </c>
      <c r="CC184" s="140" t="s">
        <v>760</v>
      </c>
      <c r="CD184" s="6">
        <v>100000.0</v>
      </c>
      <c r="CE184" s="140">
        <v>100000.0</v>
      </c>
    </row>
    <row r="185">
      <c r="B185" s="150"/>
      <c r="C185" s="151" t="s">
        <v>86</v>
      </c>
      <c r="D185" s="147">
        <f>5000*I185</f>
        <v>190000</v>
      </c>
      <c r="E185" s="147"/>
      <c r="F185" s="152"/>
      <c r="G185" s="138"/>
      <c r="H185" s="157" t="s">
        <v>502</v>
      </c>
      <c r="I185" s="158">
        <v>38.0</v>
      </c>
      <c r="J185" s="154" t="s">
        <v>427</v>
      </c>
      <c r="K185" s="154">
        <v>0.0</v>
      </c>
      <c r="L185" s="100">
        <v>1.0</v>
      </c>
      <c r="M185" s="143"/>
      <c r="N185" s="143"/>
      <c r="O185" s="143"/>
      <c r="P185" s="143"/>
      <c r="Q185" s="143"/>
      <c r="R185" s="143"/>
      <c r="S185" s="155"/>
      <c r="T185" s="155"/>
      <c r="U185" s="143"/>
      <c r="V185" s="143"/>
      <c r="W185" s="143"/>
      <c r="X185" s="143"/>
      <c r="Y185" s="143"/>
      <c r="Z185" s="143"/>
      <c r="AA185" s="143"/>
      <c r="AB185" s="143"/>
      <c r="AC185" s="143"/>
      <c r="AD185" s="143"/>
      <c r="AE185" s="143"/>
      <c r="AF185" s="143"/>
      <c r="AG185" s="156"/>
      <c r="AH185" s="143"/>
      <c r="AI185" s="143"/>
      <c r="AJ185" s="143"/>
      <c r="AK185" s="143"/>
      <c r="AL185" s="143"/>
      <c r="AM185" s="143"/>
      <c r="AN185" s="143"/>
      <c r="AO185" s="143"/>
      <c r="AP185" s="143"/>
      <c r="AQ185" s="143"/>
      <c r="AR185" s="143"/>
      <c r="AS185" s="143"/>
      <c r="AT185" s="156"/>
      <c r="AU185" s="143"/>
      <c r="AV185" s="143"/>
      <c r="AW185" s="143"/>
      <c r="AX185" s="143"/>
      <c r="AY185" s="143"/>
      <c r="AZ185" s="143"/>
      <c r="BA185" s="143"/>
      <c r="BB185" s="143"/>
      <c r="BC185" s="143"/>
      <c r="BD185" s="143"/>
      <c r="BE185" s="143"/>
      <c r="BF185" s="143"/>
      <c r="BG185" s="143"/>
      <c r="BH185" s="143"/>
      <c r="BI185" s="149"/>
      <c r="BK185" s="22"/>
      <c r="BY185" s="140" t="s">
        <v>761</v>
      </c>
      <c r="BZ185" s="6">
        <v>1000.0</v>
      </c>
      <c r="CA185" s="140">
        <v>1000.0</v>
      </c>
      <c r="CC185" s="140" t="s">
        <v>761</v>
      </c>
      <c r="CD185" s="6">
        <v>100000.0</v>
      </c>
      <c r="CE185" s="140">
        <v>100000.0</v>
      </c>
    </row>
    <row r="186">
      <c r="B186" s="135"/>
      <c r="C186" s="136"/>
      <c r="D186" s="137"/>
      <c r="E186" s="137"/>
      <c r="F186" s="137"/>
      <c r="G186" s="138"/>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8"/>
      <c r="AH186" s="137"/>
      <c r="AI186" s="137"/>
      <c r="AJ186" s="137"/>
      <c r="AK186" s="137"/>
      <c r="AL186" s="137"/>
      <c r="AM186" s="137"/>
      <c r="AN186" s="137"/>
      <c r="AO186" s="137"/>
      <c r="AP186" s="137"/>
      <c r="AQ186" s="137"/>
      <c r="AR186" s="137"/>
      <c r="AS186" s="137"/>
      <c r="AT186" s="138"/>
      <c r="AU186" s="137"/>
      <c r="AV186" s="137"/>
      <c r="AW186" s="137"/>
      <c r="AX186" s="137"/>
      <c r="AY186" s="137"/>
      <c r="AZ186" s="137"/>
      <c r="BA186" s="137"/>
      <c r="BB186" s="137"/>
      <c r="BC186" s="137"/>
      <c r="BD186" s="137"/>
      <c r="BE186" s="137"/>
      <c r="BF186" s="137"/>
      <c r="BG186" s="137"/>
      <c r="BH186" s="137"/>
      <c r="BI186" s="139"/>
      <c r="BK186" s="22"/>
      <c r="BY186" s="6" t="s">
        <v>762</v>
      </c>
      <c r="BZ186" s="6">
        <v>4600.0</v>
      </c>
      <c r="CA186" s="6">
        <v>1000.0</v>
      </c>
      <c r="CC186" s="6" t="s">
        <v>762</v>
      </c>
      <c r="CD186" s="6">
        <v>64000.0</v>
      </c>
      <c r="CE186" s="6">
        <v>100000.0</v>
      </c>
    </row>
    <row r="187">
      <c r="B187" s="141" t="s">
        <v>744</v>
      </c>
      <c r="C187" s="142"/>
      <c r="D187" s="143"/>
      <c r="E187" s="143"/>
      <c r="F187" s="144"/>
      <c r="G187" s="145"/>
      <c r="H187" s="146" t="s">
        <v>298</v>
      </c>
      <c r="I187" s="147" t="str">
        <f>VLOOKUP(H187,'Machine List'!$A$1:$I$300,9,FALSE)</f>
        <v>4000+500(7O-5)</v>
      </c>
      <c r="J187" s="147">
        <f>IF(VLOOKUP(H187,'Machine List'!$A$1:$I$300,5,FALSE)="Multi",IF(VLOOKUP(H187,'Machine List'!$A$1:$I$300,6,FALSE)="Yes",AI187*3*10^AB187,AI187*(2*3)*10^(AB187-1)),0)</f>
        <v>60000</v>
      </c>
      <c r="K187" s="147">
        <f>J187+IF(ISNUMBER(I187),I187,
  SWITCH(
      I187,
      "1T",1*10^AB187,
      "2T",2*10^AB187,
      "3T",3*10^AB187,
      "4T",4*10^AB187,
      "4000+500(7O-5)",4000+500*(7*I188-5),
      "13500 + 16C",13500+16*VLOOKUP(J189,'Machine Helper Sheet'!$G$1:$K$16,5,FALSE),
      1
  )
)</f>
        <v>65000</v>
      </c>
      <c r="L187" s="147">
        <f>IF(VLOOKUP(H187,'Machine List'!$A$1:$I$300,5,FALSE)="Multi",IF(VLOOKUP(H187,'Machine List'!$A$1:$I$300,6,FALSE)="Yes",AW187*3*10^AV187,AW187*(2*3)*10^(AV187-1)),0)</f>
        <v>60000</v>
      </c>
      <c r="M187" s="147">
        <f>L187+IF(ISNUMBER(I187),I187,
  SWITCH(
      I187,
      "1T",1*10^AV187,
      "2T",2*10^AV187,
      "3T",3*10^AV187,
      "4T",4*10^AV187,
      "4000+500(7O-5)",4000+500*(7*I188-5),
      1
  )
)</f>
        <v>65000</v>
      </c>
      <c r="N187" s="147" t="str">
        <f>VLOOKUP(H187,'Machine List'!$A$1:$I$300,8,FALSE)</f>
        <v>Tier</v>
      </c>
      <c r="O187" s="147">
        <f>IF(ISNUMBER(N187),N187,10^AB187)</f>
        <v>100000</v>
      </c>
      <c r="P187" s="147">
        <f>IF(ISNUMBER(N187),N187,10^AV187)</f>
        <v>100000</v>
      </c>
      <c r="Q187" s="147">
        <f>VLOOKUP(H187,'Machine List'!$A$1:$B$138,2,FALSE)</f>
        <v>1</v>
      </c>
      <c r="R187" s="147" t="s">
        <v>277</v>
      </c>
      <c r="S187" s="143">
        <f>IF(ISNUMBER(Q187),Q187,
  SWITCH(
      Q187,
      "1",1,
      "2T",AB187*2,
      "4T",AB187*4,
      "6T",AB187*6,
      "8T",AB187*8,
      "10T",AB187*10,
      "12T",AB187*12,
      "14T",AB187*14,
      "16T",AB187*16,
      "24T",AB187*24,
      "2(T+1)",2*(AB187+1),
      "1T*C",AB187*J189,
      "2*P",L189*2,
      1
  )
)</f>
        <v>1</v>
      </c>
      <c r="T187" s="38" t="s">
        <v>277</v>
      </c>
      <c r="U187" s="147">
        <f>IF(OR(T187="No",T187=""),S187,T187)</f>
        <v>1</v>
      </c>
      <c r="V187" s="147">
        <f>IF(ISNUMBER(Q187),Q187,
  SWITCH(
      Q187,
      "1",1,
      "2T",AV187*2,
      "4T",AV187*4,
      "6T",AV187*6,
      "8T",AV187*8,
      "10T",AV187*10,
      "12T",AV187*12,
      "14T",AV187*14,
      "16T",AV187*16,
      "24T",AV187*24,
      "2(T+1)",2*(AV187+1),
      "1T*C",AV187*J189,
      "2*P",L189*2,
      1
  )
)</f>
        <v>1</v>
      </c>
      <c r="W187" s="147" t="str">
        <f>T187</f>
        <v>No</v>
      </c>
      <c r="X187" s="147">
        <f>IF(OR(W187="No",W187=""),V187,W187)</f>
        <v>1</v>
      </c>
      <c r="Y187" s="38">
        <f>VLOOKUP(H187,'Machine List'!$A$1:$C$138,3,FALSE)</f>
        <v>1</v>
      </c>
      <c r="Z187" s="38">
        <f>VLOOKUP(H187,'Machine List'!$A$1:$D$138,4,FALSE)</f>
        <v>1</v>
      </c>
      <c r="AA187" s="147" t="s">
        <v>405</v>
      </c>
      <c r="AB187" s="147">
        <f>VLOOKUP(AA187,'Item Helper Sheet'!$A$2:$B$16,2,FALSE)</f>
        <v>5</v>
      </c>
      <c r="AC187" s="147">
        <v>7680.0</v>
      </c>
      <c r="AD187" s="147">
        <f>450*20</f>
        <v>9000</v>
      </c>
      <c r="AE187" s="147">
        <f>AD187*I189</f>
        <v>126000</v>
      </c>
      <c r="AF187" s="147">
        <f>AC187*AE187</f>
        <v>967680000</v>
      </c>
      <c r="AG187" s="148"/>
      <c r="AH187" s="147" t="str">
        <f>AA187</f>
        <v>05 - IV</v>
      </c>
      <c r="AI187" s="147">
        <v>1.0</v>
      </c>
      <c r="AJ187" s="147">
        <v>1.0</v>
      </c>
      <c r="AK187" s="147">
        <f>AJ187*8*4^AB187</f>
        <v>8192</v>
      </c>
      <c r="AL187" s="147">
        <f>MIN(ROUNDDOWN(AK187/AN187,0),U187)</f>
        <v>1</v>
      </c>
      <c r="AM187" s="147">
        <f>IF(OR(T187="No",T187=""),AI187*S187,AI187*T187)</f>
        <v>1</v>
      </c>
      <c r="AN187" s="147">
        <f>ROUNDUP(AC187*VLOOKUP(H187,'Machine List'!$A$2:$D$219,4,FALSE),0)</f>
        <v>7680</v>
      </c>
      <c r="AO187" s="147">
        <f>AN187*AM187</f>
        <v>7680</v>
      </c>
      <c r="AP187" s="147">
        <f>ROUNDUP(AD187*I189,0)</f>
        <v>126000</v>
      </c>
      <c r="AQ187" s="38">
        <f>IF(ISNUMBER(Y187),ROUNDUP(AP187/Y187,0),
  SWITCH(
      Y187,
      "1+0.5C",ROUNDUP(AP187/(1+0.5*VLOOKUP(J189,'Machine Helper Sheet'!$G$1:$K$16,2,FALSE)),0),
      ROUNDUP(AP187/1,0)
  )
)</f>
        <v>126000</v>
      </c>
      <c r="AR187" s="147">
        <f>ROUNDUP(AQ187/AM187,0)</f>
        <v>126000</v>
      </c>
      <c r="AS187" s="147">
        <f>AO187*AR187</f>
        <v>967680000</v>
      </c>
      <c r="AT187" s="148"/>
      <c r="AU187" s="147" t="s">
        <v>405</v>
      </c>
      <c r="AV187" s="147">
        <f>VLOOKUP(AU187,'Item Helper Sheet'!$A$2:$B$16,2,FALSE)</f>
        <v>5</v>
      </c>
      <c r="AW187" s="147">
        <f>AI187</f>
        <v>1</v>
      </c>
      <c r="AX187" s="147">
        <v>1.0</v>
      </c>
      <c r="AY187" s="147">
        <f>AX187*8*4^AV187</f>
        <v>8192</v>
      </c>
      <c r="AZ187" s="147">
        <f>MIN(ROUNDDOWN(AY187/AN187,0),X187)</f>
        <v>1</v>
      </c>
      <c r="BA187" s="147">
        <f>AZ187*AW187</f>
        <v>1</v>
      </c>
      <c r="BB187" s="147">
        <f>AN187</f>
        <v>7680</v>
      </c>
      <c r="BC187" s="147">
        <f>MIN(AV187-AB187,IF(AY187&gt;=BB188*4,
IF(AY187&gt;=BB188*4^2,
IF(AY187&gt;=BB188*4^3,
IF(AY187&gt;=BB188*4^4,
IF(AY187&gt;=BB188*4^5,
IF(AY187&gt;=BB188*4^6,
IF(AY187&gt;=BB188*4^7,
IF(AY187&gt;=BB188*4^8,
IF(AY187&gt;=BB188*4^9,
IF(AY187&gt;=BB188*4^10,
9),
8),
7),
6),
5),
4),
3),
2),
1),
0))</f>
        <v>0</v>
      </c>
      <c r="BD187" s="147">
        <f>BB187*AZ187*4^BC187</f>
        <v>7680</v>
      </c>
      <c r="BE187" s="147">
        <f>BD187*AW187</f>
        <v>7680</v>
      </c>
      <c r="BF187" s="143">
        <f>ROUNDUP(IF(R187="Yes",AP187/(2^((BC187)*2)),AP187/(2^(BC187))),0)</f>
        <v>126000</v>
      </c>
      <c r="BG187" s="45">
        <f>IF(ISNUMBER(Y187),ROUNDUP(BF187/Y187,0),
  SWITCH(
      Y187,
      "1+0.5C",ROUNDUP(BF187/(1+0.5*VLOOKUP(J189,'Machine Helper Sheet'!$G$1:$K$16,2,FALSE)),0),
      ROUNDUP(BF187/1,0)
  )
)</f>
        <v>126000</v>
      </c>
      <c r="BH187" s="143">
        <f>ROUNDUP(BG187/BA187,0)</f>
        <v>126000</v>
      </c>
      <c r="BI187" s="149">
        <f>BH187*BE187</f>
        <v>967680000</v>
      </c>
      <c r="BK187" s="22"/>
      <c r="BM187" s="6" t="s">
        <v>457</v>
      </c>
      <c r="BN187" s="6" t="s">
        <v>467</v>
      </c>
      <c r="BO187" s="6" t="s">
        <v>471</v>
      </c>
      <c r="BP187" s="6" t="s">
        <v>457</v>
      </c>
      <c r="BQ187" s="6" t="s">
        <v>466</v>
      </c>
      <c r="BR187" s="6" t="s">
        <v>470</v>
      </c>
      <c r="BS187" s="6" t="s">
        <v>457</v>
      </c>
      <c r="BT187" s="6" t="s">
        <v>701</v>
      </c>
      <c r="BU187" s="6" t="s">
        <v>605</v>
      </c>
      <c r="BV187" s="6" t="s">
        <v>645</v>
      </c>
    </row>
    <row r="188">
      <c r="B188" s="150"/>
      <c r="C188" s="151" t="s">
        <v>90</v>
      </c>
      <c r="D188" s="147">
        <f>1000*I189</f>
        <v>14000</v>
      </c>
      <c r="E188" s="147" t="s">
        <v>225</v>
      </c>
      <c r="F188" s="152">
        <f>300*I189</f>
        <v>4200</v>
      </c>
      <c r="G188" s="138"/>
      <c r="H188" s="153" t="s">
        <v>584</v>
      </c>
      <c r="I188" s="143">
        <f t="array" ref="I188">match(TRUE,ISBLANK(F188:F200),0)-1</f>
        <v>1</v>
      </c>
      <c r="J188" s="154" t="s">
        <v>420</v>
      </c>
      <c r="K188" s="154" t="s">
        <v>585</v>
      </c>
      <c r="L188" s="100" t="s">
        <v>704</v>
      </c>
      <c r="M188" s="147"/>
      <c r="N188" s="147"/>
      <c r="O188" s="147"/>
      <c r="P188" s="147"/>
      <c r="Q188" s="147"/>
      <c r="R188" s="155"/>
      <c r="S188" s="155"/>
      <c r="T188" s="155"/>
      <c r="U188" s="143"/>
      <c r="V188" s="143"/>
      <c r="W188" s="143"/>
      <c r="X188" s="143"/>
      <c r="Y188" s="143"/>
      <c r="Z188" s="143"/>
      <c r="AA188" s="143"/>
      <c r="AB188" s="143"/>
      <c r="AC188" s="143"/>
      <c r="AD188" s="143"/>
      <c r="AE188" s="143"/>
      <c r="AF188" s="143"/>
      <c r="AG188" s="156"/>
      <c r="AH188" s="143"/>
      <c r="AI188" s="143"/>
      <c r="AJ188" s="143"/>
      <c r="AK188" s="143"/>
      <c r="AL188" s="143"/>
      <c r="AM188" s="143"/>
      <c r="AN188" s="143"/>
      <c r="AO188" s="143"/>
      <c r="AP188" s="143"/>
      <c r="AQ188" s="143"/>
      <c r="AR188" s="143"/>
      <c r="AS188" s="143"/>
      <c r="AT188" s="156"/>
      <c r="AU188" s="143"/>
      <c r="AV188" s="143"/>
      <c r="AW188" s="143"/>
      <c r="AX188" s="143"/>
      <c r="AY188" s="143"/>
      <c r="AZ188" s="143"/>
      <c r="BA188" s="143"/>
      <c r="BB188" s="143">
        <f>BB187*AZ187</f>
        <v>7680</v>
      </c>
      <c r="BC188" s="143"/>
      <c r="BD188" s="143"/>
      <c r="BE188" s="143"/>
      <c r="BF188" s="143"/>
      <c r="BG188" s="143"/>
      <c r="BH188" s="143"/>
      <c r="BI188" s="149"/>
      <c r="BK188" s="22"/>
      <c r="BM188" s="6" t="s">
        <v>730</v>
      </c>
      <c r="BN188" s="6">
        <v>2.1504E9</v>
      </c>
      <c r="BO188" s="6">
        <v>2.1504E9</v>
      </c>
      <c r="BP188" s="6" t="s">
        <v>730</v>
      </c>
      <c r="BQ188" s="6">
        <v>280000.0</v>
      </c>
      <c r="BR188" s="6">
        <v>140000.0</v>
      </c>
      <c r="BS188" s="6" t="s">
        <v>730</v>
      </c>
      <c r="BT188" s="6">
        <v>5.0</v>
      </c>
      <c r="BU188" s="6">
        <v>5.0</v>
      </c>
      <c r="BV188" s="6">
        <v>2.0</v>
      </c>
    </row>
    <row r="189">
      <c r="B189" s="150"/>
      <c r="C189" s="151"/>
      <c r="D189" s="147"/>
      <c r="E189" s="147"/>
      <c r="F189" s="152"/>
      <c r="G189" s="138"/>
      <c r="H189" s="157" t="s">
        <v>502</v>
      </c>
      <c r="I189" s="158">
        <v>14.0</v>
      </c>
      <c r="J189" s="154" t="s">
        <v>424</v>
      </c>
      <c r="K189" s="154">
        <v>0.0</v>
      </c>
      <c r="L189" s="100">
        <v>0.0</v>
      </c>
      <c r="M189" s="143"/>
      <c r="N189" s="143"/>
      <c r="O189" s="143"/>
      <c r="P189" s="143"/>
      <c r="Q189" s="143"/>
      <c r="R189" s="143"/>
      <c r="S189" s="155"/>
      <c r="T189" s="155"/>
      <c r="U189" s="143"/>
      <c r="V189" s="143"/>
      <c r="W189" s="143"/>
      <c r="X189" s="143"/>
      <c r="Y189" s="143"/>
      <c r="Z189" s="143"/>
      <c r="AA189" s="143"/>
      <c r="AB189" s="143"/>
      <c r="AC189" s="143"/>
      <c r="AD189" s="143"/>
      <c r="AE189" s="143"/>
      <c r="AF189" s="143"/>
      <c r="AG189" s="156"/>
      <c r="AH189" s="143"/>
      <c r="AI189" s="143"/>
      <c r="AJ189" s="143"/>
      <c r="AK189" s="143"/>
      <c r="AL189" s="143"/>
      <c r="AM189" s="143"/>
      <c r="AN189" s="143"/>
      <c r="AO189" s="143"/>
      <c r="AP189" s="143"/>
      <c r="AQ189" s="143"/>
      <c r="AR189" s="143"/>
      <c r="AS189" s="143"/>
      <c r="AT189" s="156"/>
      <c r="AU189" s="143"/>
      <c r="AV189" s="143"/>
      <c r="AW189" s="143"/>
      <c r="AX189" s="143"/>
      <c r="AY189" s="143"/>
      <c r="AZ189" s="143"/>
      <c r="BA189" s="143"/>
      <c r="BB189" s="143"/>
      <c r="BC189" s="143"/>
      <c r="BD189" s="143"/>
      <c r="BE189" s="143"/>
      <c r="BF189" s="143"/>
      <c r="BG189" s="143"/>
      <c r="BH189" s="143"/>
      <c r="BI189" s="149"/>
      <c r="BK189" s="22"/>
      <c r="BM189" s="6" t="s">
        <v>731</v>
      </c>
      <c r="BN189" s="6">
        <v>560.0</v>
      </c>
      <c r="BO189" s="6">
        <v>560000.0</v>
      </c>
      <c r="BP189" s="6" t="s">
        <v>731</v>
      </c>
      <c r="BQ189" s="6">
        <v>560000.0</v>
      </c>
      <c r="BR189" s="6">
        <v>140000.0</v>
      </c>
      <c r="BS189" s="6" t="s">
        <v>731</v>
      </c>
      <c r="BT189" s="6">
        <v>5.0</v>
      </c>
      <c r="BU189" s="6">
        <v>5.0</v>
      </c>
      <c r="BV189" s="6">
        <v>4.0</v>
      </c>
    </row>
    <row r="190">
      <c r="B190" s="135"/>
      <c r="C190" s="136"/>
      <c r="D190" s="137"/>
      <c r="E190" s="137"/>
      <c r="F190" s="137"/>
      <c r="G190" s="138"/>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8"/>
      <c r="AH190" s="137"/>
      <c r="AI190" s="137"/>
      <c r="AJ190" s="137"/>
      <c r="AK190" s="137"/>
      <c r="AL190" s="137"/>
      <c r="AM190" s="137"/>
      <c r="AN190" s="137"/>
      <c r="AO190" s="137"/>
      <c r="AP190" s="137"/>
      <c r="AQ190" s="137"/>
      <c r="AR190" s="137"/>
      <c r="AS190" s="137"/>
      <c r="AT190" s="138"/>
      <c r="AU190" s="137"/>
      <c r="AV190" s="137"/>
      <c r="AW190" s="137"/>
      <c r="AX190" s="137"/>
      <c r="AY190" s="137"/>
      <c r="AZ190" s="137"/>
      <c r="BA190" s="137"/>
      <c r="BB190" s="137"/>
      <c r="BC190" s="137"/>
      <c r="BD190" s="137"/>
      <c r="BE190" s="137"/>
      <c r="BF190" s="137"/>
      <c r="BG190" s="137"/>
      <c r="BH190" s="137"/>
      <c r="BI190" s="139"/>
      <c r="BK190" s="22"/>
      <c r="BM190" s="140" t="s">
        <v>733</v>
      </c>
      <c r="BN190" s="140">
        <v>9.6768E8</v>
      </c>
      <c r="BO190" s="140">
        <v>3.87072E8</v>
      </c>
      <c r="BP190" s="140" t="s">
        <v>733</v>
      </c>
      <c r="BQ190" s="140">
        <v>134400.0</v>
      </c>
      <c r="BR190" s="140">
        <v>80640.0</v>
      </c>
      <c r="BS190" s="140" t="s">
        <v>733</v>
      </c>
      <c r="BT190" s="140">
        <v>3.0</v>
      </c>
      <c r="BU190" s="140">
        <v>5.0</v>
      </c>
      <c r="BV190" s="140">
        <v>10.0</v>
      </c>
    </row>
    <row r="191">
      <c r="B191" s="141" t="s">
        <v>745</v>
      </c>
      <c r="C191" s="142"/>
      <c r="D191" s="143"/>
      <c r="E191" s="143"/>
      <c r="F191" s="144"/>
      <c r="G191" s="145"/>
      <c r="H191" s="146" t="s">
        <v>376</v>
      </c>
      <c r="I191" s="147" t="str">
        <f>VLOOKUP(H191,'Machine List'!$A$1:$I$300,9,FALSE)</f>
        <v>1T</v>
      </c>
      <c r="J191" s="147">
        <f>IF(VLOOKUP(H191,'Machine List'!$A$1:$I$300,5,FALSE)="Multi",IF(VLOOKUP(H191,'Machine List'!$A$1:$I$300,6,FALSE)="Yes",AI191*3*10^AB191,AI191*(2*3)*10^(AB191-1)),0)</f>
        <v>60000</v>
      </c>
      <c r="K191" s="147">
        <f>J191+IF(ISNUMBER(I191),I191,
  SWITCH(
      I191,
      "1T",1*10^AB191,
      "2T",2*10^AB191,
      "3T",3*10^AB191,
      "4T",4*10^AB191,
      "4000+500(7O-5)",4000+500*(7*I192-5),
      "13500 + 16C",13500+16*VLOOKUP(J193,'Machine Helper Sheet'!$G$1:$K$16,5,FALSE),
      1
  )
)</f>
        <v>160000</v>
      </c>
      <c r="L191" s="147">
        <f>IF(VLOOKUP(H191,'Machine List'!$A$1:$I$300,5,FALSE)="Multi",IF(VLOOKUP(H191,'Machine List'!$A$1:$I$300,6,FALSE)="Yes",AW191*3*10^AV191,AW191*(2*3)*10^(AV191-1)),0)</f>
        <v>60000</v>
      </c>
      <c r="M191" s="147">
        <f>L191+IF(ISNUMBER(I191),I191,
  SWITCH(
      I191,
      "1T",1*10^AV191,
      "2T",2*10^AV191,
      "3T",3*10^AV191,
      "4T",4*10^AV191,
      "4000+500(7O-5)",4000+500*(7*I192-5),
      1
  )
)</f>
        <v>160000</v>
      </c>
      <c r="N191" s="147" t="str">
        <f>VLOOKUP(H191,'Machine List'!$A$1:$I$300,8,FALSE)</f>
        <v>Tier</v>
      </c>
      <c r="O191" s="147">
        <f>IF(ISNUMBER(N191),N191,10^AB191)</f>
        <v>100000</v>
      </c>
      <c r="P191" s="147">
        <f>IF(ISNUMBER(N191),N191,10^AV191)</f>
        <v>100000</v>
      </c>
      <c r="Q191" s="147" t="str">
        <f>VLOOKUP(H191,'Machine List'!$A$1:$B$138,2,FALSE)</f>
        <v>2*P</v>
      </c>
      <c r="R191" s="147" t="s">
        <v>277</v>
      </c>
      <c r="S191" s="45">
        <f>IF(ISNUMBER(Q191),Q191,
  SWITCH(
      Q191,
      "1",1,
      "2T",AB191*2,
      "4T",AB191*4,
      "6T",AB191*6,
      "8T",AB191*8,
      "10T",AB191*10,
      "12T",AB191*12,
      "14T",AB191*14,
      "16T",AB191*16,
      "24T",AB191*24,
      "2(T+1)",2*(AB191+1),
      "1T*C",AB191*J193,
      "2*P",L193*2,
      1
  )
)</f>
        <v>2</v>
      </c>
      <c r="T191" s="38" t="s">
        <v>277</v>
      </c>
      <c r="U191" s="38">
        <f>IF(OR(T191="No",T191=""),S191,T191)</f>
        <v>2</v>
      </c>
      <c r="V191" s="38">
        <f>IF(ISNUMBER(Q191),Q191,
  SWITCH(
      Q191,
      "1",1,
      "2T",AV191*2,
      "4T",AV191*4,
      "6T",AV191*6,
      "8T",AV191*8,
      "10T",AV191*10,
      "12T",AV191*12,
      "14T",AV191*14,
      "16T",AV191*16,
      "24T",AV191*24,
      "2(T+1)",2*(AV191+1),
      "1T*C",AV191*J193,
      "2*P",L193*2,
      1
  )
)</f>
        <v>2</v>
      </c>
      <c r="W191" s="147" t="str">
        <f>T191</f>
        <v>No</v>
      </c>
      <c r="X191" s="147">
        <f>IF(OR(W191="No",W191=""),V191,W191)</f>
        <v>2</v>
      </c>
      <c r="Y191" s="38" t="str">
        <f>VLOOKUP(H191,'Machine List'!$A$1:$C$138,3,FALSE)</f>
        <v>1+0.5C</v>
      </c>
      <c r="Z191" s="38">
        <f>VLOOKUP(H191,'Machine List'!$A$1:$D$138,4,FALSE)</f>
        <v>1</v>
      </c>
      <c r="AA191" s="147" t="s">
        <v>405</v>
      </c>
      <c r="AB191" s="147">
        <f>VLOOKUP(AA191,'Item Helper Sheet'!$A$2:$B$16,2,FALSE)</f>
        <v>5</v>
      </c>
      <c r="AC191" s="147">
        <v>7680.0</v>
      </c>
      <c r="AD191" s="147">
        <f>150*20</f>
        <v>3000</v>
      </c>
      <c r="AE191" s="147">
        <f>AD191*I193</f>
        <v>12000</v>
      </c>
      <c r="AF191" s="147">
        <f>AC191*AE191</f>
        <v>92160000</v>
      </c>
      <c r="AG191" s="148"/>
      <c r="AH191" s="147" t="str">
        <f>AA191</f>
        <v>05 - IV</v>
      </c>
      <c r="AI191" s="147">
        <v>1.0</v>
      </c>
      <c r="AJ191" s="147">
        <v>1.0</v>
      </c>
      <c r="AK191" s="147">
        <f>AJ191*8*4^AB191</f>
        <v>8192</v>
      </c>
      <c r="AL191" s="147">
        <f>MIN(ROUNDDOWN(AK191/AN191,0),U191)</f>
        <v>1</v>
      </c>
      <c r="AM191" s="147">
        <f>IF(OR(T191="No",T191=""),AI191*S191,AI191*T191)</f>
        <v>2</v>
      </c>
      <c r="AN191" s="147">
        <f>ROUNDUP(AC191*VLOOKUP(H191,'Machine List'!$A$2:$D$219,4,FALSE),0)</f>
        <v>7680</v>
      </c>
      <c r="AO191" s="147">
        <f>AN191*AM191</f>
        <v>15360</v>
      </c>
      <c r="AP191" s="147">
        <f>ROUNDUP(AD191*I193,0)</f>
        <v>12000</v>
      </c>
      <c r="AQ191" s="38">
        <f>IF(ISNUMBER(Y191),ROUNDUP(AP191/Y191,0),
  SWITCH(
      Y191,
      "1+0.5C",ROUNDUP(AP191/(1+0.5*VLOOKUP(J193,'Machine Helper Sheet'!$G$1:$K$16,2,FALSE)),0),
      ROUNDUP(AP191/1,0)
  )
)</f>
        <v>8000</v>
      </c>
      <c r="AR191" s="147">
        <f>ROUNDUP(AQ191/AM191,0)</f>
        <v>4000</v>
      </c>
      <c r="AS191" s="147">
        <f>AO191*AR191</f>
        <v>61440000</v>
      </c>
      <c r="AT191" s="148"/>
      <c r="AU191" s="147" t="s">
        <v>405</v>
      </c>
      <c r="AV191" s="147">
        <f>VLOOKUP(AU191,'Item Helper Sheet'!$A$2:$B$16,2,FALSE)</f>
        <v>5</v>
      </c>
      <c r="AW191" s="147">
        <f>AI191</f>
        <v>1</v>
      </c>
      <c r="AX191" s="147">
        <v>1.0</v>
      </c>
      <c r="AY191" s="147">
        <f>AX191*8*4^AV191</f>
        <v>8192</v>
      </c>
      <c r="AZ191" s="147">
        <f>MIN(ROUNDDOWN(AY191/AN191,0),X191)</f>
        <v>1</v>
      </c>
      <c r="BA191" s="147">
        <f>AZ191*AW191</f>
        <v>1</v>
      </c>
      <c r="BB191" s="147">
        <f>AN191</f>
        <v>7680</v>
      </c>
      <c r="BC191" s="147">
        <f>MIN(AV191-AB191,IF(AY191&gt;=BB192*4,
IF(AY191&gt;=BB192*4^2,
IF(AY191&gt;=BB192*4^3,
IF(AY191&gt;=BB192*4^4,
IF(AY191&gt;=BB192*4^5,
IF(AY191&gt;=BB192*4^6,
IF(AY191&gt;=BB192*4^7,
IF(AY191&gt;=BB192*4^8,
IF(AY191&gt;=BB192*4^9,
IF(AY191&gt;=BB192*4^10,
9),
8),
7),
6),
5),
4),
3),
2),
1),
0))</f>
        <v>0</v>
      </c>
      <c r="BD191" s="147">
        <f>BB191*AZ191*4^BC191</f>
        <v>7680</v>
      </c>
      <c r="BE191" s="147">
        <f>BD191*AW191</f>
        <v>7680</v>
      </c>
      <c r="BF191" s="143">
        <f>ROUNDUP(IF(R191="Yes",AP191/(2^((BC191)*2)),AP191/(2^(BC191))),0)</f>
        <v>12000</v>
      </c>
      <c r="BG191" s="45">
        <f>IF(ISNUMBER(Y191),ROUNDUP(BF191/Y191,0),
  SWITCH(
      Y191,
      "1+0.5C",ROUNDUP(BF191/(1+0.5*VLOOKUP(J193,'Machine Helper Sheet'!$G$1:$K$16,2,FALSE)),0),
      ROUNDUP(BF191/1,0)
  )
)</f>
        <v>8000</v>
      </c>
      <c r="BH191" s="143">
        <f>ROUNDUP(BG191/BA191,0)</f>
        <v>8000</v>
      </c>
      <c r="BI191" s="149">
        <f>BH191*BE191</f>
        <v>61440000</v>
      </c>
      <c r="BK191" s="22"/>
      <c r="BM191" s="6" t="s">
        <v>734</v>
      </c>
      <c r="BN191" s="6">
        <v>1.6128E8</v>
      </c>
      <c r="BO191" s="6">
        <v>3.2256E8</v>
      </c>
      <c r="BP191" s="6" t="s">
        <v>734</v>
      </c>
      <c r="BQ191" s="6">
        <v>84000.0</v>
      </c>
      <c r="BR191" s="6">
        <v>21000.0</v>
      </c>
      <c r="BS191" s="6" t="s">
        <v>734</v>
      </c>
      <c r="BT191" s="6">
        <v>4.0</v>
      </c>
      <c r="BU191" s="6">
        <v>5.0</v>
      </c>
      <c r="BV191" s="6">
        <v>2.0</v>
      </c>
    </row>
    <row r="192">
      <c r="B192" s="150"/>
      <c r="C192" s="151" t="s">
        <v>241</v>
      </c>
      <c r="D192" s="147">
        <f>1000*I193</f>
        <v>4000</v>
      </c>
      <c r="E192" s="147" t="s">
        <v>103</v>
      </c>
      <c r="F192" s="152">
        <f>3000*I193</f>
        <v>12000</v>
      </c>
      <c r="G192" s="138"/>
      <c r="H192" s="153" t="s">
        <v>584</v>
      </c>
      <c r="I192" s="143">
        <f t="array" ref="I192">match(TRUE,ISBLANK(F192:F204),0)-1</f>
        <v>2</v>
      </c>
      <c r="J192" s="154" t="s">
        <v>420</v>
      </c>
      <c r="K192" s="154" t="s">
        <v>585</v>
      </c>
      <c r="L192" s="100" t="s">
        <v>704</v>
      </c>
      <c r="M192" s="147"/>
      <c r="N192" s="147"/>
      <c r="O192" s="147"/>
      <c r="P192" s="147"/>
      <c r="Q192" s="147"/>
      <c r="R192" s="155"/>
      <c r="S192" s="155"/>
      <c r="T192" s="155"/>
      <c r="U192" s="143"/>
      <c r="V192" s="143"/>
      <c r="W192" s="143"/>
      <c r="X192" s="143"/>
      <c r="Y192" s="143"/>
      <c r="Z192" s="143"/>
      <c r="AA192" s="143"/>
      <c r="AB192" s="143"/>
      <c r="AC192" s="143"/>
      <c r="AD192" s="143"/>
      <c r="AE192" s="143"/>
      <c r="AF192" s="143"/>
      <c r="AG192" s="156"/>
      <c r="AH192" s="143"/>
      <c r="AI192" s="143"/>
      <c r="AJ192" s="143"/>
      <c r="AK192" s="143"/>
      <c r="AL192" s="143"/>
      <c r="AM192" s="143"/>
      <c r="AN192" s="143"/>
      <c r="AO192" s="143"/>
      <c r="AP192" s="143"/>
      <c r="AQ192" s="143"/>
      <c r="AR192" s="143"/>
      <c r="AS192" s="143"/>
      <c r="AT192" s="156"/>
      <c r="AU192" s="143"/>
      <c r="AV192" s="143"/>
      <c r="AW192" s="143"/>
      <c r="AX192" s="143"/>
      <c r="AY192" s="143"/>
      <c r="AZ192" s="143"/>
      <c r="BA192" s="143"/>
      <c r="BB192" s="143">
        <f>BB191*AZ191</f>
        <v>7680</v>
      </c>
      <c r="BC192" s="143"/>
      <c r="BD192" s="143"/>
      <c r="BE192" s="143"/>
      <c r="BF192" s="143"/>
      <c r="BG192" s="143"/>
      <c r="BH192" s="143"/>
      <c r="BI192" s="149"/>
      <c r="BK192" s="22"/>
      <c r="BM192" s="140" t="s">
        <v>735</v>
      </c>
      <c r="BN192" s="140">
        <v>270000.0</v>
      </c>
      <c r="BO192" s="140">
        <v>276480.0</v>
      </c>
      <c r="BP192" s="140" t="s">
        <v>735</v>
      </c>
      <c r="BQ192" s="140">
        <v>9000.0</v>
      </c>
      <c r="BR192" s="140">
        <v>36.0</v>
      </c>
      <c r="BS192" s="140" t="s">
        <v>735</v>
      </c>
      <c r="BT192" s="140">
        <v>1.0</v>
      </c>
      <c r="BU192" s="140">
        <v>5.0</v>
      </c>
      <c r="BV192" s="140">
        <v>1.0</v>
      </c>
    </row>
    <row r="193">
      <c r="B193" s="150"/>
      <c r="C193" s="151" t="s">
        <v>225</v>
      </c>
      <c r="D193" s="147">
        <f>1000*I193</f>
        <v>4000</v>
      </c>
      <c r="E193" s="38" t="s">
        <v>91</v>
      </c>
      <c r="F193" s="42">
        <f>2000*I193</f>
        <v>8000</v>
      </c>
      <c r="G193" s="138"/>
      <c r="H193" s="157" t="s">
        <v>502</v>
      </c>
      <c r="I193" s="158">
        <v>4.0</v>
      </c>
      <c r="J193" s="154" t="s">
        <v>427</v>
      </c>
      <c r="K193" s="154">
        <v>0.0</v>
      </c>
      <c r="L193" s="100">
        <v>1.0</v>
      </c>
      <c r="M193" s="143"/>
      <c r="N193" s="143"/>
      <c r="O193" s="143"/>
      <c r="P193" s="143"/>
      <c r="Q193" s="143"/>
      <c r="R193" s="143"/>
      <c r="S193" s="155"/>
      <c r="T193" s="155"/>
      <c r="U193" s="143"/>
      <c r="V193" s="143"/>
      <c r="W193" s="143"/>
      <c r="X193" s="143"/>
      <c r="Y193" s="143"/>
      <c r="Z193" s="143"/>
      <c r="AA193" s="143"/>
      <c r="AB193" s="143"/>
      <c r="AC193" s="143"/>
      <c r="AD193" s="143"/>
      <c r="AE193" s="143"/>
      <c r="AF193" s="143"/>
      <c r="AG193" s="156"/>
      <c r="AH193" s="143"/>
      <c r="AI193" s="143"/>
      <c r="AJ193" s="143"/>
      <c r="AK193" s="143"/>
      <c r="AL193" s="143"/>
      <c r="AM193" s="143"/>
      <c r="AN193" s="143"/>
      <c r="AO193" s="143"/>
      <c r="AP193" s="143"/>
      <c r="AQ193" s="143"/>
      <c r="AR193" s="143"/>
      <c r="AS193" s="143"/>
      <c r="AT193" s="156"/>
      <c r="AU193" s="143"/>
      <c r="AV193" s="143"/>
      <c r="AW193" s="143"/>
      <c r="AX193" s="143"/>
      <c r="AY193" s="143"/>
      <c r="AZ193" s="143"/>
      <c r="BA193" s="143"/>
      <c r="BB193" s="143"/>
      <c r="BC193" s="143"/>
      <c r="BD193" s="143"/>
      <c r="BE193" s="143"/>
      <c r="BF193" s="143"/>
      <c r="BG193" s="143"/>
      <c r="BH193" s="143"/>
      <c r="BI193" s="149"/>
      <c r="BK193" s="22"/>
      <c r="BM193" s="140" t="s">
        <v>738</v>
      </c>
      <c r="BN193" s="140">
        <v>1620000.0</v>
      </c>
      <c r="BO193" s="140">
        <v>1620480.0</v>
      </c>
      <c r="BP193" s="140" t="s">
        <v>738</v>
      </c>
      <c r="BQ193" s="140">
        <v>54000.0</v>
      </c>
      <c r="BR193" s="140">
        <v>211.0</v>
      </c>
      <c r="BS193" s="140" t="s">
        <v>738</v>
      </c>
      <c r="BT193" s="140">
        <v>1.0</v>
      </c>
      <c r="BU193" s="140">
        <v>5.0</v>
      </c>
      <c r="BV193" s="140">
        <v>1.0</v>
      </c>
      <c r="BY193" s="6" t="s">
        <v>619</v>
      </c>
      <c r="BZ193" s="6" t="s">
        <v>495</v>
      </c>
      <c r="CA193" s="6"/>
      <c r="CB193" s="6"/>
      <c r="CC193" s="6"/>
      <c r="CD193" s="6"/>
      <c r="CE193" s="6"/>
      <c r="CG193" s="6" t="s">
        <v>560</v>
      </c>
      <c r="CH193" s="6" t="s">
        <v>694</v>
      </c>
      <c r="CI193" s="6"/>
      <c r="CJ193" s="6"/>
      <c r="CK193" s="6"/>
    </row>
    <row r="194">
      <c r="B194" s="40"/>
      <c r="C194" s="151" t="s">
        <v>87</v>
      </c>
      <c r="D194" s="147">
        <f>2000*I193</f>
        <v>8000</v>
      </c>
      <c r="E194" s="143"/>
      <c r="F194" s="144"/>
      <c r="G194" s="43"/>
      <c r="H194" s="44"/>
      <c r="I194" s="45"/>
      <c r="J194" s="45"/>
      <c r="K194" s="45"/>
      <c r="L194" s="45"/>
      <c r="M194" s="45"/>
      <c r="N194" s="45"/>
      <c r="O194" s="45"/>
      <c r="P194" s="45"/>
      <c r="Q194" s="45"/>
      <c r="R194" s="45"/>
      <c r="S194" s="101"/>
      <c r="T194" s="101"/>
      <c r="U194" s="45"/>
      <c r="V194" s="45"/>
      <c r="W194" s="45"/>
      <c r="X194" s="45"/>
      <c r="Y194" s="45"/>
      <c r="Z194" s="45"/>
      <c r="AA194" s="45"/>
      <c r="AB194" s="45"/>
      <c r="AC194" s="45"/>
      <c r="AD194" s="45"/>
      <c r="AE194" s="45"/>
      <c r="AF194" s="45"/>
      <c r="AG194" s="79"/>
      <c r="AH194" s="45"/>
      <c r="AI194" s="45"/>
      <c r="AJ194" s="45"/>
      <c r="AK194" s="45"/>
      <c r="AL194" s="45"/>
      <c r="AM194" s="45"/>
      <c r="AN194" s="45"/>
      <c r="AO194" s="45"/>
      <c r="AP194" s="45"/>
      <c r="AQ194" s="45"/>
      <c r="AR194" s="45"/>
      <c r="AS194" s="45"/>
      <c r="AT194" s="79"/>
      <c r="AU194" s="45"/>
      <c r="AV194" s="45"/>
      <c r="AW194" s="45"/>
      <c r="AX194" s="45"/>
      <c r="AY194" s="45"/>
      <c r="AZ194" s="45"/>
      <c r="BA194" s="45"/>
      <c r="BB194" s="45"/>
      <c r="BC194" s="45"/>
      <c r="BD194" s="45"/>
      <c r="BE194" s="45"/>
      <c r="BF194" s="45"/>
      <c r="BG194" s="45"/>
      <c r="BH194" s="45"/>
      <c r="BI194" s="46"/>
      <c r="BK194" s="22"/>
      <c r="BM194" s="140" t="s">
        <v>739</v>
      </c>
      <c r="BN194" s="140">
        <v>2.5632E7</v>
      </c>
      <c r="BO194" s="140">
        <v>1.02528E8</v>
      </c>
      <c r="BP194" s="140" t="s">
        <v>739</v>
      </c>
      <c r="BQ194" s="140">
        <v>53400.0</v>
      </c>
      <c r="BR194" s="140">
        <v>13350.0</v>
      </c>
      <c r="BS194" s="140" t="s">
        <v>739</v>
      </c>
      <c r="BT194" s="140">
        <v>3.0</v>
      </c>
      <c r="BU194" s="140">
        <v>5.0</v>
      </c>
      <c r="BV194" s="140">
        <v>1.0</v>
      </c>
      <c r="BY194" s="6" t="s">
        <v>462</v>
      </c>
      <c r="BZ194" s="140" t="s">
        <v>390</v>
      </c>
      <c r="CA194" s="140" t="s">
        <v>393</v>
      </c>
      <c r="CB194" s="140" t="s">
        <v>397</v>
      </c>
      <c r="CC194" s="140" t="s">
        <v>401</v>
      </c>
      <c r="CD194" s="140" t="s">
        <v>405</v>
      </c>
      <c r="CE194" s="6" t="s">
        <v>487</v>
      </c>
      <c r="CG194" s="6" t="s">
        <v>462</v>
      </c>
      <c r="CH194" s="6">
        <v>1.0</v>
      </c>
      <c r="CI194" s="6">
        <v>2.5</v>
      </c>
      <c r="CJ194" s="6" t="s">
        <v>378</v>
      </c>
      <c r="CK194" s="6" t="s">
        <v>487</v>
      </c>
    </row>
    <row r="195">
      <c r="B195" s="135"/>
      <c r="C195" s="136"/>
      <c r="D195" s="137"/>
      <c r="E195" s="137"/>
      <c r="F195" s="137"/>
      <c r="G195" s="138"/>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8"/>
      <c r="AH195" s="137"/>
      <c r="AI195" s="137"/>
      <c r="AJ195" s="137"/>
      <c r="AK195" s="137"/>
      <c r="AL195" s="137"/>
      <c r="AM195" s="137"/>
      <c r="AN195" s="137"/>
      <c r="AO195" s="137"/>
      <c r="AP195" s="137"/>
      <c r="AQ195" s="137"/>
      <c r="AR195" s="137"/>
      <c r="AS195" s="137"/>
      <c r="AT195" s="138"/>
      <c r="AU195" s="137"/>
      <c r="AV195" s="137"/>
      <c r="AW195" s="137"/>
      <c r="AX195" s="137"/>
      <c r="AY195" s="137"/>
      <c r="AZ195" s="137"/>
      <c r="BA195" s="137"/>
      <c r="BB195" s="137"/>
      <c r="BC195" s="137"/>
      <c r="BD195" s="137"/>
      <c r="BE195" s="137"/>
      <c r="BF195" s="137"/>
      <c r="BG195" s="137"/>
      <c r="BH195" s="137"/>
      <c r="BI195" s="139"/>
      <c r="BK195" s="22"/>
      <c r="BM195" s="140" t="s">
        <v>740</v>
      </c>
      <c r="BN195" s="140">
        <v>2.7648E8</v>
      </c>
      <c r="BO195" s="140">
        <v>1.10592E8</v>
      </c>
      <c r="BP195" s="140" t="s">
        <v>740</v>
      </c>
      <c r="BQ195" s="140">
        <v>1440.0</v>
      </c>
      <c r="BR195" s="140">
        <v>14400.0</v>
      </c>
      <c r="BS195" s="140" t="s">
        <v>740</v>
      </c>
      <c r="BT195" s="140">
        <v>5.0</v>
      </c>
      <c r="BU195" s="140">
        <v>5.0</v>
      </c>
      <c r="BV195" s="140">
        <v>1.0</v>
      </c>
      <c r="BY195" s="140" t="s">
        <v>287</v>
      </c>
      <c r="BZ195" s="6">
        <v>1.0</v>
      </c>
      <c r="CA195" s="6"/>
      <c r="CB195" s="6"/>
      <c r="CC195" s="6"/>
      <c r="CD195" s="6"/>
      <c r="CE195" s="6">
        <v>1.0</v>
      </c>
      <c r="CG195" s="140" t="s">
        <v>287</v>
      </c>
      <c r="CH195" s="140">
        <v>32.0</v>
      </c>
      <c r="CI195" s="6"/>
      <c r="CJ195" s="6"/>
      <c r="CK195" s="140">
        <v>32.0</v>
      </c>
    </row>
    <row r="196">
      <c r="B196" s="141" t="s">
        <v>721</v>
      </c>
      <c r="C196" s="142"/>
      <c r="D196" s="143"/>
      <c r="E196" s="143"/>
      <c r="F196" s="144"/>
      <c r="G196" s="145"/>
      <c r="H196" s="146" t="s">
        <v>287</v>
      </c>
      <c r="I196" s="147" t="str">
        <f>VLOOKUP(H196,'Machine List'!$A$1:$I$300,9,FALSE)</f>
        <v>1T</v>
      </c>
      <c r="J196" s="147">
        <f>IF(VLOOKUP(H196,'Machine List'!$A$1:$I$300,5,FALSE)="Multi",IF(VLOOKUP(H196,'Machine List'!$A$1:$I$300,6,FALSE)="Yes",AI196*3*10^AB196,AI196*(2*3)*10^(AB196-1)),0)</f>
        <v>0</v>
      </c>
      <c r="K196" s="147">
        <f>J196+IF(ISNUMBER(I196),I196,
  SWITCH(
      I196,
      "1T",1*10^AB196,
      "2T",2*10^AB196,
      "3T",3*10^AB196,
      "4T",4*10^AB196,
      "4000+500(7O-5)",4000+500*(7*I197-5),
      "13500 + 16C",13500+16*VLOOKUP(J198,'Machine Helper Sheet'!$G$1:$K$16,5,FALSE),
      1
  )
)</f>
        <v>10</v>
      </c>
      <c r="L196" s="147">
        <f>IF(VLOOKUP(H196,'Machine List'!$A$1:$I$300,5,FALSE)="Multi",IF(VLOOKUP(H196,'Machine List'!$A$1:$I$300,6,FALSE)="Yes",AW196*3*10^AV196,AW196*(2*3)*10^(AV196-1)),0)</f>
        <v>0</v>
      </c>
      <c r="M196" s="147">
        <f>L196+IF(ISNUMBER(I196),I196,
  SWITCH(
      I196,
      "1T",1*10^AV196,
      "2T",2*10^AV196,
      "3T",3*10^AV196,
      "4T",4*10^AV196,
      "4000+500(7O-5)",4000+500*(7*I197-5),
      1
  )
)</f>
        <v>100000</v>
      </c>
      <c r="N196" s="147" t="str">
        <f>VLOOKUP(H196,'Machine List'!$A$1:$I$300,8,FALSE)</f>
        <v>Tier</v>
      </c>
      <c r="O196" s="147">
        <f>IF(ISNUMBER(N196),N196,10^AB196)</f>
        <v>10</v>
      </c>
      <c r="P196" s="147">
        <f>IF(ISNUMBER(N196),N196,10^AV196)</f>
        <v>100000</v>
      </c>
      <c r="Q196" s="147">
        <f>VLOOKUP(H196,'Machine List'!$A$1:$B$138,2,FALSE)</f>
        <v>1</v>
      </c>
      <c r="R196" s="147" t="s">
        <v>277</v>
      </c>
      <c r="S196" s="143">
        <f>IF(ISNUMBER(Q196),Q196,
  SWITCH(
      Q196,
      "1",1,
      "2T",AB196*2,
      "4T",AB196*4,
      "6T",AB196*6,
      "8T",AB196*8,
      "10T",AB196*10,
      "12T",AB196*12,
      "14T",AB196*14,
      "16T",AB196*16,
      "24T",AB196*24,
      "2(T+1)",2*(AB196+1),
      "1T*C",AB196*J198,
      "2*P",L198*2,
      1
  )
)</f>
        <v>1</v>
      </c>
      <c r="T196" s="38" t="s">
        <v>277</v>
      </c>
      <c r="U196" s="147">
        <f>IF(OR(T196="No",T196=""),S196,T196)</f>
        <v>1</v>
      </c>
      <c r="V196" s="147">
        <f>IF(ISNUMBER(Q196),Q196,
  SWITCH(
      Q196,
      "1",1,
      "2T",AV196*2,
      "4T",AV196*4,
      "6T",AV196*6,
      "8T",AV196*8,
      "10T",AV196*10,
      "12T",AV196*12,
      "14T",AV196*14,
      "16T",AV196*16,
      "24T",AV196*24,
      "2(T+1)",2*(AV196+1),
      "1T*C",AV196*J198,
      "2*P",L198*2,
      1
  )
)</f>
        <v>1</v>
      </c>
      <c r="W196" s="147" t="str">
        <f>T196</f>
        <v>No</v>
      </c>
      <c r="X196" s="147">
        <f>IF(OR(W196="No",W196=""),V196,W196)</f>
        <v>1</v>
      </c>
      <c r="Y196" s="38">
        <f>VLOOKUP(H196,'Machine List'!$A$1:$C$138,3,FALSE)</f>
        <v>1</v>
      </c>
      <c r="Z196" s="38">
        <f>VLOOKUP(H196,'Machine List'!$A$1:$D$138,4,FALSE)</f>
        <v>1</v>
      </c>
      <c r="AA196" s="147" t="s">
        <v>390</v>
      </c>
      <c r="AB196" s="147">
        <f>VLOOKUP(AA196,'Item Helper Sheet'!$A$2:$B$16,2,FALSE)</f>
        <v>1</v>
      </c>
      <c r="AC196" s="147">
        <v>30.0</v>
      </c>
      <c r="AD196" s="147">
        <f>15*20</f>
        <v>300</v>
      </c>
      <c r="AE196" s="147">
        <f>AD196*I198</f>
        <v>600</v>
      </c>
      <c r="AF196" s="147">
        <f>AC196*AE196</f>
        <v>18000</v>
      </c>
      <c r="AG196" s="148"/>
      <c r="AH196" s="147" t="str">
        <f>AA196</f>
        <v>01 - LV</v>
      </c>
      <c r="AI196" s="147">
        <v>1.0</v>
      </c>
      <c r="AJ196" s="147">
        <v>1.0</v>
      </c>
      <c r="AK196" s="147">
        <f>AJ196*8*4^AB196</f>
        <v>32</v>
      </c>
      <c r="AL196" s="147">
        <f>MIN(ROUNDDOWN(AK196/AN196,0),U196)</f>
        <v>1</v>
      </c>
      <c r="AM196" s="147">
        <f>IF(OR(T196="No",T196=""),AI196*S196,AI196*T196)</f>
        <v>1</v>
      </c>
      <c r="AN196" s="147">
        <f>ROUNDUP(AC196*VLOOKUP(H196,'Machine List'!$A$2:$D$219,4,FALSE),0)</f>
        <v>30</v>
      </c>
      <c r="AO196" s="147">
        <f>AN196*AM196</f>
        <v>30</v>
      </c>
      <c r="AP196" s="147">
        <f>ROUNDUP(AD196*I198,0)</f>
        <v>600</v>
      </c>
      <c r="AQ196" s="38">
        <f>IF(ISNUMBER(Y196),ROUNDUP(AP196/Y196,0),
  SWITCH(
      Y196,
      "1+0.5C",ROUNDUP(AP196/(1+0.5*VLOOKUP(J198,'Machine Helper Sheet'!$G$1:$K$16,2,FALSE)),0),
      ROUNDUP(AP196/1,0)
  )
)</f>
        <v>600</v>
      </c>
      <c r="AR196" s="147">
        <f>ROUNDUP(AQ196/AM196,0)</f>
        <v>600</v>
      </c>
      <c r="AS196" s="147">
        <f>AO196*AR196</f>
        <v>18000</v>
      </c>
      <c r="AT196" s="148"/>
      <c r="AU196" s="147" t="s">
        <v>405</v>
      </c>
      <c r="AV196" s="147">
        <f>VLOOKUP(AU196,'Item Helper Sheet'!$A$2:$B$16,2,FALSE)</f>
        <v>5</v>
      </c>
      <c r="AW196" s="147">
        <f>AI196</f>
        <v>1</v>
      </c>
      <c r="AX196" s="147">
        <v>1.0</v>
      </c>
      <c r="AY196" s="147">
        <f>AX196*8*4^AV196</f>
        <v>8192</v>
      </c>
      <c r="AZ196" s="147">
        <f>MIN(ROUNDDOWN(AY196/AN196,0),X196)</f>
        <v>1</v>
      </c>
      <c r="BA196" s="147">
        <f>AZ196*AW196</f>
        <v>1</v>
      </c>
      <c r="BB196" s="147">
        <f>AN196</f>
        <v>30</v>
      </c>
      <c r="BC196" s="147">
        <f>MIN(AV196-AB196,IF(AY196&gt;=BB197*4,
IF(AY196&gt;=BB197*4^2,
IF(AY196&gt;=BB197*4^3,
IF(AY196&gt;=BB197*4^4,
IF(AY196&gt;=BB197*4^5,
IF(AY196&gt;=BB197*4^6,
IF(AY196&gt;=BB197*4^7,
IF(AY196&gt;=BB197*4^8,
IF(AY196&gt;=BB197*4^9,
IF(AY196&gt;=BB197*4^10,
9),
8),
7),
6),
5),
4),
3),
2),
1),
0))</f>
        <v>4</v>
      </c>
      <c r="BD196" s="147">
        <f>BB196*AZ196*4^BC196</f>
        <v>7680</v>
      </c>
      <c r="BE196" s="147">
        <f>BD196*AW196</f>
        <v>7680</v>
      </c>
      <c r="BF196" s="143">
        <f>ROUNDUP(IF(R196="Yes",AP196/(2^((BC196)*2)),AP196/(2^(BC196))),0)</f>
        <v>38</v>
      </c>
      <c r="BG196" s="45">
        <f>IF(ISNUMBER(Y196),ROUNDUP(BF196/Y196,0),
  SWITCH(
      Y196,
      "1+0.5C",ROUNDUP(BF196/(1+0.5*VLOOKUP(J198,'Machine Helper Sheet'!$G$1:$K$16,2,FALSE)),0),
      ROUNDUP(BF196/1,0)
  )
)</f>
        <v>38</v>
      </c>
      <c r="BH196" s="143">
        <f>ROUNDUP(BG196/BA196,0)</f>
        <v>38</v>
      </c>
      <c r="BI196" s="149">
        <f>BH196*BE196</f>
        <v>291840</v>
      </c>
      <c r="BK196" s="22"/>
      <c r="BM196" s="6" t="s">
        <v>741</v>
      </c>
      <c r="BN196" s="6">
        <v>1.728E7</v>
      </c>
      <c r="BO196" s="6">
        <v>6.912E7</v>
      </c>
      <c r="BP196" s="6" t="s">
        <v>741</v>
      </c>
      <c r="BQ196" s="6">
        <v>36000.0</v>
      </c>
      <c r="BR196" s="6">
        <v>4500.0</v>
      </c>
      <c r="BS196" s="6" t="s">
        <v>741</v>
      </c>
      <c r="BT196" s="6">
        <v>3.0</v>
      </c>
      <c r="BU196" s="6">
        <v>5.0</v>
      </c>
      <c r="BV196" s="6">
        <v>2.0</v>
      </c>
      <c r="BY196" s="140" t="s">
        <v>376</v>
      </c>
      <c r="BZ196" s="6"/>
      <c r="CA196" s="6"/>
      <c r="CB196" s="6">
        <v>1.0</v>
      </c>
      <c r="CC196" s="6"/>
      <c r="CD196" s="6">
        <v>1.0</v>
      </c>
      <c r="CE196" s="6">
        <v>2.0</v>
      </c>
      <c r="CG196" s="140" t="s">
        <v>376</v>
      </c>
      <c r="CH196" s="6"/>
      <c r="CI196" s="6"/>
      <c r="CJ196" s="140">
        <v>8704.0</v>
      </c>
      <c r="CK196" s="140">
        <v>8704.0</v>
      </c>
    </row>
    <row r="197">
      <c r="B197" s="150"/>
      <c r="C197" s="151" t="s">
        <v>256</v>
      </c>
      <c r="D197" s="147">
        <f>1*I198</f>
        <v>2</v>
      </c>
      <c r="E197" s="147" t="s">
        <v>257</v>
      </c>
      <c r="F197" s="152">
        <f>1*I198</f>
        <v>2</v>
      </c>
      <c r="G197" s="138"/>
      <c r="H197" s="153" t="s">
        <v>584</v>
      </c>
      <c r="I197" s="143">
        <f t="array" ref="I197">match(TRUE,ISBLANK(F197:F209),0)-1</f>
        <v>1</v>
      </c>
      <c r="J197" s="154" t="s">
        <v>420</v>
      </c>
      <c r="K197" s="154" t="s">
        <v>585</v>
      </c>
      <c r="L197" s="100" t="s">
        <v>704</v>
      </c>
      <c r="M197" s="147"/>
      <c r="N197" s="147"/>
      <c r="O197" s="147"/>
      <c r="P197" s="147"/>
      <c r="Q197" s="147"/>
      <c r="R197" s="155"/>
      <c r="S197" s="155"/>
      <c r="T197" s="155"/>
      <c r="U197" s="143"/>
      <c r="V197" s="143"/>
      <c r="W197" s="143"/>
      <c r="X197" s="143"/>
      <c r="Y197" s="143"/>
      <c r="Z197" s="143"/>
      <c r="AA197" s="143"/>
      <c r="AB197" s="143"/>
      <c r="AC197" s="143"/>
      <c r="AD197" s="143"/>
      <c r="AE197" s="143"/>
      <c r="AF197" s="143"/>
      <c r="AG197" s="156"/>
      <c r="AH197" s="143"/>
      <c r="AI197" s="143"/>
      <c r="AJ197" s="143"/>
      <c r="AK197" s="143"/>
      <c r="AL197" s="143"/>
      <c r="AM197" s="143"/>
      <c r="AN197" s="143"/>
      <c r="AO197" s="143"/>
      <c r="AP197" s="143"/>
      <c r="AQ197" s="143"/>
      <c r="AR197" s="143"/>
      <c r="AS197" s="143"/>
      <c r="AT197" s="156"/>
      <c r="AU197" s="143"/>
      <c r="AV197" s="143"/>
      <c r="AW197" s="143"/>
      <c r="AX197" s="143"/>
      <c r="AY197" s="143"/>
      <c r="AZ197" s="143"/>
      <c r="BA197" s="143"/>
      <c r="BB197" s="143">
        <f>BB196*AZ196</f>
        <v>30</v>
      </c>
      <c r="BC197" s="143"/>
      <c r="BD197" s="143"/>
      <c r="BE197" s="143"/>
      <c r="BF197" s="143"/>
      <c r="BG197" s="143"/>
      <c r="BH197" s="143"/>
      <c r="BI197" s="149"/>
      <c r="BK197" s="22"/>
      <c r="BM197" s="140" t="s">
        <v>742</v>
      </c>
      <c r="BN197" s="140">
        <v>79800.0</v>
      </c>
      <c r="BO197" s="140">
        <v>80640.0</v>
      </c>
      <c r="BP197" s="140" t="s">
        <v>742</v>
      </c>
      <c r="BQ197" s="140">
        <v>11400.0</v>
      </c>
      <c r="BR197" s="140">
        <v>45.0</v>
      </c>
      <c r="BS197" s="140" t="s">
        <v>742</v>
      </c>
      <c r="BT197" s="140">
        <v>1.0</v>
      </c>
      <c r="BU197" s="140">
        <v>5.0</v>
      </c>
      <c r="BV197" s="140">
        <v>1.0</v>
      </c>
      <c r="BY197" s="140" t="s">
        <v>297</v>
      </c>
      <c r="BZ197" s="6">
        <v>3.0</v>
      </c>
      <c r="CA197" s="6">
        <v>1.0</v>
      </c>
      <c r="CB197" s="6">
        <v>1.0</v>
      </c>
      <c r="CC197" s="6"/>
      <c r="CD197" s="6"/>
      <c r="CE197" s="6">
        <v>5.0</v>
      </c>
      <c r="CG197" s="140" t="s">
        <v>297</v>
      </c>
      <c r="CH197" s="140">
        <v>736.0</v>
      </c>
      <c r="CI197" s="6"/>
      <c r="CJ197" s="6"/>
      <c r="CK197" s="140">
        <v>736.0</v>
      </c>
    </row>
    <row r="198">
      <c r="B198" s="150"/>
      <c r="C198" s="151" t="s">
        <v>48</v>
      </c>
      <c r="D198" s="147">
        <f>4000*I198</f>
        <v>8000</v>
      </c>
      <c r="E198" s="147"/>
      <c r="F198" s="152"/>
      <c r="G198" s="138"/>
      <c r="H198" s="157" t="s">
        <v>502</v>
      </c>
      <c r="I198" s="158">
        <v>2.0</v>
      </c>
      <c r="J198" s="154" t="s">
        <v>424</v>
      </c>
      <c r="K198" s="154">
        <v>0.0</v>
      </c>
      <c r="L198" s="100">
        <v>0.0</v>
      </c>
      <c r="M198" s="143"/>
      <c r="N198" s="143"/>
      <c r="O198" s="143"/>
      <c r="P198" s="143"/>
      <c r="Q198" s="143"/>
      <c r="R198" s="143"/>
      <c r="S198" s="155"/>
      <c r="T198" s="155"/>
      <c r="U198" s="143"/>
      <c r="V198" s="143"/>
      <c r="W198" s="143"/>
      <c r="X198" s="143"/>
      <c r="Y198" s="143"/>
      <c r="Z198" s="143"/>
      <c r="AA198" s="143"/>
      <c r="AB198" s="143"/>
      <c r="AC198" s="143"/>
      <c r="AD198" s="143"/>
      <c r="AE198" s="143"/>
      <c r="AF198" s="143"/>
      <c r="AG198" s="156"/>
      <c r="AH198" s="143"/>
      <c r="AI198" s="143"/>
      <c r="AJ198" s="143"/>
      <c r="AK198" s="143"/>
      <c r="AL198" s="143"/>
      <c r="AM198" s="143"/>
      <c r="AN198" s="143"/>
      <c r="AO198" s="143"/>
      <c r="AP198" s="143"/>
      <c r="AQ198" s="143"/>
      <c r="AR198" s="143"/>
      <c r="AS198" s="143"/>
      <c r="AT198" s="156"/>
      <c r="AU198" s="143"/>
      <c r="AV198" s="143"/>
      <c r="AW198" s="143"/>
      <c r="AX198" s="143"/>
      <c r="AY198" s="143"/>
      <c r="AZ198" s="143"/>
      <c r="BA198" s="143"/>
      <c r="BB198" s="143"/>
      <c r="BC198" s="143"/>
      <c r="BD198" s="143"/>
      <c r="BE198" s="143"/>
      <c r="BF198" s="143"/>
      <c r="BG198" s="143"/>
      <c r="BH198" s="143"/>
      <c r="BI198" s="149"/>
      <c r="BK198" s="22"/>
      <c r="BM198" s="140" t="s">
        <v>743</v>
      </c>
      <c r="BN198" s="140">
        <v>1.0944E7</v>
      </c>
      <c r="BO198" s="140">
        <v>1.4592E7</v>
      </c>
      <c r="BP198" s="140" t="s">
        <v>743</v>
      </c>
      <c r="BQ198" s="140">
        <v>7600.0</v>
      </c>
      <c r="BR198" s="140">
        <v>3800.0</v>
      </c>
      <c r="BS198" s="140" t="s">
        <v>743</v>
      </c>
      <c r="BT198" s="140">
        <v>3.0</v>
      </c>
      <c r="BU198" s="140">
        <v>5.0</v>
      </c>
      <c r="BV198" s="140">
        <v>2.0</v>
      </c>
      <c r="BY198" s="140" t="s">
        <v>298</v>
      </c>
      <c r="BZ198" s="6"/>
      <c r="CA198" s="6"/>
      <c r="CB198" s="6"/>
      <c r="CC198" s="6"/>
      <c r="CD198" s="6">
        <v>1.0</v>
      </c>
      <c r="CE198" s="6">
        <v>1.0</v>
      </c>
      <c r="CG198" s="140" t="s">
        <v>298</v>
      </c>
      <c r="CH198" s="140">
        <v>8192.0</v>
      </c>
      <c r="CI198" s="6"/>
      <c r="CJ198" s="6"/>
      <c r="CK198" s="140">
        <v>8192.0</v>
      </c>
    </row>
    <row r="199">
      <c r="B199" s="135"/>
      <c r="C199" s="136"/>
      <c r="D199" s="137"/>
      <c r="E199" s="137"/>
      <c r="F199" s="137"/>
      <c r="G199" s="138"/>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c r="AG199" s="138"/>
      <c r="AH199" s="137"/>
      <c r="AI199" s="137"/>
      <c r="AJ199" s="137"/>
      <c r="AK199" s="137"/>
      <c r="AL199" s="137"/>
      <c r="AM199" s="137"/>
      <c r="AN199" s="137"/>
      <c r="AO199" s="137"/>
      <c r="AP199" s="137"/>
      <c r="AQ199" s="137"/>
      <c r="AR199" s="137"/>
      <c r="AS199" s="137"/>
      <c r="AT199" s="138"/>
      <c r="AU199" s="137"/>
      <c r="AV199" s="137"/>
      <c r="AW199" s="137"/>
      <c r="AX199" s="137"/>
      <c r="AY199" s="137"/>
      <c r="AZ199" s="137"/>
      <c r="BA199" s="137"/>
      <c r="BB199" s="137"/>
      <c r="BC199" s="137"/>
      <c r="BD199" s="137"/>
      <c r="BE199" s="137"/>
      <c r="BF199" s="137"/>
      <c r="BG199" s="137"/>
      <c r="BH199" s="137"/>
      <c r="BI199" s="139"/>
      <c r="BK199" s="22"/>
      <c r="BM199" s="140" t="s">
        <v>744</v>
      </c>
      <c r="BN199" s="140">
        <v>9.6768E8</v>
      </c>
      <c r="BO199" s="140">
        <v>9.6768E8</v>
      </c>
      <c r="BP199" s="140" t="s">
        <v>744</v>
      </c>
      <c r="BQ199" s="140">
        <v>126000.0</v>
      </c>
      <c r="BR199" s="140">
        <v>126000.0</v>
      </c>
      <c r="BS199" s="140" t="s">
        <v>744</v>
      </c>
      <c r="BT199" s="140">
        <v>5.0</v>
      </c>
      <c r="BU199" s="140">
        <v>5.0</v>
      </c>
      <c r="BV199" s="140">
        <v>1.0</v>
      </c>
      <c r="BY199" s="140" t="s">
        <v>301</v>
      </c>
      <c r="BZ199" s="6"/>
      <c r="CA199" s="6"/>
      <c r="CB199" s="6">
        <v>1.0</v>
      </c>
      <c r="CC199" s="6">
        <v>1.0</v>
      </c>
      <c r="CD199" s="6"/>
      <c r="CE199" s="6">
        <v>2.0</v>
      </c>
      <c r="CG199" s="140" t="s">
        <v>301</v>
      </c>
      <c r="CH199" s="140">
        <v>2560.0</v>
      </c>
      <c r="CI199" s="6"/>
      <c r="CJ199" s="6"/>
      <c r="CK199" s="140">
        <v>2560.0</v>
      </c>
    </row>
    <row r="200">
      <c r="B200" s="141" t="s">
        <v>722</v>
      </c>
      <c r="C200" s="142"/>
      <c r="D200" s="143"/>
      <c r="E200" s="143"/>
      <c r="F200" s="144"/>
      <c r="G200" s="145"/>
      <c r="H200" s="146" t="s">
        <v>351</v>
      </c>
      <c r="I200" s="147" t="str">
        <f>VLOOKUP(H200,'Machine List'!$A$1:$I$300,9,FALSE)</f>
        <v>1T</v>
      </c>
      <c r="J200" s="147">
        <f>IF(VLOOKUP(H200,'Machine List'!$A$1:$I$300,5,FALSE)="Multi",IF(VLOOKUP(H200,'Machine List'!$A$1:$I$300,6,FALSE)="Yes",AI200*3*10^AB200,AI200*(2*3)*10^(AB200-1)),0)</f>
        <v>0</v>
      </c>
      <c r="K200" s="147">
        <f>J200+IF(ISNUMBER(I200),I200,
  SWITCH(
      I200,
      "1T",1*10^AB200,
      "2T",2*10^AB200,
      "3T",3*10^AB200,
      "4T",4*10^AB200,
      "4000+500(7O-5)",4000+500*(7*I201-5),
      "13500 + 16C",13500+16*VLOOKUP(J202,'Machine Helper Sheet'!$G$1:$K$16,5,FALSE),
      1
  )
)</f>
        <v>10</v>
      </c>
      <c r="L200" s="147">
        <f>IF(VLOOKUP(H200,'Machine List'!$A$1:$I$300,5,FALSE)="Multi",IF(VLOOKUP(H200,'Machine List'!$A$1:$I$300,6,FALSE)="Yes",AW200*3*10^AV200,AW200*(2*3)*10^(AV200-1)),0)</f>
        <v>0</v>
      </c>
      <c r="M200" s="147">
        <f>L200+IF(ISNUMBER(I200),I200,
  SWITCH(
      I200,
      "1T",1*10^AV200,
      "2T",2*10^AV200,
      "3T",3*10^AV200,
      "4T",4*10^AV200,
      "4000+500(7O-5)",4000+500*(7*I201-5),
      1
  )
)</f>
        <v>100000</v>
      </c>
      <c r="N200" s="147" t="str">
        <f>VLOOKUP(H200,'Machine List'!$A$1:$I$300,8,FALSE)</f>
        <v>Tier</v>
      </c>
      <c r="O200" s="147">
        <f>IF(ISNUMBER(N200),N200,10^AB200)</f>
        <v>10</v>
      </c>
      <c r="P200" s="147">
        <f>IF(ISNUMBER(N200),N200,10^AV200)</f>
        <v>100000</v>
      </c>
      <c r="Q200" s="147">
        <f>VLOOKUP(H200,'Machine List'!$A$1:$B$138,2,FALSE)</f>
        <v>1</v>
      </c>
      <c r="R200" s="147" t="s">
        <v>277</v>
      </c>
      <c r="S200" s="143">
        <f>IF(ISNUMBER(Q200),Q200,
  SWITCH(
      Q200,
      "1",1,
      "2T",AB200*2,
      "4T",AB200*4,
      "6T",AB200*6,
      "8T",AB200*8,
      "10T",AB200*10,
      "12T",AB200*12,
      "14T",AB200*14,
      "16T",AB200*16,
      "24T",AB200*24,
      "2(T+1)",2*(AB200+1),
      "1T*C",AB200*J202,
      "2*P",L202*2,
      1
  )
)</f>
        <v>1</v>
      </c>
      <c r="T200" s="38" t="s">
        <v>277</v>
      </c>
      <c r="U200" s="147">
        <f>IF(OR(T200="No",T200=""),S200,T200)</f>
        <v>1</v>
      </c>
      <c r="V200" s="147">
        <f>IF(ISNUMBER(Q200),Q200,
  SWITCH(
      Q200,
      "1",1,
      "2T",AV200*2,
      "4T",AV200*4,
      "6T",AV200*6,
      "8T",AV200*8,
      "10T",AV200*10,
      "12T",AV200*12,
      "14T",AV200*14,
      "16T",AV200*16,
      "24T",AV200*24,
      "2(T+1)",2*(AV200+1),
      "1T*C",AV200*J202,
      "2*P",L202*2,
      1
  )
)</f>
        <v>1</v>
      </c>
      <c r="W200" s="147" t="str">
        <f>T200</f>
        <v>No</v>
      </c>
      <c r="X200" s="147">
        <f>IF(OR(W200="No",W200=""),V200,W200)</f>
        <v>1</v>
      </c>
      <c r="Y200" s="38">
        <f>VLOOKUP(H200,'Machine List'!$A$1:$C$138,3,FALSE)</f>
        <v>1</v>
      </c>
      <c r="Z200" s="38">
        <f>VLOOKUP(H200,'Machine List'!$A$1:$D$138,4,FALSE)</f>
        <v>1</v>
      </c>
      <c r="AA200" s="147" t="s">
        <v>390</v>
      </c>
      <c r="AB200" s="147">
        <f>VLOOKUP(AA200,'Item Helper Sheet'!$A$2:$B$16,2,FALSE)</f>
        <v>1</v>
      </c>
      <c r="AC200" s="147">
        <v>2.0</v>
      </c>
      <c r="AD200" s="147">
        <f>20*20</f>
        <v>400</v>
      </c>
      <c r="AE200" s="147">
        <f>AD200*I202</f>
        <v>800</v>
      </c>
      <c r="AF200" s="147">
        <f>AC200*AE200</f>
        <v>1600</v>
      </c>
      <c r="AG200" s="148"/>
      <c r="AH200" s="147" t="str">
        <f>AA200</f>
        <v>01 - LV</v>
      </c>
      <c r="AI200" s="147">
        <v>1.0</v>
      </c>
      <c r="AJ200" s="147">
        <v>1.0</v>
      </c>
      <c r="AK200" s="147">
        <f>AJ200*8*4^AB200</f>
        <v>32</v>
      </c>
      <c r="AL200" s="147">
        <f>MIN(ROUNDDOWN(AK200/AN200,0),U200)</f>
        <v>1</v>
      </c>
      <c r="AM200" s="147">
        <f>IF(OR(T200="No",T200=""),AI200*S200,AI200*T200)</f>
        <v>1</v>
      </c>
      <c r="AN200" s="147">
        <f>ROUNDUP(AC200*VLOOKUP(H200,'Machine List'!$A$2:$D$219,4,FALSE),0)</f>
        <v>2</v>
      </c>
      <c r="AO200" s="147">
        <f>AN200*AM200</f>
        <v>2</v>
      </c>
      <c r="AP200" s="147">
        <f>ROUNDUP(AD200*I202,0)</f>
        <v>800</v>
      </c>
      <c r="AQ200" s="38">
        <f>IF(ISNUMBER(Y200),ROUNDUP(AP200/Y200,0),
  SWITCH(
      Y200,
      "1+0.5C",ROUNDUP(AP200/(1+0.5*VLOOKUP(J202,'Machine Helper Sheet'!$G$1:$K$16,2,FALSE)),0),
      ROUNDUP(AP200/1,0)
  )
)</f>
        <v>800</v>
      </c>
      <c r="AR200" s="147">
        <f>ROUNDUP(AQ200/AM200,0)</f>
        <v>800</v>
      </c>
      <c r="AS200" s="147">
        <f>AO200*AR200</f>
        <v>1600</v>
      </c>
      <c r="AT200" s="148"/>
      <c r="AU200" s="147" t="s">
        <v>405</v>
      </c>
      <c r="AV200" s="147">
        <f>VLOOKUP(AU200,'Item Helper Sheet'!$A$2:$B$16,2,FALSE)</f>
        <v>5</v>
      </c>
      <c r="AW200" s="147">
        <f>AI200</f>
        <v>1</v>
      </c>
      <c r="AX200" s="147">
        <v>1.0</v>
      </c>
      <c r="AY200" s="147">
        <f>AX200*8*4^AV200</f>
        <v>8192</v>
      </c>
      <c r="AZ200" s="147">
        <f>MIN(ROUNDDOWN(AY200/AN200,0),X200)</f>
        <v>1</v>
      </c>
      <c r="BA200" s="147">
        <f>AZ200*AW200</f>
        <v>1</v>
      </c>
      <c r="BB200" s="147">
        <f>AN200</f>
        <v>2</v>
      </c>
      <c r="BC200" s="147">
        <f>MIN(AV200-AB200,IF(AY200&gt;=BB201*4,
IF(AY200&gt;=BB201*4^2,
IF(AY200&gt;=BB201*4^3,
IF(AY200&gt;=BB201*4^4,
IF(AY200&gt;=BB201*4^5,
IF(AY200&gt;=BB201*4^6,
IF(AY200&gt;=BB201*4^7,
IF(AY200&gt;=BB201*4^8,
IF(AY200&gt;=BB201*4^9,
IF(AY200&gt;=BB201*4^10,
9),
8),
7),
6),
5),
4),
3),
2),
1),
0))</f>
        <v>4</v>
      </c>
      <c r="BD200" s="147">
        <f>BB200*AZ200*4^BC200</f>
        <v>512</v>
      </c>
      <c r="BE200" s="147">
        <f>BD200*AW200</f>
        <v>512</v>
      </c>
      <c r="BF200" s="143">
        <f>ROUNDUP(IF(R200="Yes",AP200/(2^((BC200)*2)),AP200/(2^(BC200))),0)</f>
        <v>50</v>
      </c>
      <c r="BG200" s="45">
        <f>IF(ISNUMBER(Y200),ROUNDUP(BF200/Y200,0),
  SWITCH(
      Y200,
      "1+0.5C",ROUNDUP(BF200/(1+0.5*VLOOKUP(J202,'Machine Helper Sheet'!$G$1:$K$16,2,FALSE)),0),
      ROUNDUP(BF200/1,0)
  )
)</f>
        <v>50</v>
      </c>
      <c r="BH200" s="143">
        <f>ROUNDUP(BG200/BA200,0)</f>
        <v>50</v>
      </c>
      <c r="BI200" s="149">
        <f>BH200*BE200</f>
        <v>25600</v>
      </c>
      <c r="BK200" s="22"/>
      <c r="BM200" s="140" t="s">
        <v>745</v>
      </c>
      <c r="BN200" s="140">
        <v>9.216E7</v>
      </c>
      <c r="BO200" s="140">
        <v>6.144E7</v>
      </c>
      <c r="BP200" s="140" t="s">
        <v>745</v>
      </c>
      <c r="BQ200" s="140">
        <v>4000.0</v>
      </c>
      <c r="BR200" s="140">
        <v>8000.0</v>
      </c>
      <c r="BS200" s="140" t="s">
        <v>745</v>
      </c>
      <c r="BT200" s="140">
        <v>5.0</v>
      </c>
      <c r="BU200" s="140">
        <v>5.0</v>
      </c>
      <c r="BV200" s="140">
        <v>1.0</v>
      </c>
      <c r="BY200" s="140" t="s">
        <v>309</v>
      </c>
      <c r="BZ200" s="6"/>
      <c r="CA200" s="6"/>
      <c r="CB200" s="6">
        <v>3.0</v>
      </c>
      <c r="CC200" s="6">
        <v>1.0</v>
      </c>
      <c r="CD200" s="6"/>
      <c r="CE200" s="6">
        <v>4.0</v>
      </c>
      <c r="CG200" s="140" t="s">
        <v>309</v>
      </c>
      <c r="CH200" s="140">
        <v>3584.0</v>
      </c>
      <c r="CI200" s="6"/>
      <c r="CJ200" s="6"/>
      <c r="CK200" s="140">
        <v>3584.0</v>
      </c>
    </row>
    <row r="201">
      <c r="B201" s="150"/>
      <c r="C201" s="147" t="s">
        <v>257</v>
      </c>
      <c r="D201" s="147">
        <f>1*I202</f>
        <v>2</v>
      </c>
      <c r="E201" s="147" t="s">
        <v>258</v>
      </c>
      <c r="F201" s="152">
        <f>5*I202</f>
        <v>10</v>
      </c>
      <c r="G201" s="138"/>
      <c r="H201" s="153" t="s">
        <v>584</v>
      </c>
      <c r="I201" s="143">
        <f t="array" ref="I201">match(TRUE,ISBLANK(F201:F213),0)-1</f>
        <v>1</v>
      </c>
      <c r="J201" s="154" t="s">
        <v>420</v>
      </c>
      <c r="K201" s="154" t="s">
        <v>585</v>
      </c>
      <c r="L201" s="100" t="s">
        <v>704</v>
      </c>
      <c r="M201" s="147"/>
      <c r="N201" s="147"/>
      <c r="O201" s="147"/>
      <c r="P201" s="147"/>
      <c r="Q201" s="147"/>
      <c r="R201" s="155"/>
      <c r="S201" s="155"/>
      <c r="T201" s="155"/>
      <c r="U201" s="143"/>
      <c r="V201" s="143"/>
      <c r="W201" s="143"/>
      <c r="X201" s="143"/>
      <c r="Y201" s="143"/>
      <c r="Z201" s="143"/>
      <c r="AA201" s="143"/>
      <c r="AB201" s="143"/>
      <c r="AC201" s="143"/>
      <c r="AD201" s="143"/>
      <c r="AE201" s="143"/>
      <c r="AF201" s="143"/>
      <c r="AG201" s="156"/>
      <c r="AH201" s="143"/>
      <c r="AI201" s="143"/>
      <c r="AJ201" s="143"/>
      <c r="AK201" s="143"/>
      <c r="AL201" s="143"/>
      <c r="AM201" s="143"/>
      <c r="AN201" s="143"/>
      <c r="AO201" s="143"/>
      <c r="AP201" s="143"/>
      <c r="AQ201" s="143"/>
      <c r="AR201" s="143"/>
      <c r="AS201" s="143"/>
      <c r="AT201" s="156"/>
      <c r="AU201" s="143"/>
      <c r="AV201" s="143"/>
      <c r="AW201" s="143"/>
      <c r="AX201" s="143"/>
      <c r="AY201" s="143"/>
      <c r="AZ201" s="143"/>
      <c r="BA201" s="143"/>
      <c r="BB201" s="143">
        <f>BB200*AZ200</f>
        <v>2</v>
      </c>
      <c r="BC201" s="143"/>
      <c r="BD201" s="143"/>
      <c r="BE201" s="143"/>
      <c r="BF201" s="143"/>
      <c r="BG201" s="143"/>
      <c r="BH201" s="143"/>
      <c r="BI201" s="149"/>
      <c r="BK201" s="22"/>
      <c r="BM201" s="140" t="s">
        <v>721</v>
      </c>
      <c r="BN201" s="140">
        <v>18000.0</v>
      </c>
      <c r="BO201" s="140">
        <v>291840.0</v>
      </c>
      <c r="BP201" s="140" t="s">
        <v>721</v>
      </c>
      <c r="BQ201" s="140">
        <v>600.0</v>
      </c>
      <c r="BR201" s="140">
        <v>38.0</v>
      </c>
      <c r="BS201" s="140" t="s">
        <v>721</v>
      </c>
      <c r="BT201" s="140">
        <v>1.0</v>
      </c>
      <c r="BU201" s="140">
        <v>5.0</v>
      </c>
      <c r="BV201" s="140">
        <v>1.0</v>
      </c>
      <c r="BY201" s="140" t="s">
        <v>310</v>
      </c>
      <c r="BZ201" s="6"/>
      <c r="CA201" s="6"/>
      <c r="CB201" s="6">
        <v>1.0</v>
      </c>
      <c r="CC201" s="6"/>
      <c r="CD201" s="6"/>
      <c r="CE201" s="6">
        <v>1.0</v>
      </c>
      <c r="CG201" s="140" t="s">
        <v>310</v>
      </c>
      <c r="CH201" s="140">
        <v>512.0</v>
      </c>
      <c r="CI201" s="6"/>
      <c r="CJ201" s="6"/>
      <c r="CK201" s="140">
        <v>512.0</v>
      </c>
    </row>
    <row r="202">
      <c r="B202" s="150"/>
      <c r="C202" s="151"/>
      <c r="D202" s="147"/>
      <c r="E202" s="147"/>
      <c r="F202" s="152"/>
      <c r="G202" s="138"/>
      <c r="H202" s="157" t="s">
        <v>502</v>
      </c>
      <c r="I202" s="158">
        <v>2.0</v>
      </c>
      <c r="J202" s="154" t="s">
        <v>424</v>
      </c>
      <c r="K202" s="154">
        <v>0.0</v>
      </c>
      <c r="L202" s="100">
        <v>0.0</v>
      </c>
      <c r="M202" s="143"/>
      <c r="N202" s="143"/>
      <c r="O202" s="143"/>
      <c r="P202" s="143"/>
      <c r="Q202" s="143"/>
      <c r="R202" s="143"/>
      <c r="S202" s="155"/>
      <c r="T202" s="155"/>
      <c r="U202" s="143"/>
      <c r="V202" s="143"/>
      <c r="W202" s="143"/>
      <c r="X202" s="143"/>
      <c r="Y202" s="143"/>
      <c r="Z202" s="143"/>
      <c r="AA202" s="143"/>
      <c r="AB202" s="143"/>
      <c r="AC202" s="143"/>
      <c r="AD202" s="143"/>
      <c r="AE202" s="143"/>
      <c r="AF202" s="143"/>
      <c r="AG202" s="156"/>
      <c r="AH202" s="143"/>
      <c r="AI202" s="143"/>
      <c r="AJ202" s="143"/>
      <c r="AK202" s="143"/>
      <c r="AL202" s="143"/>
      <c r="AM202" s="143"/>
      <c r="AN202" s="143"/>
      <c r="AO202" s="143"/>
      <c r="AP202" s="143"/>
      <c r="AQ202" s="143"/>
      <c r="AR202" s="143"/>
      <c r="AS202" s="143"/>
      <c r="AT202" s="156"/>
      <c r="AU202" s="143"/>
      <c r="AV202" s="143"/>
      <c r="AW202" s="143"/>
      <c r="AX202" s="143"/>
      <c r="AY202" s="143"/>
      <c r="AZ202" s="143"/>
      <c r="BA202" s="143"/>
      <c r="BB202" s="143"/>
      <c r="BC202" s="143"/>
      <c r="BD202" s="143"/>
      <c r="BE202" s="143"/>
      <c r="BF202" s="143"/>
      <c r="BG202" s="143"/>
      <c r="BH202" s="143"/>
      <c r="BI202" s="149"/>
      <c r="BK202" s="22"/>
      <c r="BM202" s="140" t="s">
        <v>722</v>
      </c>
      <c r="BN202" s="140">
        <v>1600.0</v>
      </c>
      <c r="BO202" s="140">
        <v>25600.0</v>
      </c>
      <c r="BP202" s="140" t="s">
        <v>722</v>
      </c>
      <c r="BQ202" s="140">
        <v>800.0</v>
      </c>
      <c r="BR202" s="140">
        <v>50.0</v>
      </c>
      <c r="BS202" s="140" t="s">
        <v>722</v>
      </c>
      <c r="BT202" s="140">
        <v>1.0</v>
      </c>
      <c r="BU202" s="140">
        <v>5.0</v>
      </c>
      <c r="BV202" s="140">
        <v>1.0</v>
      </c>
      <c r="BY202" s="140" t="s">
        <v>379</v>
      </c>
      <c r="BZ202" s="6"/>
      <c r="CA202" s="6"/>
      <c r="CB202" s="6"/>
      <c r="CC202" s="6">
        <v>1.0</v>
      </c>
      <c r="CD202" s="6"/>
      <c r="CE202" s="6">
        <v>1.0</v>
      </c>
      <c r="CG202" s="140" t="s">
        <v>379</v>
      </c>
      <c r="CH202" s="140">
        <v>2048.0</v>
      </c>
      <c r="CI202" s="6"/>
      <c r="CJ202" s="6"/>
      <c r="CK202" s="140">
        <v>2048.0</v>
      </c>
    </row>
    <row r="203">
      <c r="B203" s="135"/>
      <c r="C203" s="136"/>
      <c r="D203" s="137"/>
      <c r="E203" s="137"/>
      <c r="F203" s="137"/>
      <c r="G203" s="138"/>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c r="AG203" s="138"/>
      <c r="AH203" s="137"/>
      <c r="AI203" s="137"/>
      <c r="AJ203" s="137"/>
      <c r="AK203" s="137"/>
      <c r="AL203" s="137"/>
      <c r="AM203" s="137"/>
      <c r="AN203" s="137"/>
      <c r="AO203" s="137"/>
      <c r="AP203" s="137"/>
      <c r="AQ203" s="137"/>
      <c r="AR203" s="137"/>
      <c r="AS203" s="137"/>
      <c r="AT203" s="138"/>
      <c r="AU203" s="137"/>
      <c r="AV203" s="137"/>
      <c r="AW203" s="137"/>
      <c r="AX203" s="137"/>
      <c r="AY203" s="137"/>
      <c r="AZ203" s="137"/>
      <c r="BA203" s="137"/>
      <c r="BB203" s="137"/>
      <c r="BC203" s="137"/>
      <c r="BD203" s="137"/>
      <c r="BE203" s="137"/>
      <c r="BF203" s="137"/>
      <c r="BG203" s="137"/>
      <c r="BH203" s="137"/>
      <c r="BI203" s="139"/>
      <c r="BK203" s="22"/>
      <c r="BM203" s="140" t="s">
        <v>723</v>
      </c>
      <c r="BN203" s="140">
        <v>4080000.0</v>
      </c>
      <c r="BO203" s="140">
        <v>1.632E7</v>
      </c>
      <c r="BP203" s="140" t="s">
        <v>723</v>
      </c>
      <c r="BQ203" s="140">
        <v>12000.0</v>
      </c>
      <c r="BR203" s="140">
        <v>3000.0</v>
      </c>
      <c r="BS203" s="140" t="s">
        <v>723</v>
      </c>
      <c r="BT203" s="140">
        <v>3.0</v>
      </c>
      <c r="BU203" s="140">
        <v>5.0</v>
      </c>
      <c r="BV203" s="140">
        <v>1.0</v>
      </c>
      <c r="BY203" s="140" t="s">
        <v>349</v>
      </c>
      <c r="BZ203" s="6">
        <v>7.0</v>
      </c>
      <c r="CA203" s="6">
        <v>2.0</v>
      </c>
      <c r="CB203" s="6">
        <v>1.0</v>
      </c>
      <c r="CC203" s="6"/>
      <c r="CD203" s="6"/>
      <c r="CE203" s="6">
        <v>10.0</v>
      </c>
      <c r="CG203" s="140" t="s">
        <v>349</v>
      </c>
      <c r="CH203" s="140">
        <v>992.0</v>
      </c>
      <c r="CI203" s="6"/>
      <c r="CJ203" s="6"/>
      <c r="CK203" s="140">
        <v>992.0</v>
      </c>
    </row>
    <row r="204">
      <c r="B204" s="141" t="s">
        <v>723</v>
      </c>
      <c r="C204" s="142"/>
      <c r="D204" s="143"/>
      <c r="E204" s="143"/>
      <c r="F204" s="144"/>
      <c r="G204" s="145"/>
      <c r="H204" s="146" t="s">
        <v>301</v>
      </c>
      <c r="I204" s="147">
        <f>VLOOKUP(H204,'Machine List'!$A$1:$I$300,9,FALSE)</f>
        <v>1000</v>
      </c>
      <c r="J204" s="147">
        <f>IF(VLOOKUP(H204,'Machine List'!$A$1:$I$300,5,FALSE)="Multi",IF(VLOOKUP(H204,'Machine List'!$A$1:$I$300,6,FALSE)="Yes",AI204*3*10^AB204,AI204*(2*3)*10^(AB204-1)),0)</f>
        <v>600</v>
      </c>
      <c r="K204" s="147">
        <f>J204+IF(ISNUMBER(I204),I204,
  SWITCH(
      I204,
      "1T",1*10^AB204,
      "2T",2*10^AB204,
      "3T",3*10^AB204,
      "4T",4*10^AB204,
      "4000+500(7O-5)",4000+500*(7*I205-5),
      "13500 + 16C",13500+16*VLOOKUP(J206,'Machine Helper Sheet'!$G$1:$K$16,5,FALSE),
      1
  )
)</f>
        <v>1600</v>
      </c>
      <c r="L204" s="147">
        <f>IF(VLOOKUP(H204,'Machine List'!$A$1:$I$300,5,FALSE)="Multi",IF(VLOOKUP(H204,'Machine List'!$A$1:$I$300,6,FALSE)="Yes",AW204*3*10^AV204,AW204*(2*3)*10^(AV204-1)),0)</f>
        <v>60000</v>
      </c>
      <c r="M204" s="147">
        <f>L204+IF(ISNUMBER(I204),I204,
  SWITCH(
      I204,
      "1T",1*10^AV204,
      "2T",2*10^AV204,
      "3T",3*10^AV204,
      "4T",4*10^AV204,
      "4000+500(7O-5)",4000+500*(7*I205-5),
      1
  )
)</f>
        <v>61000</v>
      </c>
      <c r="N204" s="147" t="str">
        <f>VLOOKUP(H204,'Machine List'!$A$1:$I$300,8,FALSE)</f>
        <v>Tier</v>
      </c>
      <c r="O204" s="147">
        <f>IF(ISNUMBER(N204),N204,10^AB204)</f>
        <v>1000</v>
      </c>
      <c r="P204" s="147">
        <f>IF(ISNUMBER(N204),N204,10^AV204)</f>
        <v>100000</v>
      </c>
      <c r="Q204" s="147">
        <f>VLOOKUP(H204,'Machine List'!$A$1:$B$138,2,FALSE)</f>
        <v>1</v>
      </c>
      <c r="R204" s="147" t="s">
        <v>277</v>
      </c>
      <c r="S204" s="143">
        <f>IF(ISNUMBER(Q204),Q204,
  SWITCH(
      Q204,
      "1",1,
      "2T",AB204*2,
      "4T",AB204*4,
      "6T",AB204*6,
      "8T",AB204*8,
      "10T",AB204*10,
      "12T",AB204*12,
      "14T",AB204*14,
      "16T",AB204*16,
      "24T",AB204*24,
      "2(T+1)",2*(AB204+1),
      "1T*C",AB204*J206,
      "2*P",L206*2,
      1
  )
)</f>
        <v>1</v>
      </c>
      <c r="T204" s="38" t="s">
        <v>277</v>
      </c>
      <c r="U204" s="147">
        <f>IF(OR(T204="No",T204=""),S204,T204)</f>
        <v>1</v>
      </c>
      <c r="V204" s="147">
        <f>IF(ISNUMBER(Q204),Q204,
  SWITCH(
      Q204,
      "1",1,
      "2T",AV204*2,
      "4T",AV204*4,
      "6T",AV204*6,
      "8T",AV204*8,
      "10T",AV204*10,
      "12T",AV204*12,
      "14T",AV204*14,
      "16T",AV204*16,
      "24T",AV204*24,
      "2(T+1)",2*(AV204+1),
      "1T*C",AV204*J206,
      "2*P",L206*2,
      1
  )
)</f>
        <v>1</v>
      </c>
      <c r="W204" s="147" t="str">
        <f>T204</f>
        <v>No</v>
      </c>
      <c r="X204" s="147">
        <f>IF(OR(W204="No",W204=""),V204,W204)</f>
        <v>1</v>
      </c>
      <c r="Y204" s="38">
        <f>VLOOKUP(H204,'Machine List'!$A$1:$C$138,3,FALSE)</f>
        <v>1</v>
      </c>
      <c r="Z204" s="38">
        <f>VLOOKUP(H204,'Machine List'!$A$1:$D$138,4,FALSE)</f>
        <v>1</v>
      </c>
      <c r="AA204" s="147" t="s">
        <v>397</v>
      </c>
      <c r="AB204" s="147">
        <f>VLOOKUP(AA204,'Item Helper Sheet'!$A$2:$B$16,2,FALSE)</f>
        <v>3</v>
      </c>
      <c r="AC204" s="147">
        <v>340.0</v>
      </c>
      <c r="AD204" s="147">
        <f>60*20</f>
        <v>1200</v>
      </c>
      <c r="AE204" s="147">
        <f>AD204*I206</f>
        <v>12000</v>
      </c>
      <c r="AF204" s="147">
        <f>AC204*AE204</f>
        <v>4080000</v>
      </c>
      <c r="AG204" s="148"/>
      <c r="AH204" s="147" t="str">
        <f>AA204</f>
        <v>03 - HV</v>
      </c>
      <c r="AI204" s="147">
        <v>1.0</v>
      </c>
      <c r="AJ204" s="147">
        <v>1.0</v>
      </c>
      <c r="AK204" s="147">
        <f>AJ204*8*4^AB204</f>
        <v>512</v>
      </c>
      <c r="AL204" s="147">
        <f>MIN(ROUNDDOWN(AK204/AN204,0),U204)</f>
        <v>1</v>
      </c>
      <c r="AM204" s="147">
        <f>IF(OR(T204="No",T204=""),AI204*S204,AI204*T204)</f>
        <v>1</v>
      </c>
      <c r="AN204" s="147">
        <f>ROUNDUP(AC204*VLOOKUP(H204,'Machine List'!$A$2:$D$219,4,FALSE),0)</f>
        <v>340</v>
      </c>
      <c r="AO204" s="147">
        <f>AN204*AM204</f>
        <v>340</v>
      </c>
      <c r="AP204" s="147">
        <f>ROUNDUP(AD204*I206,0)</f>
        <v>12000</v>
      </c>
      <c r="AQ204" s="38">
        <f>IF(ISNUMBER(Y204),ROUNDUP(AP204/Y204,0),
  SWITCH(
      Y204,
      "1+0.5C",ROUNDUP(AP204/(1+0.5*VLOOKUP(J206,'Machine Helper Sheet'!$G$1:$K$16,2,FALSE)),0),
      ROUNDUP(AP204/1,0)
  )
)</f>
        <v>12000</v>
      </c>
      <c r="AR204" s="147">
        <f>ROUNDUP(AQ204/AM204,0)</f>
        <v>12000</v>
      </c>
      <c r="AS204" s="147">
        <f>AO204*AR204</f>
        <v>4080000</v>
      </c>
      <c r="AT204" s="148"/>
      <c r="AU204" s="147" t="s">
        <v>405</v>
      </c>
      <c r="AV204" s="147">
        <f>VLOOKUP(AU204,'Item Helper Sheet'!$A$2:$B$16,2,FALSE)</f>
        <v>5</v>
      </c>
      <c r="AW204" s="147">
        <f>AI204</f>
        <v>1</v>
      </c>
      <c r="AX204" s="147">
        <v>1.0</v>
      </c>
      <c r="AY204" s="147">
        <f>AX204*8*4^AV204</f>
        <v>8192</v>
      </c>
      <c r="AZ204" s="147">
        <f>MIN(ROUNDDOWN(AY204/AN204,0),X204)</f>
        <v>1</v>
      </c>
      <c r="BA204" s="147">
        <f>AZ204*AW204</f>
        <v>1</v>
      </c>
      <c r="BB204" s="147">
        <f>AN204</f>
        <v>340</v>
      </c>
      <c r="BC204" s="147">
        <f>MIN(AV204-AB204,IF(AY204&gt;=BB205*4,
IF(AY204&gt;=BB205*4^2,
IF(AY204&gt;=BB205*4^3,
IF(AY204&gt;=BB205*4^4,
IF(AY204&gt;=BB205*4^5,
IF(AY204&gt;=BB205*4^6,
IF(AY204&gt;=BB205*4^7,
IF(AY204&gt;=BB205*4^8,
IF(AY204&gt;=BB205*4^9,
IF(AY204&gt;=BB205*4^10,
9),
8),
7),
6),
5),
4),
3),
2),
1),
0))</f>
        <v>2</v>
      </c>
      <c r="BD204" s="147">
        <f>BB204*AZ204*4^BC204</f>
        <v>5440</v>
      </c>
      <c r="BE204" s="147">
        <f>BD204*AW204</f>
        <v>5440</v>
      </c>
      <c r="BF204" s="143">
        <f>ROUNDUP(IF(R204="Yes",AP204/(2^((BC204)*2)),AP204/(2^(BC204))),0)</f>
        <v>3000</v>
      </c>
      <c r="BG204" s="45">
        <f>IF(ISNUMBER(Y204),ROUNDUP(BF204/Y204,0),
  SWITCH(
      Y204,
      "1+0.5C",ROUNDUP(BF204/(1+0.5*VLOOKUP(J206,'Machine Helper Sheet'!$G$1:$K$16,2,FALSE)),0),
      ROUNDUP(BF204/1,0)
  )
)</f>
        <v>3000</v>
      </c>
      <c r="BH204" s="143">
        <f>ROUNDUP(BG204/BA204,0)</f>
        <v>3000</v>
      </c>
      <c r="BI204" s="149">
        <f>BH204*BE204</f>
        <v>16320000</v>
      </c>
      <c r="BK204" s="22"/>
      <c r="BM204" s="140" t="s">
        <v>724</v>
      </c>
      <c r="BN204" s="140">
        <v>1440000.0</v>
      </c>
      <c r="BO204" s="140">
        <v>5760000.0</v>
      </c>
      <c r="BP204" s="140" t="s">
        <v>724</v>
      </c>
      <c r="BQ204" s="140">
        <v>3000.0</v>
      </c>
      <c r="BR204" s="140">
        <v>750.0</v>
      </c>
      <c r="BS204" s="140" t="s">
        <v>724</v>
      </c>
      <c r="BT204" s="140">
        <v>3.0</v>
      </c>
      <c r="BU204" s="140">
        <v>5.0</v>
      </c>
      <c r="BV204" s="140">
        <v>1.0</v>
      </c>
      <c r="BY204" s="6" t="s">
        <v>350</v>
      </c>
      <c r="BZ204" s="6"/>
      <c r="CA204" s="6"/>
      <c r="CB204" s="6"/>
      <c r="CC204" s="6"/>
      <c r="CD204" s="6">
        <v>1.0</v>
      </c>
      <c r="CE204" s="6">
        <v>1.0</v>
      </c>
      <c r="CG204" s="6" t="s">
        <v>350</v>
      </c>
      <c r="CH204" s="6">
        <v>8192.0</v>
      </c>
      <c r="CI204" s="6"/>
      <c r="CJ204" s="6"/>
      <c r="CK204" s="6">
        <v>8192.0</v>
      </c>
    </row>
    <row r="205">
      <c r="B205" s="150"/>
      <c r="C205" s="147" t="s">
        <v>258</v>
      </c>
      <c r="D205" s="147">
        <f>1*I206</f>
        <v>10</v>
      </c>
      <c r="E205" s="147" t="s">
        <v>49</v>
      </c>
      <c r="F205" s="152">
        <f>1*I206</f>
        <v>10</v>
      </c>
      <c r="G205" s="138"/>
      <c r="H205" s="153" t="s">
        <v>584</v>
      </c>
      <c r="I205" s="143">
        <f t="array" ref="I205">match(TRUE,ISBLANK(F205:F217),0)-1</f>
        <v>1</v>
      </c>
      <c r="J205" s="154" t="s">
        <v>420</v>
      </c>
      <c r="K205" s="154" t="s">
        <v>585</v>
      </c>
      <c r="L205" s="100" t="s">
        <v>704</v>
      </c>
      <c r="M205" s="147"/>
      <c r="N205" s="147"/>
      <c r="O205" s="147"/>
      <c r="P205" s="147"/>
      <c r="Q205" s="147"/>
      <c r="R205" s="155"/>
      <c r="S205" s="155"/>
      <c r="T205" s="155"/>
      <c r="U205" s="143"/>
      <c r="V205" s="143"/>
      <c r="W205" s="143"/>
      <c r="X205" s="143"/>
      <c r="Y205" s="143"/>
      <c r="Z205" s="143"/>
      <c r="AA205" s="143"/>
      <c r="AB205" s="143"/>
      <c r="AC205" s="143"/>
      <c r="AD205" s="143"/>
      <c r="AE205" s="143"/>
      <c r="AF205" s="143"/>
      <c r="AG205" s="156"/>
      <c r="AH205" s="143"/>
      <c r="AI205" s="143"/>
      <c r="AJ205" s="143"/>
      <c r="AK205" s="143"/>
      <c r="AL205" s="143"/>
      <c r="AM205" s="143"/>
      <c r="AN205" s="143"/>
      <c r="AO205" s="143"/>
      <c r="AP205" s="143"/>
      <c r="AQ205" s="143"/>
      <c r="AR205" s="143"/>
      <c r="AS205" s="143"/>
      <c r="AT205" s="156"/>
      <c r="AU205" s="143"/>
      <c r="AV205" s="143"/>
      <c r="AW205" s="143"/>
      <c r="AX205" s="143"/>
      <c r="AY205" s="143"/>
      <c r="AZ205" s="143"/>
      <c r="BA205" s="143"/>
      <c r="BB205" s="143">
        <f>BB204*AZ204</f>
        <v>340</v>
      </c>
      <c r="BC205" s="143"/>
      <c r="BD205" s="143"/>
      <c r="BE205" s="143"/>
      <c r="BF205" s="143"/>
      <c r="BG205" s="143"/>
      <c r="BH205" s="143"/>
      <c r="BI205" s="149"/>
      <c r="BK205" s="22"/>
      <c r="BM205" s="140" t="s">
        <v>725</v>
      </c>
      <c r="BN205" s="140">
        <v>1536000.0</v>
      </c>
      <c r="BO205" s="140">
        <v>3072000.0</v>
      </c>
      <c r="BP205" s="140" t="s">
        <v>725</v>
      </c>
      <c r="BQ205" s="140">
        <v>2000.0</v>
      </c>
      <c r="BR205" s="140">
        <v>1000.0</v>
      </c>
      <c r="BS205" s="140" t="s">
        <v>725</v>
      </c>
      <c r="BT205" s="140">
        <v>4.0</v>
      </c>
      <c r="BU205" s="140">
        <v>5.0</v>
      </c>
      <c r="BV205" s="140">
        <v>1.0</v>
      </c>
      <c r="BY205" s="140" t="s">
        <v>351</v>
      </c>
      <c r="BZ205" s="6">
        <v>1.0</v>
      </c>
      <c r="CA205" s="6"/>
      <c r="CB205" s="6"/>
      <c r="CC205" s="6"/>
      <c r="CD205" s="6"/>
      <c r="CE205" s="6">
        <v>1.0</v>
      </c>
      <c r="CG205" s="140" t="s">
        <v>351</v>
      </c>
      <c r="CH205" s="140">
        <v>32.0</v>
      </c>
      <c r="CI205" s="6"/>
      <c r="CJ205" s="6"/>
      <c r="CK205" s="140">
        <v>32.0</v>
      </c>
    </row>
    <row r="206">
      <c r="B206" s="150"/>
      <c r="C206" s="151"/>
      <c r="D206" s="147"/>
      <c r="E206" s="147"/>
      <c r="F206" s="152"/>
      <c r="G206" s="138"/>
      <c r="H206" s="157" t="s">
        <v>502</v>
      </c>
      <c r="I206" s="158">
        <v>10.0</v>
      </c>
      <c r="J206" s="154" t="s">
        <v>427</v>
      </c>
      <c r="K206" s="154">
        <v>0.0</v>
      </c>
      <c r="L206" s="100">
        <v>0.0</v>
      </c>
      <c r="M206" s="143"/>
      <c r="N206" s="143"/>
      <c r="O206" s="143"/>
      <c r="P206" s="143"/>
      <c r="Q206" s="143"/>
      <c r="R206" s="143"/>
      <c r="S206" s="155"/>
      <c r="T206" s="155"/>
      <c r="U206" s="143"/>
      <c r="V206" s="143"/>
      <c r="W206" s="143"/>
      <c r="X206" s="143"/>
      <c r="Y206" s="143"/>
      <c r="Z206" s="143"/>
      <c r="AA206" s="143"/>
      <c r="AB206" s="143"/>
      <c r="AC206" s="143"/>
      <c r="AD206" s="143"/>
      <c r="AE206" s="143"/>
      <c r="AF206" s="143"/>
      <c r="AG206" s="156"/>
      <c r="AH206" s="143"/>
      <c r="AI206" s="143"/>
      <c r="AJ206" s="143"/>
      <c r="AK206" s="143"/>
      <c r="AL206" s="143"/>
      <c r="AM206" s="143"/>
      <c r="AN206" s="143"/>
      <c r="AO206" s="143"/>
      <c r="AP206" s="143"/>
      <c r="AQ206" s="143"/>
      <c r="AR206" s="143"/>
      <c r="AS206" s="143"/>
      <c r="AT206" s="156"/>
      <c r="AU206" s="143"/>
      <c r="AV206" s="143"/>
      <c r="AW206" s="143"/>
      <c r="AX206" s="143"/>
      <c r="AY206" s="143"/>
      <c r="AZ206" s="143"/>
      <c r="BA206" s="143"/>
      <c r="BB206" s="143"/>
      <c r="BC206" s="143"/>
      <c r="BD206" s="143"/>
      <c r="BE206" s="143"/>
      <c r="BF206" s="143"/>
      <c r="BG206" s="143"/>
      <c r="BH206" s="143"/>
      <c r="BI206" s="149"/>
      <c r="BK206" s="22"/>
      <c r="BM206" s="6" t="s">
        <v>746</v>
      </c>
      <c r="BN206" s="6">
        <v>76800.0</v>
      </c>
      <c r="BO206" s="6">
        <v>76800.0</v>
      </c>
      <c r="BP206" s="6" t="s">
        <v>746</v>
      </c>
      <c r="BQ206" s="6">
        <v>2560.0</v>
      </c>
      <c r="BR206" s="6">
        <v>10.0</v>
      </c>
      <c r="BS206" s="6" t="s">
        <v>746</v>
      </c>
      <c r="BT206" s="6">
        <v>1.0</v>
      </c>
      <c r="BU206" s="6">
        <v>5.0</v>
      </c>
      <c r="BV206" s="6">
        <v>1.0</v>
      </c>
      <c r="BY206" s="140" t="s">
        <v>356</v>
      </c>
      <c r="BZ206" s="6"/>
      <c r="CA206" s="6"/>
      <c r="CB206" s="6">
        <v>1.0</v>
      </c>
      <c r="CC206" s="6"/>
      <c r="CD206" s="6">
        <v>1.0</v>
      </c>
      <c r="CE206" s="6">
        <v>2.0</v>
      </c>
      <c r="CG206" s="140" t="s">
        <v>356</v>
      </c>
      <c r="CH206" s="6"/>
      <c r="CI206" s="140">
        <v>8704.0</v>
      </c>
      <c r="CJ206" s="6"/>
      <c r="CK206" s="140">
        <v>8704.0</v>
      </c>
    </row>
    <row r="207">
      <c r="B207" s="135"/>
      <c r="C207" s="136"/>
      <c r="D207" s="137"/>
      <c r="E207" s="137"/>
      <c r="F207" s="137"/>
      <c r="G207" s="138"/>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c r="AG207" s="138"/>
      <c r="AH207" s="137"/>
      <c r="AI207" s="137"/>
      <c r="AJ207" s="137"/>
      <c r="AK207" s="137"/>
      <c r="AL207" s="137"/>
      <c r="AM207" s="137"/>
      <c r="AN207" s="137"/>
      <c r="AO207" s="137"/>
      <c r="AP207" s="137"/>
      <c r="AQ207" s="137"/>
      <c r="AR207" s="137"/>
      <c r="AS207" s="137"/>
      <c r="AT207" s="138"/>
      <c r="AU207" s="137"/>
      <c r="AV207" s="137"/>
      <c r="AW207" s="137"/>
      <c r="AX207" s="137"/>
      <c r="AY207" s="137"/>
      <c r="AZ207" s="137"/>
      <c r="BA207" s="137"/>
      <c r="BB207" s="137"/>
      <c r="BC207" s="137"/>
      <c r="BD207" s="137"/>
      <c r="BE207" s="137"/>
      <c r="BF207" s="137"/>
      <c r="BG207" s="137"/>
      <c r="BH207" s="137"/>
      <c r="BI207" s="139"/>
      <c r="BK207" s="22"/>
      <c r="BM207" s="140" t="s">
        <v>747</v>
      </c>
      <c r="BN207" s="140">
        <v>46080.0</v>
      </c>
      <c r="BO207" s="140">
        <v>737280.0</v>
      </c>
      <c r="BP207" s="140" t="s">
        <v>747</v>
      </c>
      <c r="BQ207" s="140">
        <v>2880.0</v>
      </c>
      <c r="BR207" s="140">
        <v>180.0</v>
      </c>
      <c r="BS207" s="140" t="s">
        <v>747</v>
      </c>
      <c r="BT207" s="140">
        <v>1.0</v>
      </c>
      <c r="BU207" s="140">
        <v>5.0</v>
      </c>
      <c r="BV207" s="140">
        <v>1.0</v>
      </c>
      <c r="BY207" s="6" t="s">
        <v>363</v>
      </c>
      <c r="BZ207" s="6"/>
      <c r="CA207" s="6"/>
      <c r="CB207" s="6">
        <v>1.0</v>
      </c>
      <c r="CC207" s="6">
        <v>1.0</v>
      </c>
      <c r="CD207" s="6">
        <v>2.0</v>
      </c>
      <c r="CE207" s="6">
        <v>4.0</v>
      </c>
      <c r="CG207" s="6" t="s">
        <v>363</v>
      </c>
      <c r="CH207" s="6">
        <v>18944.0</v>
      </c>
      <c r="CI207" s="6"/>
      <c r="CJ207" s="6"/>
      <c r="CK207" s="6">
        <v>18944.0</v>
      </c>
    </row>
    <row r="208">
      <c r="B208" s="141" t="s">
        <v>724</v>
      </c>
      <c r="C208" s="142"/>
      <c r="D208" s="143"/>
      <c r="E208" s="143"/>
      <c r="F208" s="144"/>
      <c r="G208" s="145"/>
      <c r="H208" s="146" t="s">
        <v>297</v>
      </c>
      <c r="I208" s="147" t="str">
        <f>VLOOKUP(H208,'Machine List'!$A$1:$I$300,9,FALSE)</f>
        <v>1T</v>
      </c>
      <c r="J208" s="147">
        <f>IF(VLOOKUP(H208,'Machine List'!$A$1:$I$300,5,FALSE)="Multi",IF(VLOOKUP(H208,'Machine List'!$A$1:$I$300,6,FALSE)="Yes",AI208*3*10^AB208,AI208*(2*3)*10^(AB208-1)),0)</f>
        <v>0</v>
      </c>
      <c r="K208" s="147">
        <f>J208+IF(ISNUMBER(I208),I208,
  SWITCH(
      I208,
      "1T",1*10^AB208,
      "2T",2*10^AB208,
      "3T",3*10^AB208,
      "4T",4*10^AB208,
      "4000+500(7O-5)",4000+500*(7*I209-5),
      "13500 + 16C",13500+16*VLOOKUP(J210,'Machine Helper Sheet'!$G$1:$K$16,5,FALSE),
      1
  )
)</f>
        <v>1000</v>
      </c>
      <c r="L208" s="147">
        <f>IF(VLOOKUP(H208,'Machine List'!$A$1:$I$300,5,FALSE)="Multi",IF(VLOOKUP(H208,'Machine List'!$A$1:$I$300,6,FALSE)="Yes",AW208*3*10^AV208,AW208*(2*3)*10^(AV208-1)),0)</f>
        <v>0</v>
      </c>
      <c r="M208" s="147">
        <f>L208+IF(ISNUMBER(I208),I208,
  SWITCH(
      I208,
      "1T",1*10^AV208,
      "2T",2*10^AV208,
      "3T",3*10^AV208,
      "4T",4*10^AV208,
      "4000+500(7O-5)",4000+500*(7*I209-5),
      1
  )
)</f>
        <v>100000</v>
      </c>
      <c r="N208" s="147" t="str">
        <f>VLOOKUP(H208,'Machine List'!$A$1:$I$300,8,FALSE)</f>
        <v>Tier</v>
      </c>
      <c r="O208" s="147">
        <f>IF(ISNUMBER(N208),N208,10^AB208)</f>
        <v>1000</v>
      </c>
      <c r="P208" s="147">
        <f>IF(ISNUMBER(N208),N208,10^AV208)</f>
        <v>100000</v>
      </c>
      <c r="Q208" s="147">
        <f>VLOOKUP(H208,'Machine List'!$A$1:$B$138,2,FALSE)</f>
        <v>1</v>
      </c>
      <c r="R208" s="147" t="s">
        <v>277</v>
      </c>
      <c r="S208" s="143">
        <f>IF(ISNUMBER(Q208),Q208,
  SWITCH(
      Q208,
      "1",1,
      "2T",AB208*2,
      "4T",AB208*4,
      "6T",AB208*6,
      "8T",AB208*8,
      "10T",AB208*10,
      "12T",AB208*12,
      "14T",AB208*14,
      "16T",AB208*16,
      "24T",AB208*24,
      "2(T+1)",2*(AB208+1),
      "1T*C",AB208*J210,
      "2*P",L210*2,
      1
  )
)</f>
        <v>1</v>
      </c>
      <c r="T208" s="38" t="s">
        <v>277</v>
      </c>
      <c r="U208" s="147">
        <f>IF(OR(T208="No",T208=""),S208,T208)</f>
        <v>1</v>
      </c>
      <c r="V208" s="147">
        <f>IF(ISNUMBER(Q208),Q208,
  SWITCH(
      Q208,
      "1",1,
      "2T",AV208*2,
      "4T",AV208*4,
      "6T",AV208*6,
      "8T",AV208*8,
      "10T",AV208*10,
      "12T",AV208*12,
      "14T",AV208*14,
      "16T",AV208*16,
      "24T",AV208*24,
      "2(T+1)",2*(AV208+1),
      "1T*C",AV208*J210,
      "2*P",L210*2,
      1
  )
)</f>
        <v>1</v>
      </c>
      <c r="W208" s="147" t="str">
        <f>T208</f>
        <v>No</v>
      </c>
      <c r="X208" s="147">
        <f>IF(OR(W208="No",W208=""),V208,W208)</f>
        <v>1</v>
      </c>
      <c r="Y208" s="38">
        <f>VLOOKUP(H208,'Machine List'!$A$1:$C$138,3,FALSE)</f>
        <v>1</v>
      </c>
      <c r="Z208" s="38">
        <f>VLOOKUP(H208,'Machine List'!$A$1:$D$138,4,FALSE)</f>
        <v>1</v>
      </c>
      <c r="AA208" s="147" t="s">
        <v>397</v>
      </c>
      <c r="AB208" s="147">
        <f>VLOOKUP(AA208,'Item Helper Sheet'!$A$2:$B$16,2,FALSE)</f>
        <v>3</v>
      </c>
      <c r="AC208" s="147">
        <v>480.0</v>
      </c>
      <c r="AD208" s="147">
        <f>15*20</f>
        <v>300</v>
      </c>
      <c r="AE208" s="147">
        <f>AD208*I210</f>
        <v>3000</v>
      </c>
      <c r="AF208" s="147">
        <f>AC208*AE208</f>
        <v>1440000</v>
      </c>
      <c r="AG208" s="148"/>
      <c r="AH208" s="147" t="str">
        <f>AA208</f>
        <v>03 - HV</v>
      </c>
      <c r="AI208" s="147">
        <v>1.0</v>
      </c>
      <c r="AJ208" s="147">
        <v>1.0</v>
      </c>
      <c r="AK208" s="147">
        <f>AJ208*8*4^AB208</f>
        <v>512</v>
      </c>
      <c r="AL208" s="147">
        <f>MIN(ROUNDDOWN(AK208/AN208,0),U208)</f>
        <v>1</v>
      </c>
      <c r="AM208" s="147">
        <f>IF(OR(T208="No",T208=""),AI208*S208,AI208*T208)</f>
        <v>1</v>
      </c>
      <c r="AN208" s="147">
        <f>ROUNDUP(AC208*VLOOKUP(H208,'Machine List'!$A$2:$D$219,4,FALSE),0)</f>
        <v>480</v>
      </c>
      <c r="AO208" s="147">
        <f>AN208*AM208</f>
        <v>480</v>
      </c>
      <c r="AP208" s="147">
        <f>ROUNDUP(AD208*I210,0)</f>
        <v>3000</v>
      </c>
      <c r="AQ208" s="38">
        <f>IF(ISNUMBER(Y208),ROUNDUP(AP208/Y208,0),
  SWITCH(
      Y208,
      "1+0.5C",ROUNDUP(AP208/(1+0.5*VLOOKUP(J210,'Machine Helper Sheet'!$G$1:$K$16,2,FALSE)),0),
      ROUNDUP(AP208/1,0)
  )
)</f>
        <v>3000</v>
      </c>
      <c r="AR208" s="147">
        <f>ROUNDUP(AQ208/AM208,0)</f>
        <v>3000</v>
      </c>
      <c r="AS208" s="147">
        <f>AO208*AR208</f>
        <v>1440000</v>
      </c>
      <c r="AT208" s="148"/>
      <c r="AU208" s="147" t="s">
        <v>405</v>
      </c>
      <c r="AV208" s="147">
        <f>VLOOKUP(AU208,'Item Helper Sheet'!$A$2:$B$16,2,FALSE)</f>
        <v>5</v>
      </c>
      <c r="AW208" s="147">
        <f>AI208</f>
        <v>1</v>
      </c>
      <c r="AX208" s="147">
        <v>1.0</v>
      </c>
      <c r="AY208" s="147">
        <f>AX208*8*4^AV208</f>
        <v>8192</v>
      </c>
      <c r="AZ208" s="147">
        <f>MIN(ROUNDDOWN(AY208/AN208,0),X208)</f>
        <v>1</v>
      </c>
      <c r="BA208" s="147">
        <f>AZ208*AW208</f>
        <v>1</v>
      </c>
      <c r="BB208" s="147">
        <f>AN208</f>
        <v>480</v>
      </c>
      <c r="BC208" s="147">
        <f>MIN(AV208-AB208,IF(AY208&gt;=BB209*4,
IF(AY208&gt;=BB209*4^2,
IF(AY208&gt;=BB209*4^3,
IF(AY208&gt;=BB209*4^4,
IF(AY208&gt;=BB209*4^5,
IF(AY208&gt;=BB209*4^6,
IF(AY208&gt;=BB209*4^7,
IF(AY208&gt;=BB209*4^8,
IF(AY208&gt;=BB209*4^9,
IF(AY208&gt;=BB209*4^10,
9),
8),
7),
6),
5),
4),
3),
2),
1),
0))</f>
        <v>2</v>
      </c>
      <c r="BD208" s="147">
        <f>BB208*AZ208*4^BC208</f>
        <v>7680</v>
      </c>
      <c r="BE208" s="147">
        <f>BD208*AW208</f>
        <v>7680</v>
      </c>
      <c r="BF208" s="143">
        <f>ROUNDUP(IF(R208="Yes",AP208/(2^((BC208)*2)),AP208/(2^(BC208))),0)</f>
        <v>750</v>
      </c>
      <c r="BG208" s="45">
        <f>IF(ISNUMBER(Y208),ROUNDUP(BF208/Y208,0),
  SWITCH(
      Y208,
      "1+0.5C",ROUNDUP(BF208/(1+0.5*VLOOKUP(J210,'Machine Helper Sheet'!$G$1:$K$16,2,FALSE)),0),
      ROUNDUP(BF208/1,0)
  )
)</f>
        <v>750</v>
      </c>
      <c r="BH208" s="143">
        <f>ROUNDUP(BG208/BA208,0)</f>
        <v>750</v>
      </c>
      <c r="BI208" s="149">
        <f>BH208*BE208</f>
        <v>5760000</v>
      </c>
      <c r="BK208" s="22"/>
      <c r="BM208" s="140" t="s">
        <v>748</v>
      </c>
      <c r="BN208" s="140">
        <v>768000.0</v>
      </c>
      <c r="BO208" s="140">
        <v>768000.0</v>
      </c>
      <c r="BP208" s="140" t="s">
        <v>748</v>
      </c>
      <c r="BQ208" s="140">
        <v>25600.0</v>
      </c>
      <c r="BR208" s="140">
        <v>100.0</v>
      </c>
      <c r="BS208" s="140" t="s">
        <v>748</v>
      </c>
      <c r="BT208" s="140">
        <v>1.0</v>
      </c>
      <c r="BU208" s="140">
        <v>5.0</v>
      </c>
      <c r="BV208" s="140">
        <v>1.0</v>
      </c>
      <c r="BY208" s="6" t="s">
        <v>487</v>
      </c>
      <c r="BZ208" s="6">
        <v>12.0</v>
      </c>
      <c r="CA208" s="6">
        <v>3.0</v>
      </c>
      <c r="CB208" s="6">
        <v>10.0</v>
      </c>
      <c r="CC208" s="6">
        <v>4.0</v>
      </c>
      <c r="CD208" s="6">
        <v>6.0</v>
      </c>
      <c r="CE208" s="6">
        <v>35.0</v>
      </c>
      <c r="CG208" s="6" t="s">
        <v>487</v>
      </c>
      <c r="CH208" s="6">
        <v>45824.0</v>
      </c>
      <c r="CI208" s="140">
        <v>8704.0</v>
      </c>
      <c r="CJ208" s="140">
        <v>8704.0</v>
      </c>
      <c r="CK208" s="6">
        <v>63232.0</v>
      </c>
    </row>
    <row r="209">
      <c r="B209" s="150"/>
      <c r="C209" s="151" t="s">
        <v>49</v>
      </c>
      <c r="D209" s="147">
        <f>1*I210</f>
        <v>10</v>
      </c>
      <c r="E209" s="147" t="s">
        <v>259</v>
      </c>
      <c r="F209" s="152">
        <f>1*I210</f>
        <v>10</v>
      </c>
      <c r="G209" s="138"/>
      <c r="H209" s="153" t="s">
        <v>584</v>
      </c>
      <c r="I209" s="143">
        <f t="array" ref="I209">match(TRUE,ISBLANK(F209:F221),0)-1</f>
        <v>2</v>
      </c>
      <c r="J209" s="154" t="s">
        <v>420</v>
      </c>
      <c r="K209" s="154" t="s">
        <v>585</v>
      </c>
      <c r="L209" s="100" t="s">
        <v>704</v>
      </c>
      <c r="M209" s="147"/>
      <c r="N209" s="147"/>
      <c r="O209" s="147"/>
      <c r="P209" s="147"/>
      <c r="Q209" s="147"/>
      <c r="R209" s="155"/>
      <c r="S209" s="155"/>
      <c r="T209" s="155"/>
      <c r="U209" s="143"/>
      <c r="V209" s="143"/>
      <c r="W209" s="143"/>
      <c r="X209" s="143"/>
      <c r="Y209" s="143"/>
      <c r="Z209" s="143"/>
      <c r="AA209" s="143"/>
      <c r="AB209" s="143"/>
      <c r="AC209" s="143"/>
      <c r="AD209" s="143"/>
      <c r="AE209" s="143"/>
      <c r="AF209" s="143"/>
      <c r="AG209" s="156"/>
      <c r="AH209" s="143"/>
      <c r="AI209" s="143"/>
      <c r="AJ209" s="143"/>
      <c r="AK209" s="143"/>
      <c r="AL209" s="143"/>
      <c r="AM209" s="143"/>
      <c r="AN209" s="143"/>
      <c r="AO209" s="143"/>
      <c r="AP209" s="143"/>
      <c r="AQ209" s="143"/>
      <c r="AR209" s="143"/>
      <c r="AS209" s="143"/>
      <c r="AT209" s="156"/>
      <c r="AU209" s="143"/>
      <c r="AV209" s="143"/>
      <c r="AW209" s="143"/>
      <c r="AX209" s="143"/>
      <c r="AY209" s="143"/>
      <c r="AZ209" s="143"/>
      <c r="BA209" s="143"/>
      <c r="BB209" s="143">
        <f>BB208*AZ208</f>
        <v>480</v>
      </c>
      <c r="BC209" s="143"/>
      <c r="BD209" s="143"/>
      <c r="BE209" s="143"/>
      <c r="BF209" s="143"/>
      <c r="BG209" s="143"/>
      <c r="BH209" s="143"/>
      <c r="BI209" s="149"/>
      <c r="BK209" s="22"/>
      <c r="BM209" s="140" t="s">
        <v>749</v>
      </c>
      <c r="BN209" s="140">
        <v>2.304E7</v>
      </c>
      <c r="BO209" s="140">
        <v>2.304E7</v>
      </c>
      <c r="BP209" s="140" t="s">
        <v>749</v>
      </c>
      <c r="BQ209" s="140">
        <v>192000.0</v>
      </c>
      <c r="BR209" s="140">
        <v>3000.0</v>
      </c>
      <c r="BS209" s="140" t="s">
        <v>749</v>
      </c>
      <c r="BT209" s="140">
        <v>2.0</v>
      </c>
      <c r="BU209" s="140">
        <v>5.0</v>
      </c>
      <c r="BV209" s="140">
        <v>1.0</v>
      </c>
      <c r="BY209" s="6" t="s">
        <v>705</v>
      </c>
      <c r="BZ209" s="6" t="s">
        <v>468</v>
      </c>
      <c r="CA209" s="6"/>
      <c r="CG209" s="6" t="s">
        <v>571</v>
      </c>
      <c r="CH209" s="6" t="s">
        <v>694</v>
      </c>
      <c r="CI209" s="6"/>
      <c r="CJ209" s="6"/>
      <c r="CK209" s="6"/>
    </row>
    <row r="210">
      <c r="B210" s="150"/>
      <c r="C210" s="151" t="s">
        <v>91</v>
      </c>
      <c r="D210" s="147">
        <f>400*I210</f>
        <v>4000</v>
      </c>
      <c r="E210" s="147" t="s">
        <v>85</v>
      </c>
      <c r="F210" s="152">
        <f>800*I210</f>
        <v>8000</v>
      </c>
      <c r="G210" s="138"/>
      <c r="H210" s="157" t="s">
        <v>502</v>
      </c>
      <c r="I210" s="158">
        <v>10.0</v>
      </c>
      <c r="J210" s="154" t="s">
        <v>424</v>
      </c>
      <c r="K210" s="154">
        <v>0.0</v>
      </c>
      <c r="L210" s="100">
        <v>0.0</v>
      </c>
      <c r="M210" s="143"/>
      <c r="N210" s="143"/>
      <c r="O210" s="143"/>
      <c r="P210" s="143"/>
      <c r="Q210" s="143"/>
      <c r="R210" s="143"/>
      <c r="S210" s="155"/>
      <c r="T210" s="155"/>
      <c r="U210" s="143"/>
      <c r="V210" s="143"/>
      <c r="W210" s="143"/>
      <c r="X210" s="143"/>
      <c r="Y210" s="143"/>
      <c r="Z210" s="143"/>
      <c r="AA210" s="143"/>
      <c r="AB210" s="143"/>
      <c r="AC210" s="143"/>
      <c r="AD210" s="143"/>
      <c r="AE210" s="143"/>
      <c r="AF210" s="143"/>
      <c r="AG210" s="156"/>
      <c r="AH210" s="143"/>
      <c r="AI210" s="143"/>
      <c r="AJ210" s="143"/>
      <c r="AK210" s="143"/>
      <c r="AL210" s="143"/>
      <c r="AM210" s="143"/>
      <c r="AN210" s="143"/>
      <c r="AO210" s="143"/>
      <c r="AP210" s="143"/>
      <c r="AQ210" s="143"/>
      <c r="AR210" s="143"/>
      <c r="AS210" s="143"/>
      <c r="AT210" s="156"/>
      <c r="AU210" s="143"/>
      <c r="AV210" s="143"/>
      <c r="AW210" s="143"/>
      <c r="AX210" s="143"/>
      <c r="AY210" s="143"/>
      <c r="AZ210" s="143"/>
      <c r="BA210" s="143"/>
      <c r="BB210" s="143"/>
      <c r="BC210" s="143"/>
      <c r="BD210" s="143"/>
      <c r="BE210" s="143"/>
      <c r="BF210" s="143"/>
      <c r="BG210" s="143"/>
      <c r="BH210" s="143"/>
      <c r="BI210" s="149"/>
      <c r="BK210" s="22"/>
      <c r="BM210" s="6" t="s">
        <v>750</v>
      </c>
      <c r="BN210" s="6">
        <v>4.608E7</v>
      </c>
      <c r="BO210" s="6">
        <v>4.608E7</v>
      </c>
      <c r="BP210" s="6" t="s">
        <v>750</v>
      </c>
      <c r="BQ210" s="6">
        <v>384000.0</v>
      </c>
      <c r="BR210" s="6">
        <v>6000.0</v>
      </c>
      <c r="BS210" s="6" t="s">
        <v>750</v>
      </c>
      <c r="BT210" s="6">
        <v>2.0</v>
      </c>
      <c r="BU210" s="6">
        <v>5.0</v>
      </c>
      <c r="BV210" s="6">
        <v>1.0</v>
      </c>
      <c r="BY210" s="6" t="s">
        <v>462</v>
      </c>
      <c r="BZ210" s="6" t="s">
        <v>405</v>
      </c>
      <c r="CA210" s="6" t="s">
        <v>487</v>
      </c>
      <c r="CG210" s="6" t="s">
        <v>462</v>
      </c>
      <c r="CH210" s="6">
        <v>1.0</v>
      </c>
      <c r="CI210" s="6">
        <v>2.5</v>
      </c>
      <c r="CJ210" s="6" t="s">
        <v>378</v>
      </c>
      <c r="CK210" s="6" t="s">
        <v>487</v>
      </c>
    </row>
    <row r="211">
      <c r="B211" s="135"/>
      <c r="C211" s="136"/>
      <c r="D211" s="137"/>
      <c r="E211" s="137"/>
      <c r="F211" s="137"/>
      <c r="G211" s="138"/>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8"/>
      <c r="AH211" s="137"/>
      <c r="AI211" s="137"/>
      <c r="AJ211" s="137"/>
      <c r="AK211" s="137"/>
      <c r="AL211" s="137"/>
      <c r="AM211" s="137"/>
      <c r="AN211" s="137"/>
      <c r="AO211" s="137"/>
      <c r="AP211" s="137"/>
      <c r="AQ211" s="137"/>
      <c r="AR211" s="137"/>
      <c r="AS211" s="137"/>
      <c r="AT211" s="138"/>
      <c r="AU211" s="137"/>
      <c r="AV211" s="137"/>
      <c r="AW211" s="137"/>
      <c r="AX211" s="137"/>
      <c r="AY211" s="137"/>
      <c r="AZ211" s="137"/>
      <c r="BA211" s="137"/>
      <c r="BB211" s="137"/>
      <c r="BC211" s="137"/>
      <c r="BD211" s="137"/>
      <c r="BE211" s="137"/>
      <c r="BF211" s="137"/>
      <c r="BG211" s="137"/>
      <c r="BH211" s="137"/>
      <c r="BI211" s="139"/>
      <c r="BK211" s="22"/>
      <c r="BM211" s="140" t="s">
        <v>751</v>
      </c>
      <c r="BN211" s="140">
        <v>5.89824E8</v>
      </c>
      <c r="BO211" s="140">
        <v>1.179648E9</v>
      </c>
      <c r="BP211" s="140" t="s">
        <v>751</v>
      </c>
      <c r="BQ211" s="140">
        <v>307200.0</v>
      </c>
      <c r="BR211" s="140">
        <v>76800.0</v>
      </c>
      <c r="BS211" s="140" t="s">
        <v>751</v>
      </c>
      <c r="BT211" s="140">
        <v>4.0</v>
      </c>
      <c r="BU211" s="140">
        <v>5.0</v>
      </c>
      <c r="BV211" s="140">
        <v>2.0</v>
      </c>
      <c r="BY211" s="140" t="s">
        <v>287</v>
      </c>
      <c r="BZ211" s="6">
        <v>1.0</v>
      </c>
      <c r="CA211" s="6">
        <v>1.0</v>
      </c>
      <c r="CG211" s="140" t="s">
        <v>287</v>
      </c>
      <c r="CH211" s="140">
        <v>8192.0</v>
      </c>
      <c r="CI211" s="6"/>
      <c r="CJ211" s="6"/>
      <c r="CK211" s="140">
        <v>8192.0</v>
      </c>
    </row>
    <row r="212">
      <c r="B212" s="141" t="s">
        <v>725</v>
      </c>
      <c r="C212" s="142"/>
      <c r="D212" s="143"/>
      <c r="E212" s="143"/>
      <c r="F212" s="144"/>
      <c r="G212" s="145"/>
      <c r="H212" s="146" t="s">
        <v>309</v>
      </c>
      <c r="I212" s="147" t="str">
        <f>VLOOKUP(H212,'Machine List'!$A$1:$I$300,9,FALSE)</f>
        <v>1T</v>
      </c>
      <c r="J212" s="147">
        <f>IF(VLOOKUP(H212,'Machine List'!$A$1:$I$300,5,FALSE)="Multi",IF(VLOOKUP(H212,'Machine List'!$A$1:$I$300,6,FALSE)="Yes",AI212*3*10^AB212,AI212*(2*3)*10^(AB212-1)),0)</f>
        <v>0</v>
      </c>
      <c r="K212" s="147">
        <f>J212+IF(ISNUMBER(I212),I212,
  SWITCH(
      I212,
      "1T",1*10^AB212,
      "2T",2*10^AB212,
      "3T",3*10^AB212,
      "4T",4*10^AB212,
      "4000+500(7O-5)",4000+500*(7*I213-5),
      "13500 + 16C",13500+16*VLOOKUP(J214,'Machine Helper Sheet'!$G$1:$K$16,5,FALSE),
      1
  )
)</f>
        <v>10000</v>
      </c>
      <c r="L212" s="147">
        <f>IF(VLOOKUP(H212,'Machine List'!$A$1:$I$300,5,FALSE)="Multi",IF(VLOOKUP(H212,'Machine List'!$A$1:$I$300,6,FALSE)="Yes",AW212*3*10^AV212,AW212*(2*3)*10^(AV212-1)),0)</f>
        <v>0</v>
      </c>
      <c r="M212" s="147">
        <f>L212+IF(ISNUMBER(I212),I212,
  SWITCH(
      I212,
      "1T",1*10^AV212,
      "2T",2*10^AV212,
      "3T",3*10^AV212,
      "4T",4*10^AV212,
      "4000+500(7O-5)",4000+500*(7*I213-5),
      1
  )
)</f>
        <v>100000</v>
      </c>
      <c r="N212" s="147" t="str">
        <f>VLOOKUP(H212,'Machine List'!$A$1:$I$300,8,FALSE)</f>
        <v>Tier</v>
      </c>
      <c r="O212" s="147">
        <f>IF(ISNUMBER(N212),N212,10^AB212)</f>
        <v>10000</v>
      </c>
      <c r="P212" s="147">
        <f>IF(ISNUMBER(N212),N212,10^AV212)</f>
        <v>100000</v>
      </c>
      <c r="Q212" s="147">
        <f>VLOOKUP(H212,'Machine List'!$A$1:$B$138,2,FALSE)</f>
        <v>1</v>
      </c>
      <c r="R212" s="147" t="s">
        <v>277</v>
      </c>
      <c r="S212" s="143">
        <f>IF(ISNUMBER(Q212),Q212,
  SWITCH(
      Q212,
      "1",1,
      "2T",AB212*2,
      "4T",AB212*4,
      "6T",AB212*6,
      "8T",AB212*8,
      "10T",AB212*10,
      "12T",AB212*12,
      "14T",AB212*14,
      "16T",AB212*16,
      "24T",AB212*24,
      "2(T+1)",2*(AB212+1),
      "1T*C",AB212*J214,
      "2*P",L214*2,
      1
  )
)</f>
        <v>1</v>
      </c>
      <c r="T212" s="38" t="s">
        <v>277</v>
      </c>
      <c r="U212" s="147">
        <f>IF(OR(T212="No",T212=""),S212,T212)</f>
        <v>1</v>
      </c>
      <c r="V212" s="147">
        <f>IF(ISNUMBER(Q212),Q212,
  SWITCH(
      Q212,
      "1",1,
      "2T",AV212*2,
      "4T",AV212*4,
      "6T",AV212*6,
      "8T",AV212*8,
      "10T",AV212*10,
      "12T",AV212*12,
      "14T",AV212*14,
      "16T",AV212*16,
      "24T",AV212*24,
      "2(T+1)",2*(AV212+1),
      "1T*C",AV212*J214,
      "2*P",L214*2,
      1
  )
)</f>
        <v>1</v>
      </c>
      <c r="W212" s="147" t="str">
        <f>T212</f>
        <v>No</v>
      </c>
      <c r="X212" s="147">
        <f>IF(OR(W212="No",W212=""),V212,W212)</f>
        <v>1</v>
      </c>
      <c r="Y212" s="38">
        <f>VLOOKUP(H212,'Machine List'!$A$1:$C$138,3,FALSE)</f>
        <v>1</v>
      </c>
      <c r="Z212" s="38">
        <f>VLOOKUP(H212,'Machine List'!$A$1:$D$138,4,FALSE)</f>
        <v>1</v>
      </c>
      <c r="AA212" s="147" t="s">
        <v>401</v>
      </c>
      <c r="AB212" s="147">
        <f>VLOOKUP(AA212,'Item Helper Sheet'!$A$2:$B$16,2,FALSE)</f>
        <v>4</v>
      </c>
      <c r="AC212" s="147">
        <v>768.0</v>
      </c>
      <c r="AD212" s="147">
        <f>10*20</f>
        <v>200</v>
      </c>
      <c r="AE212" s="147">
        <f>AD212*I214</f>
        <v>2000</v>
      </c>
      <c r="AF212" s="147">
        <f>AC212*AE212</f>
        <v>1536000</v>
      </c>
      <c r="AG212" s="148"/>
      <c r="AH212" s="147" t="str">
        <f>AA212</f>
        <v>04 - EV</v>
      </c>
      <c r="AI212" s="147">
        <v>1.0</v>
      </c>
      <c r="AJ212" s="147">
        <v>1.0</v>
      </c>
      <c r="AK212" s="147">
        <f>AJ212*8*4^AB212</f>
        <v>2048</v>
      </c>
      <c r="AL212" s="147">
        <f>MIN(ROUNDDOWN(AK212/AN212,0),U212)</f>
        <v>1</v>
      </c>
      <c r="AM212" s="147">
        <f>IF(OR(T212="No",T212=""),AI212*S212,AI212*T212)</f>
        <v>1</v>
      </c>
      <c r="AN212" s="147">
        <f>ROUNDUP(AC212*VLOOKUP(H212,'Machine List'!$A$2:$D$219,4,FALSE),0)</f>
        <v>768</v>
      </c>
      <c r="AO212" s="147">
        <f>AN212*AM212</f>
        <v>768</v>
      </c>
      <c r="AP212" s="147">
        <f>ROUNDUP(AD212*I214,0)</f>
        <v>2000</v>
      </c>
      <c r="AQ212" s="38">
        <f>IF(ISNUMBER(Y212),ROUNDUP(AP212/Y212,0),
  SWITCH(
      Y212,
      "1+0.5C",ROUNDUP(AP212/(1+0.5*VLOOKUP(J214,'Machine Helper Sheet'!$G$1:$K$16,2,FALSE)),0),
      ROUNDUP(AP212/1,0)
  )
)</f>
        <v>2000</v>
      </c>
      <c r="AR212" s="147">
        <f>ROUNDUP(AQ212/AM212,0)</f>
        <v>2000</v>
      </c>
      <c r="AS212" s="147">
        <f>AO212*AR212</f>
        <v>1536000</v>
      </c>
      <c r="AT212" s="148"/>
      <c r="AU212" s="147" t="s">
        <v>405</v>
      </c>
      <c r="AV212" s="147">
        <f>VLOOKUP(AU212,'Item Helper Sheet'!$A$2:$B$16,2,FALSE)</f>
        <v>5</v>
      </c>
      <c r="AW212" s="147">
        <f>AI212</f>
        <v>1</v>
      </c>
      <c r="AX212" s="147">
        <v>1.0</v>
      </c>
      <c r="AY212" s="147">
        <f>AX212*8*4^AV212</f>
        <v>8192</v>
      </c>
      <c r="AZ212" s="147">
        <f>MIN(ROUNDDOWN(AY212/AN212,0),X212)</f>
        <v>1</v>
      </c>
      <c r="BA212" s="147">
        <f>AZ212*AW212</f>
        <v>1</v>
      </c>
      <c r="BB212" s="147">
        <f>AN212</f>
        <v>768</v>
      </c>
      <c r="BC212" s="147">
        <f>MIN(AV212-AB212,IF(AY212&gt;=BB213*4,
IF(AY212&gt;=BB213*4^2,
IF(AY212&gt;=BB213*4^3,
IF(AY212&gt;=BB213*4^4,
IF(AY212&gt;=BB213*4^5,
IF(AY212&gt;=BB213*4^6,
IF(AY212&gt;=BB213*4^7,
IF(AY212&gt;=BB213*4^8,
IF(AY212&gt;=BB213*4^9,
IF(AY212&gt;=BB213*4^10,
9),
8),
7),
6),
5),
4),
3),
2),
1),
0))</f>
        <v>1</v>
      </c>
      <c r="BD212" s="147">
        <f>BB212*AZ212*4^BC212</f>
        <v>3072</v>
      </c>
      <c r="BE212" s="147">
        <f>BD212*AW212</f>
        <v>3072</v>
      </c>
      <c r="BF212" s="143">
        <f>ROUNDUP(IF(R212="Yes",AP212/(2^((BC212)*2)),AP212/(2^(BC212))),0)</f>
        <v>1000</v>
      </c>
      <c r="BG212" s="45">
        <f>IF(ISNUMBER(Y212),ROUNDUP(BF212/Y212,0),
  SWITCH(
      Y212,
      "1+0.5C",ROUNDUP(BF212/(1+0.5*VLOOKUP(J214,'Machine Helper Sheet'!$G$1:$K$16,2,FALSE)),0),
      ROUNDUP(BF212/1,0)
  )
)</f>
        <v>1000</v>
      </c>
      <c r="BH212" s="143">
        <f>ROUNDUP(BG212/BA212,0)</f>
        <v>1000</v>
      </c>
      <c r="BI212" s="149">
        <f>BH212*BE212</f>
        <v>3072000</v>
      </c>
      <c r="BK212" s="22"/>
      <c r="BM212" s="6" t="s">
        <v>752</v>
      </c>
      <c r="BN212" s="6">
        <v>1440000.0</v>
      </c>
      <c r="BO212" s="6">
        <v>1443840.0</v>
      </c>
      <c r="BP212" s="6" t="s">
        <v>752</v>
      </c>
      <c r="BQ212" s="6">
        <v>48000.0</v>
      </c>
      <c r="BR212" s="6">
        <v>188.0</v>
      </c>
      <c r="BS212" s="6" t="s">
        <v>752</v>
      </c>
      <c r="BT212" s="6">
        <v>1.0</v>
      </c>
      <c r="BU212" s="6">
        <v>5.0</v>
      </c>
      <c r="BV212" s="6">
        <v>1.0</v>
      </c>
      <c r="BY212" s="140" t="s">
        <v>376</v>
      </c>
      <c r="BZ212" s="6">
        <v>2.0</v>
      </c>
      <c r="CA212" s="6">
        <v>2.0</v>
      </c>
      <c r="CG212" s="140" t="s">
        <v>376</v>
      </c>
      <c r="CH212" s="6"/>
      <c r="CI212" s="6"/>
      <c r="CJ212" s="140">
        <v>16384.0</v>
      </c>
      <c r="CK212" s="140">
        <v>16384.0</v>
      </c>
    </row>
    <row r="213">
      <c r="B213" s="150"/>
      <c r="C213" s="151" t="s">
        <v>259</v>
      </c>
      <c r="D213" s="147">
        <f>1*I214</f>
        <v>10</v>
      </c>
      <c r="E213" s="147" t="s">
        <v>260</v>
      </c>
      <c r="F213" s="152">
        <f>144*I214</f>
        <v>1440</v>
      </c>
      <c r="G213" s="138"/>
      <c r="H213" s="153" t="s">
        <v>584</v>
      </c>
      <c r="I213" s="143">
        <f t="array" ref="I213">match(TRUE,ISBLANK(F213:F225),0)-1</f>
        <v>1</v>
      </c>
      <c r="J213" s="154" t="s">
        <v>420</v>
      </c>
      <c r="K213" s="154" t="s">
        <v>585</v>
      </c>
      <c r="L213" s="100" t="s">
        <v>704</v>
      </c>
      <c r="M213" s="147"/>
      <c r="N213" s="147"/>
      <c r="O213" s="147"/>
      <c r="P213" s="147"/>
      <c r="Q213" s="147"/>
      <c r="R213" s="155"/>
      <c r="S213" s="155"/>
      <c r="T213" s="155"/>
      <c r="U213" s="143"/>
      <c r="V213" s="143"/>
      <c r="W213" s="143"/>
      <c r="X213" s="143"/>
      <c r="Y213" s="143"/>
      <c r="Z213" s="143"/>
      <c r="AA213" s="143"/>
      <c r="AB213" s="143"/>
      <c r="AC213" s="143"/>
      <c r="AD213" s="143"/>
      <c r="AE213" s="143"/>
      <c r="AF213" s="143"/>
      <c r="AG213" s="156"/>
      <c r="AH213" s="143"/>
      <c r="AI213" s="143"/>
      <c r="AJ213" s="143"/>
      <c r="AK213" s="143"/>
      <c r="AL213" s="143"/>
      <c r="AM213" s="143"/>
      <c r="AN213" s="143"/>
      <c r="AO213" s="143"/>
      <c r="AP213" s="143"/>
      <c r="AQ213" s="143"/>
      <c r="AR213" s="143"/>
      <c r="AS213" s="143"/>
      <c r="AT213" s="156"/>
      <c r="AU213" s="143"/>
      <c r="AV213" s="143"/>
      <c r="AW213" s="143"/>
      <c r="AX213" s="143"/>
      <c r="AY213" s="143"/>
      <c r="AZ213" s="143"/>
      <c r="BA213" s="143"/>
      <c r="BB213" s="143">
        <f>BB212*AZ212</f>
        <v>768</v>
      </c>
      <c r="BC213" s="143"/>
      <c r="BD213" s="143"/>
      <c r="BE213" s="143"/>
      <c r="BF213" s="143"/>
      <c r="BG213" s="143"/>
      <c r="BH213" s="143"/>
      <c r="BI213" s="149"/>
      <c r="BK213" s="22"/>
      <c r="BM213" s="140" t="s">
        <v>753</v>
      </c>
      <c r="BN213" s="140">
        <v>503040.0</v>
      </c>
      <c r="BO213" s="140">
        <v>4026368.0</v>
      </c>
      <c r="BP213" s="140" t="s">
        <v>753</v>
      </c>
      <c r="BQ213" s="140">
        <v>7860.0</v>
      </c>
      <c r="BR213" s="140">
        <v>983.0</v>
      </c>
      <c r="BS213" s="140" t="s">
        <v>753</v>
      </c>
      <c r="BT213" s="140">
        <v>2.0</v>
      </c>
      <c r="BU213" s="140">
        <v>5.0</v>
      </c>
      <c r="BV213" s="140">
        <v>1.0</v>
      </c>
      <c r="BY213" s="140" t="s">
        <v>297</v>
      </c>
      <c r="BZ213" s="6">
        <v>5.0</v>
      </c>
      <c r="CA213" s="6">
        <v>5.0</v>
      </c>
      <c r="CG213" s="140" t="s">
        <v>297</v>
      </c>
      <c r="CH213" s="140">
        <v>40960.0</v>
      </c>
      <c r="CI213" s="6"/>
      <c r="CJ213" s="6"/>
      <c r="CK213" s="140">
        <v>40960.0</v>
      </c>
    </row>
    <row r="214">
      <c r="B214" s="150"/>
      <c r="C214" s="151"/>
      <c r="D214" s="147"/>
      <c r="E214" s="147"/>
      <c r="F214" s="152"/>
      <c r="G214" s="138"/>
      <c r="H214" s="157" t="s">
        <v>502</v>
      </c>
      <c r="I214" s="158">
        <v>10.0</v>
      </c>
      <c r="J214" s="154" t="s">
        <v>424</v>
      </c>
      <c r="K214" s="154">
        <v>0.0</v>
      </c>
      <c r="L214" s="100">
        <v>0.0</v>
      </c>
      <c r="M214" s="143"/>
      <c r="N214" s="143"/>
      <c r="O214" s="143"/>
      <c r="P214" s="143"/>
      <c r="Q214" s="143"/>
      <c r="R214" s="143"/>
      <c r="S214" s="155"/>
      <c r="T214" s="155"/>
      <c r="U214" s="143"/>
      <c r="V214" s="143"/>
      <c r="W214" s="143"/>
      <c r="X214" s="143"/>
      <c r="Y214" s="143"/>
      <c r="Z214" s="143"/>
      <c r="AA214" s="143"/>
      <c r="AB214" s="143"/>
      <c r="AC214" s="143"/>
      <c r="AD214" s="143"/>
      <c r="AE214" s="143"/>
      <c r="AF214" s="143"/>
      <c r="AG214" s="156"/>
      <c r="AH214" s="143"/>
      <c r="AI214" s="143"/>
      <c r="AJ214" s="143"/>
      <c r="AK214" s="143"/>
      <c r="AL214" s="143"/>
      <c r="AM214" s="143"/>
      <c r="AN214" s="143"/>
      <c r="AO214" s="143"/>
      <c r="AP214" s="143"/>
      <c r="AQ214" s="143"/>
      <c r="AR214" s="143"/>
      <c r="AS214" s="143"/>
      <c r="AT214" s="156"/>
      <c r="AU214" s="143"/>
      <c r="AV214" s="143"/>
      <c r="AW214" s="143"/>
      <c r="AX214" s="143"/>
      <c r="AY214" s="143"/>
      <c r="AZ214" s="143"/>
      <c r="BA214" s="143"/>
      <c r="BB214" s="143"/>
      <c r="BC214" s="143"/>
      <c r="BD214" s="143"/>
      <c r="BE214" s="143"/>
      <c r="BF214" s="143"/>
      <c r="BG214" s="143"/>
      <c r="BH214" s="143"/>
      <c r="BI214" s="149"/>
      <c r="BK214" s="22"/>
      <c r="BM214" s="140" t="s">
        <v>754</v>
      </c>
      <c r="BN214" s="140">
        <v>9432000.0</v>
      </c>
      <c r="BO214" s="140">
        <v>9438720.0</v>
      </c>
      <c r="BP214" s="140" t="s">
        <v>754</v>
      </c>
      <c r="BQ214" s="140">
        <v>314400.0</v>
      </c>
      <c r="BR214" s="140">
        <v>1229.0</v>
      </c>
      <c r="BS214" s="140" t="s">
        <v>754</v>
      </c>
      <c r="BT214" s="140">
        <v>1.0</v>
      </c>
      <c r="BU214" s="140">
        <v>5.0</v>
      </c>
      <c r="BV214" s="140">
        <v>1.0</v>
      </c>
      <c r="BY214" s="140" t="s">
        <v>298</v>
      </c>
      <c r="BZ214" s="6">
        <v>1.0</v>
      </c>
      <c r="CA214" s="6">
        <v>1.0</v>
      </c>
      <c r="CG214" s="140" t="s">
        <v>298</v>
      </c>
      <c r="CH214" s="140">
        <v>8192.0</v>
      </c>
      <c r="CI214" s="6"/>
      <c r="CJ214" s="6"/>
      <c r="CK214" s="140">
        <v>8192.0</v>
      </c>
    </row>
    <row r="215">
      <c r="B215" s="135"/>
      <c r="C215" s="136"/>
      <c r="D215" s="137"/>
      <c r="E215" s="137"/>
      <c r="F215" s="137"/>
      <c r="G215" s="138"/>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8"/>
      <c r="AH215" s="137"/>
      <c r="AI215" s="137"/>
      <c r="AJ215" s="137"/>
      <c r="AK215" s="137"/>
      <c r="AL215" s="137"/>
      <c r="AM215" s="137"/>
      <c r="AN215" s="137"/>
      <c r="AO215" s="137"/>
      <c r="AP215" s="137"/>
      <c r="AQ215" s="137"/>
      <c r="AR215" s="137"/>
      <c r="AS215" s="137"/>
      <c r="AT215" s="138"/>
      <c r="AU215" s="137"/>
      <c r="AV215" s="137"/>
      <c r="AW215" s="137"/>
      <c r="AX215" s="137"/>
      <c r="AY215" s="137"/>
      <c r="AZ215" s="137"/>
      <c r="BA215" s="137"/>
      <c r="BB215" s="137"/>
      <c r="BC215" s="137"/>
      <c r="BD215" s="137"/>
      <c r="BE215" s="137"/>
      <c r="BF215" s="137"/>
      <c r="BG215" s="137"/>
      <c r="BH215" s="137"/>
      <c r="BI215" s="139"/>
      <c r="BK215" s="22"/>
      <c r="BM215" s="140" t="s">
        <v>755</v>
      </c>
      <c r="BN215" s="140">
        <v>3.01056E8</v>
      </c>
      <c r="BO215" s="140">
        <v>6.02112E8</v>
      </c>
      <c r="BP215" s="140" t="s">
        <v>755</v>
      </c>
      <c r="BQ215" s="140">
        <v>156800.0</v>
      </c>
      <c r="BR215" s="140">
        <v>78400.0</v>
      </c>
      <c r="BS215" s="140" t="s">
        <v>755</v>
      </c>
      <c r="BT215" s="140">
        <v>4.0</v>
      </c>
      <c r="BU215" s="140">
        <v>5.0</v>
      </c>
      <c r="BV215" s="140">
        <v>1.0</v>
      </c>
      <c r="BY215" s="140" t="s">
        <v>301</v>
      </c>
      <c r="BZ215" s="6">
        <v>2.0</v>
      </c>
      <c r="CA215" s="6">
        <v>2.0</v>
      </c>
      <c r="CG215" s="140" t="s">
        <v>301</v>
      </c>
      <c r="CH215" s="140">
        <v>16384.0</v>
      </c>
      <c r="CI215" s="6"/>
      <c r="CJ215" s="6"/>
      <c r="CK215" s="140">
        <v>16384.0</v>
      </c>
    </row>
    <row r="216">
      <c r="B216" s="31" t="s">
        <v>746</v>
      </c>
      <c r="C216" s="54"/>
      <c r="D216" s="45"/>
      <c r="E216" s="45"/>
      <c r="F216" s="47"/>
      <c r="G216" s="35"/>
      <c r="H216" s="55" t="s">
        <v>349</v>
      </c>
      <c r="I216" s="38">
        <f>VLOOKUP(H216,'Machine List'!$A$1:$I$300,9,FALSE)</f>
        <v>4000</v>
      </c>
      <c r="J216" s="38">
        <f>IF(VLOOKUP(H216,'Machine List'!$A$1:$I$300,5,FALSE)="Multi",IF(VLOOKUP(H216,'Machine List'!$A$1:$I$300,6,FALSE)="Yes",AI216*3*10^AB216,AI216*(2*3)*10^(AB216-1)),0)</f>
        <v>6</v>
      </c>
      <c r="K216" s="38">
        <f>J216+IF(ISNUMBER(I216),I216,
  SWITCH(
      I216,
      "1T",1*10^AB216,
      "2T",2*10^AB216,
      "3T",3*10^AB216,
      "4T",4*10^AB216,
      "4000+500(7O-5)",4000+500*(7*I217-5),
      "13500 + 16C",13500+16*VLOOKUP(J218,'Machine Helper Sheet'!$G$1:$K$16,5,FALSE),
      1
  )
)</f>
        <v>4006</v>
      </c>
      <c r="L216" s="38">
        <f>IF(VLOOKUP(H216,'Machine List'!$A$1:$I$300,5,FALSE)="Multi",IF(VLOOKUP(H216,'Machine List'!$A$1:$I$300,6,FALSE)="Yes",AW216*3*10^AV216,AW216*(2*3)*10^(AV216-1)),0)</f>
        <v>60000</v>
      </c>
      <c r="M216" s="38">
        <f>L216+IF(ISNUMBER(I216),I216,
  SWITCH(
      I216,
      "1T",1*10^AV216,
      "2T",2*10^AV216,
      "3T",3*10^AV216,
      "4T",4*10^AV216,
      "4000+500(7O-5)",4000+500*(7*I217-5),
      1
  )
)</f>
        <v>64000</v>
      </c>
      <c r="N216" s="38" t="str">
        <f>VLOOKUP(H216,'Machine List'!$A$1:$I$300,8,FALSE)</f>
        <v>Tier</v>
      </c>
      <c r="O216" s="38">
        <f>IF(ISNUMBER(N216),N216,10^AB216)</f>
        <v>10</v>
      </c>
      <c r="P216" s="38">
        <f>IF(ISNUMBER(N216),N216,10^AV216)</f>
        <v>100000</v>
      </c>
      <c r="Q216" s="38">
        <f>VLOOKUP(H216,'Machine List'!$A$1:$B$138,2,FALSE)</f>
        <v>1</v>
      </c>
      <c r="R216" s="38" t="s">
        <v>594</v>
      </c>
      <c r="S216" s="45">
        <f>IF(ISNUMBER(Q216),Q216,
  SWITCH(
      Q216,
      "1",1,
      "2T",AB216*2,
      "4T",AB216*4,
      "6T",AB216*6,
      "8T",AB216*8,
      "10T",AB216*10,
      "12T",AB216*12,
      "14T",AB216*14,
      "16T",AB216*16,
      "24T",AB216*24,
      "2(T+1)",2*(AB216+1),
      "1T*C",AB216*J218,
      "2*P",L218*2,
      1
  )
)</f>
        <v>1</v>
      </c>
      <c r="T216" s="38" t="s">
        <v>277</v>
      </c>
      <c r="U216" s="38">
        <f>IF(OR(T216="No",T216=""),S216,T216)</f>
        <v>1</v>
      </c>
      <c r="V216" s="38">
        <f>IF(ISNUMBER(Q216),Q216,
  SWITCH(
      Q216,
      "1",1,
      "2T",AV216*2,
      "4T",AV216*4,
      "6T",AV216*6,
      "8T",AV216*8,
      "10T",AV216*10,
      "12T",AV216*12,
      "14T",AV216*14,
      "16T",AV216*16,
      "24T",AV216*24,
      "2(T+1)",2*(AV216+1),
      "1T*C",AV216*J218,
      "2*P",L218*2,
      1
  )
)</f>
        <v>1</v>
      </c>
      <c r="W216" s="38" t="str">
        <f>T216</f>
        <v>No</v>
      </c>
      <c r="X216" s="38">
        <f>IF(OR(W216="No",W216=""),V216,W216)</f>
        <v>1</v>
      </c>
      <c r="Y216" s="38">
        <f>VLOOKUP(H216,'Machine List'!$A$1:$C$138,3,FALSE)</f>
        <v>1</v>
      </c>
      <c r="Z216" s="38">
        <f>VLOOKUP(H216,'Machine List'!$A$1:$D$138,4,FALSE)</f>
        <v>1</v>
      </c>
      <c r="AA216" s="38" t="s">
        <v>390</v>
      </c>
      <c r="AB216" s="38">
        <f>VLOOKUP(AA216,'Item Helper Sheet'!$A$2:$B$16,2,FALSE)</f>
        <v>1</v>
      </c>
      <c r="AC216" s="38">
        <v>30.0</v>
      </c>
      <c r="AD216" s="38">
        <f>4*20</f>
        <v>80</v>
      </c>
      <c r="AE216" s="38">
        <f>AD216*I218</f>
        <v>2560</v>
      </c>
      <c r="AF216" s="38">
        <f>AC216*AE216</f>
        <v>76800</v>
      </c>
      <c r="AG216" s="75"/>
      <c r="AH216" s="38" t="str">
        <f>AA216</f>
        <v>01 - LV</v>
      </c>
      <c r="AI216" s="38">
        <v>1.0</v>
      </c>
      <c r="AJ216" s="38">
        <v>1.0</v>
      </c>
      <c r="AK216" s="38">
        <f>AJ216*8*4^AB216</f>
        <v>32</v>
      </c>
      <c r="AL216" s="38">
        <f>MIN(ROUNDDOWN(AK216/AN216,0),U216)</f>
        <v>1</v>
      </c>
      <c r="AM216" s="38">
        <f>IF(OR(T216="No",T216=""),AI216*S216,AI216*T216)</f>
        <v>1</v>
      </c>
      <c r="AN216" s="38">
        <f>ROUNDUP(AC216*VLOOKUP(H216,'Machine List'!$A$2:$D$219,4,FALSE),0)</f>
        <v>30</v>
      </c>
      <c r="AO216" s="38">
        <f>AN216*AM216</f>
        <v>30</v>
      </c>
      <c r="AP216" s="38">
        <f>ROUNDUP(AD216*I218,0)</f>
        <v>2560</v>
      </c>
      <c r="AQ216" s="38">
        <f>IF(ISNUMBER(Y216),ROUNDUP(AP216/Y216,0),
  SWITCH(
      Y216,
      "1+0.5C",ROUNDUP(AP216/(1+0.5*VLOOKUP(J218,'Machine Helper Sheet'!$G$1:$K$16,2,FALSE)),0),
      ROUNDUP(AP216/1,0)
  )
)</f>
        <v>2560</v>
      </c>
      <c r="AR216" s="38">
        <f>ROUNDUP(AQ216/AM216,0)</f>
        <v>2560</v>
      </c>
      <c r="AS216" s="38">
        <f>AO216*AR216</f>
        <v>76800</v>
      </c>
      <c r="AT216" s="75"/>
      <c r="AU216" s="38" t="s">
        <v>405</v>
      </c>
      <c r="AV216" s="38">
        <f>VLOOKUP(AU216,'Item Helper Sheet'!$A$2:$B$16,2,FALSE)</f>
        <v>5</v>
      </c>
      <c r="AW216" s="38">
        <f>AI216</f>
        <v>1</v>
      </c>
      <c r="AX216" s="38">
        <v>1.0</v>
      </c>
      <c r="AY216" s="38">
        <f>AX216*8*4^AV216</f>
        <v>8192</v>
      </c>
      <c r="AZ216" s="38">
        <f>MIN(ROUNDDOWN(AY216/AN216,0),X216)</f>
        <v>1</v>
      </c>
      <c r="BA216" s="38">
        <f>AZ216*AW216</f>
        <v>1</v>
      </c>
      <c r="BB216" s="38">
        <f>AN216</f>
        <v>30</v>
      </c>
      <c r="BC216" s="38">
        <f>MIN(AV216-AB216,IF(AY216&gt;=BB217*4,
IF(AY216&gt;=BB217*4^2,
IF(AY216&gt;=BB217*4^3,
IF(AY216&gt;=BB217*4^4,
IF(AY216&gt;=BB217*4^5,
IF(AY216&gt;=BB217*4^6,
IF(AY216&gt;=BB217*4^7,
IF(AY216&gt;=BB217*4^8,
IF(AY216&gt;=BB217*4^9,
IF(AY216&gt;=BB217*4^10,
9),
8),
7),
6),
5),
4),
3),
2),
1),
0))</f>
        <v>4</v>
      </c>
      <c r="BD216" s="38">
        <f>BB216*AZ216*4^BC216</f>
        <v>7680</v>
      </c>
      <c r="BE216" s="38">
        <f>BD216*AW216</f>
        <v>7680</v>
      </c>
      <c r="BF216" s="45">
        <f>ROUNDUP(IF(R216="Yes",AP216/(2^((BC216)*2)),AP216/(2^(BC216))),0)</f>
        <v>10</v>
      </c>
      <c r="BG216" s="45">
        <f>IF(ISNUMBER(Y216),ROUNDUP(BF216/Y216,0),
  SWITCH(
      Y216,
      "1+0.5C",ROUNDUP(BF216/(1+0.5*VLOOKUP(J218,'Machine Helper Sheet'!$G$1:$K$16,2,FALSE)),0),
      ROUNDUP(BF216/1,0)
  )
)</f>
        <v>10</v>
      </c>
      <c r="BH216" s="45">
        <f>ROUNDUP(BG216/BA216,0)</f>
        <v>10</v>
      </c>
      <c r="BI216" s="46">
        <f>BH216*BE216</f>
        <v>76800</v>
      </c>
      <c r="BK216" s="22"/>
      <c r="BM216" s="140" t="s">
        <v>756</v>
      </c>
      <c r="BN216" s="140">
        <v>1.8672E7</v>
      </c>
      <c r="BO216" s="140">
        <v>7.4688E7</v>
      </c>
      <c r="BP216" s="140" t="s">
        <v>756</v>
      </c>
      <c r="BQ216" s="140">
        <v>38900.0</v>
      </c>
      <c r="BR216" s="140">
        <v>9725.0</v>
      </c>
      <c r="BS216" s="140" t="s">
        <v>756</v>
      </c>
      <c r="BT216" s="140">
        <v>3.0</v>
      </c>
      <c r="BU216" s="140">
        <v>5.0</v>
      </c>
      <c r="BV216" s="140">
        <v>1.0</v>
      </c>
      <c r="BY216" s="140" t="s">
        <v>309</v>
      </c>
      <c r="BZ216" s="6">
        <v>4.0</v>
      </c>
      <c r="CA216" s="6">
        <v>4.0</v>
      </c>
      <c r="CG216" s="140" t="s">
        <v>309</v>
      </c>
      <c r="CH216" s="140">
        <v>32768.0</v>
      </c>
      <c r="CI216" s="6"/>
      <c r="CJ216" s="6"/>
      <c r="CK216" s="140">
        <v>32768.0</v>
      </c>
    </row>
    <row r="217">
      <c r="B217" s="40"/>
      <c r="C217" s="41" t="s">
        <v>732</v>
      </c>
      <c r="D217" s="38">
        <f>1*I218</f>
        <v>32</v>
      </c>
      <c r="E217" s="38" t="s">
        <v>35</v>
      </c>
      <c r="F217" s="42">
        <f>432*I218</f>
        <v>13824</v>
      </c>
      <c r="G217" s="43"/>
      <c r="H217" s="99" t="s">
        <v>584</v>
      </c>
      <c r="I217" s="45">
        <f t="array" ref="I217">match(TRUE,ISBLANK(F217:F228),0)-1</f>
        <v>1</v>
      </c>
      <c r="J217" s="100" t="s">
        <v>420</v>
      </c>
      <c r="K217" s="100" t="s">
        <v>585</v>
      </c>
      <c r="L217" s="100" t="s">
        <v>704</v>
      </c>
      <c r="M217" s="38"/>
      <c r="N217" s="38"/>
      <c r="O217" s="38"/>
      <c r="P217" s="38"/>
      <c r="Q217" s="38"/>
      <c r="R217" s="101"/>
      <c r="S217" s="101"/>
      <c r="T217" s="101"/>
      <c r="U217" s="45"/>
      <c r="V217" s="45"/>
      <c r="W217" s="45"/>
      <c r="X217" s="45"/>
      <c r="Y217" s="45"/>
      <c r="Z217" s="45"/>
      <c r="AA217" s="45"/>
      <c r="AB217" s="45"/>
      <c r="AC217" s="45"/>
      <c r="AD217" s="45"/>
      <c r="AE217" s="45"/>
      <c r="AF217" s="45"/>
      <c r="AG217" s="79"/>
      <c r="AH217" s="45"/>
      <c r="AI217" s="45"/>
      <c r="AJ217" s="45"/>
      <c r="AK217" s="45"/>
      <c r="AL217" s="45"/>
      <c r="AM217" s="45"/>
      <c r="AN217" s="45"/>
      <c r="AO217" s="45"/>
      <c r="AP217" s="45"/>
      <c r="AQ217" s="45"/>
      <c r="AR217" s="45"/>
      <c r="AS217" s="45"/>
      <c r="AT217" s="79"/>
      <c r="AU217" s="45"/>
      <c r="AV217" s="45"/>
      <c r="AW217" s="45"/>
      <c r="AX217" s="45"/>
      <c r="AY217" s="45"/>
      <c r="AZ217" s="45"/>
      <c r="BA217" s="45"/>
      <c r="BB217" s="45">
        <f>BB216*AZ216</f>
        <v>30</v>
      </c>
      <c r="BC217" s="45"/>
      <c r="BD217" s="45"/>
      <c r="BE217" s="45"/>
      <c r="BF217" s="45"/>
      <c r="BG217" s="45"/>
      <c r="BH217" s="45"/>
      <c r="BI217" s="46"/>
      <c r="BK217" s="22"/>
      <c r="BM217" s="140" t="s">
        <v>757</v>
      </c>
      <c r="BN217" s="140">
        <v>3225600.0</v>
      </c>
      <c r="BO217" s="140">
        <v>5.16096E7</v>
      </c>
      <c r="BP217" s="140" t="s">
        <v>757</v>
      </c>
      <c r="BQ217" s="140">
        <v>201600.0</v>
      </c>
      <c r="BR217" s="140">
        <v>12600.0</v>
      </c>
      <c r="BS217" s="140" t="s">
        <v>757</v>
      </c>
      <c r="BT217" s="140">
        <v>1.0</v>
      </c>
      <c r="BU217" s="140">
        <v>5.0</v>
      </c>
      <c r="BV217" s="140">
        <v>1.0</v>
      </c>
      <c r="BY217" s="140" t="s">
        <v>310</v>
      </c>
      <c r="BZ217" s="6">
        <v>1.0</v>
      </c>
      <c r="CA217" s="6">
        <v>1.0</v>
      </c>
      <c r="CG217" s="140" t="s">
        <v>310</v>
      </c>
      <c r="CH217" s="140">
        <v>8192.0</v>
      </c>
      <c r="CI217" s="6"/>
      <c r="CJ217" s="6"/>
      <c r="CK217" s="140">
        <v>8192.0</v>
      </c>
    </row>
    <row r="218">
      <c r="B218" s="40"/>
      <c r="C218" s="41" t="s">
        <v>87</v>
      </c>
      <c r="D218" s="38">
        <f>2000*I218</f>
        <v>64000</v>
      </c>
      <c r="E218" s="38"/>
      <c r="F218" s="42"/>
      <c r="G218" s="43"/>
      <c r="H218" s="56" t="s">
        <v>502</v>
      </c>
      <c r="I218" s="49">
        <v>32.0</v>
      </c>
      <c r="J218" s="100" t="s">
        <v>424</v>
      </c>
      <c r="K218" s="100">
        <v>0.0</v>
      </c>
      <c r="L218" s="100">
        <v>0.0</v>
      </c>
      <c r="M218" s="45"/>
      <c r="N218" s="45"/>
      <c r="O218" s="45"/>
      <c r="P218" s="45"/>
      <c r="Q218" s="45"/>
      <c r="R218" s="45"/>
      <c r="S218" s="101"/>
      <c r="T218" s="101"/>
      <c r="U218" s="45"/>
      <c r="V218" s="45"/>
      <c r="W218" s="45"/>
      <c r="X218" s="45"/>
      <c r="Y218" s="45"/>
      <c r="Z218" s="45"/>
      <c r="AA218" s="45"/>
      <c r="AB218" s="45"/>
      <c r="AC218" s="45"/>
      <c r="AD218" s="45"/>
      <c r="AE218" s="45"/>
      <c r="AF218" s="45"/>
      <c r="AG218" s="79"/>
      <c r="AH218" s="45"/>
      <c r="AI218" s="45"/>
      <c r="AJ218" s="45"/>
      <c r="AK218" s="45"/>
      <c r="AL218" s="45"/>
      <c r="AM218" s="45"/>
      <c r="AN218" s="45"/>
      <c r="AO218" s="45"/>
      <c r="AP218" s="45"/>
      <c r="AQ218" s="45"/>
      <c r="AR218" s="45"/>
      <c r="AS218" s="45"/>
      <c r="AT218" s="79"/>
      <c r="AU218" s="45"/>
      <c r="AV218" s="45"/>
      <c r="AW218" s="45"/>
      <c r="AX218" s="45"/>
      <c r="AY218" s="45"/>
      <c r="AZ218" s="45"/>
      <c r="BA218" s="45"/>
      <c r="BB218" s="45"/>
      <c r="BC218" s="45"/>
      <c r="BD218" s="45"/>
      <c r="BE218" s="45"/>
      <c r="BF218" s="45"/>
      <c r="BG218" s="45"/>
      <c r="BH218" s="45"/>
      <c r="BI218" s="46"/>
      <c r="BK218" s="22"/>
      <c r="BM218" s="140" t="s">
        <v>758</v>
      </c>
      <c r="BN218" s="140">
        <v>3225600.0</v>
      </c>
      <c r="BO218" s="140">
        <v>5.16096E7</v>
      </c>
      <c r="BP218" s="140" t="s">
        <v>758</v>
      </c>
      <c r="BQ218" s="140">
        <v>201600.0</v>
      </c>
      <c r="BR218" s="140">
        <v>12600.0</v>
      </c>
      <c r="BS218" s="140" t="s">
        <v>758</v>
      </c>
      <c r="BT218" s="140">
        <v>1.0</v>
      </c>
      <c r="BU218" s="140">
        <v>5.0</v>
      </c>
      <c r="BV218" s="140">
        <v>1.0</v>
      </c>
      <c r="BY218" s="140" t="s">
        <v>379</v>
      </c>
      <c r="BZ218" s="6">
        <v>1.0</v>
      </c>
      <c r="CA218" s="6">
        <v>1.0</v>
      </c>
      <c r="CG218" s="140" t="s">
        <v>379</v>
      </c>
      <c r="CH218" s="140">
        <v>8192.0</v>
      </c>
      <c r="CI218" s="6"/>
      <c r="CJ218" s="6"/>
      <c r="CK218" s="140">
        <v>8192.0</v>
      </c>
    </row>
    <row r="219">
      <c r="B219" s="40"/>
      <c r="C219" s="41" t="s">
        <v>142</v>
      </c>
      <c r="D219" s="133">
        <f>2000*I218</f>
        <v>64000</v>
      </c>
      <c r="E219" s="38"/>
      <c r="F219" s="42"/>
      <c r="G219" s="43"/>
      <c r="H219" s="44"/>
      <c r="I219" s="45"/>
      <c r="J219" s="45"/>
      <c r="K219" s="45"/>
      <c r="L219" s="45"/>
      <c r="M219" s="45"/>
      <c r="N219" s="45"/>
      <c r="O219" s="45"/>
      <c r="P219" s="45"/>
      <c r="Q219" s="45"/>
      <c r="R219" s="45"/>
      <c r="S219" s="101"/>
      <c r="T219" s="101"/>
      <c r="U219" s="45"/>
      <c r="V219" s="45"/>
      <c r="W219" s="45"/>
      <c r="X219" s="45"/>
      <c r="Y219" s="45"/>
      <c r="Z219" s="45"/>
      <c r="AA219" s="45"/>
      <c r="AB219" s="45"/>
      <c r="AC219" s="45"/>
      <c r="AD219" s="45"/>
      <c r="AE219" s="45"/>
      <c r="AF219" s="45"/>
      <c r="AG219" s="79"/>
      <c r="AH219" s="45"/>
      <c r="AI219" s="45"/>
      <c r="AJ219" s="45"/>
      <c r="AK219" s="45"/>
      <c r="AL219" s="45"/>
      <c r="AM219" s="45"/>
      <c r="AN219" s="45"/>
      <c r="AO219" s="45"/>
      <c r="AP219" s="45"/>
      <c r="AQ219" s="45"/>
      <c r="AR219" s="45"/>
      <c r="AS219" s="45"/>
      <c r="AT219" s="79"/>
      <c r="AU219" s="45"/>
      <c r="AV219" s="45"/>
      <c r="AW219" s="45"/>
      <c r="AX219" s="45"/>
      <c r="AY219" s="45"/>
      <c r="AZ219" s="45"/>
      <c r="BA219" s="45"/>
      <c r="BB219" s="45"/>
      <c r="BC219" s="45"/>
      <c r="BD219" s="45"/>
      <c r="BE219" s="45"/>
      <c r="BF219" s="45"/>
      <c r="BG219" s="45"/>
      <c r="BH219" s="45"/>
      <c r="BI219" s="46"/>
      <c r="BK219" s="22"/>
      <c r="BM219" s="6" t="s">
        <v>759</v>
      </c>
      <c r="BN219" s="6">
        <v>4.3008E9</v>
      </c>
      <c r="BO219" s="6">
        <v>4.3008E9</v>
      </c>
      <c r="BP219" s="6" t="s">
        <v>759</v>
      </c>
      <c r="BQ219" s="6">
        <v>560000.0</v>
      </c>
      <c r="BR219" s="6">
        <v>140000.0</v>
      </c>
      <c r="BS219" s="6" t="s">
        <v>759</v>
      </c>
      <c r="BT219" s="6">
        <v>5.0</v>
      </c>
      <c r="BU219" s="6">
        <v>5.0</v>
      </c>
      <c r="BV219" s="6">
        <v>4.0</v>
      </c>
      <c r="BY219" s="140" t="s">
        <v>349</v>
      </c>
      <c r="BZ219" s="6">
        <v>10.0</v>
      </c>
      <c r="CA219" s="6">
        <v>10.0</v>
      </c>
      <c r="CG219" s="140" t="s">
        <v>349</v>
      </c>
      <c r="CH219" s="140">
        <v>81920.0</v>
      </c>
      <c r="CI219" s="6"/>
      <c r="CJ219" s="6"/>
      <c r="CK219" s="140">
        <v>81920.0</v>
      </c>
    </row>
    <row r="220">
      <c r="B220" s="50"/>
      <c r="C220" s="51"/>
      <c r="D220" s="134"/>
      <c r="E220" s="52"/>
      <c r="F220" s="52"/>
      <c r="G220" s="112"/>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2"/>
      <c r="AH220" s="113"/>
      <c r="AI220" s="113"/>
      <c r="AJ220" s="113"/>
      <c r="AK220" s="113"/>
      <c r="AL220" s="113"/>
      <c r="AM220" s="113"/>
      <c r="AN220" s="113"/>
      <c r="AO220" s="113"/>
      <c r="AP220" s="113"/>
      <c r="AQ220" s="113"/>
      <c r="AR220" s="113"/>
      <c r="AS220" s="113"/>
      <c r="AT220" s="112"/>
      <c r="AU220" s="113"/>
      <c r="AV220" s="113"/>
      <c r="AW220" s="113"/>
      <c r="AX220" s="113"/>
      <c r="AY220" s="113"/>
      <c r="AZ220" s="113"/>
      <c r="BA220" s="113"/>
      <c r="BB220" s="113"/>
      <c r="BC220" s="113"/>
      <c r="BD220" s="113"/>
      <c r="BE220" s="113"/>
      <c r="BF220" s="113"/>
      <c r="BG220" s="113"/>
      <c r="BH220" s="113"/>
      <c r="BI220" s="114"/>
      <c r="BK220" s="22"/>
      <c r="BM220" s="140" t="s">
        <v>760</v>
      </c>
      <c r="BN220" s="140">
        <v>2784000.0</v>
      </c>
      <c r="BO220" s="140">
        <v>1.1136E7</v>
      </c>
      <c r="BP220" s="140" t="s">
        <v>760</v>
      </c>
      <c r="BQ220" s="140">
        <v>5800.0</v>
      </c>
      <c r="BR220" s="140">
        <v>1450.0</v>
      </c>
      <c r="BS220" s="140" t="s">
        <v>760</v>
      </c>
      <c r="BT220" s="140">
        <v>3.0</v>
      </c>
      <c r="BU220" s="140">
        <v>5.0</v>
      </c>
      <c r="BV220" s="140">
        <v>1.0</v>
      </c>
      <c r="BY220" s="6" t="s">
        <v>350</v>
      </c>
      <c r="BZ220" s="6">
        <v>1.0</v>
      </c>
      <c r="CA220" s="6">
        <v>1.0</v>
      </c>
      <c r="CG220" s="6" t="s">
        <v>350</v>
      </c>
      <c r="CH220" s="6">
        <v>8192.0</v>
      </c>
      <c r="CI220" s="6"/>
      <c r="CJ220" s="6"/>
      <c r="CK220" s="6">
        <v>8192.0</v>
      </c>
    </row>
    <row r="221">
      <c r="B221" s="141" t="s">
        <v>747</v>
      </c>
      <c r="C221" s="142"/>
      <c r="D221" s="143"/>
      <c r="E221" s="143"/>
      <c r="F221" s="144"/>
      <c r="G221" s="145"/>
      <c r="H221" s="146" t="s">
        <v>297</v>
      </c>
      <c r="I221" s="147" t="str">
        <f>VLOOKUP(H221,'Machine List'!$A$1:$I$300,9,FALSE)</f>
        <v>1T</v>
      </c>
      <c r="J221" s="147">
        <f>IF(VLOOKUP(H221,'Machine List'!$A$1:$I$300,5,FALSE)="Multi",IF(VLOOKUP(H221,'Machine List'!$A$1:$I$300,6,FALSE)="Yes",AI221*3*10^AB221,AI221*(2*3)*10^(AB221-1)),0)</f>
        <v>0</v>
      </c>
      <c r="K221" s="147">
        <f>J221+IF(ISNUMBER(I221),I221,
  SWITCH(
      I221,
      "1T",1*10^AB221,
      "2T",2*10^AB221,
      "3T",3*10^AB221,
      "4T",4*10^AB221,
      "4000+500(7O-5)",4000+500*(7*I222-5),
      "13500 + 16C",13500+16*VLOOKUP(J223,'Machine Helper Sheet'!$G$1:$K$16,5,FALSE),
      1
  )
)</f>
        <v>10</v>
      </c>
      <c r="L221" s="147">
        <f>IF(VLOOKUP(H221,'Machine List'!$A$1:$I$300,5,FALSE)="Multi",IF(VLOOKUP(H221,'Machine List'!$A$1:$I$300,6,FALSE)="Yes",AW221*3*10^AV221,AW221*(2*3)*10^(AV221-1)),0)</f>
        <v>0</v>
      </c>
      <c r="M221" s="147">
        <f>L221+IF(ISNUMBER(I221),I221,
  SWITCH(
      I221,
      "1T",1*10^AV221,
      "2T",2*10^AV221,
      "3T",3*10^AV221,
      "4T",4*10^AV221,
      "4000+500(7O-5)",4000+500*(7*I222-5),
      1
  )
)</f>
        <v>100000</v>
      </c>
      <c r="N221" s="147" t="str">
        <f>VLOOKUP(H221,'Machine List'!$A$1:$I$300,8,FALSE)</f>
        <v>Tier</v>
      </c>
      <c r="O221" s="147">
        <f>IF(ISNUMBER(N221),N221,10^AB221)</f>
        <v>10</v>
      </c>
      <c r="P221" s="147">
        <f>IF(ISNUMBER(N221),N221,10^AV221)</f>
        <v>100000</v>
      </c>
      <c r="Q221" s="147">
        <f>VLOOKUP(H221,'Machine List'!$A$1:$B$138,2,FALSE)</f>
        <v>1</v>
      </c>
      <c r="R221" s="147" t="s">
        <v>277</v>
      </c>
      <c r="S221" s="143">
        <f>IF(ISNUMBER(Q221),Q221,
  SWITCH(
      Q221,
      "1",1,
      "2T",AB221*2,
      "4T",AB221*4,
      "6T",AB221*6,
      "8T",AB221*8,
      "10T",AB221*10,
      "12T",AB221*12,
      "14T",AB221*14,
      "16T",AB221*16,
      "24T",AB221*24,
      "2(T+1)",2*(AB221+1),
      "1T*C",AB221*J223,
      "2*P",L223*2,
      1
  )
)</f>
        <v>1</v>
      </c>
      <c r="T221" s="38" t="s">
        <v>277</v>
      </c>
      <c r="U221" s="147">
        <f>IF(OR(T221="No",T221=""),S221,T221)</f>
        <v>1</v>
      </c>
      <c r="V221" s="147">
        <f>IF(ISNUMBER(Q221),Q221,
  SWITCH(
      Q221,
      "1",1,
      "2T",AV221*2,
      "4T",AV221*4,
      "6T",AV221*6,
      "8T",AV221*8,
      "10T",AV221*10,
      "12T",AV221*12,
      "14T",AV221*14,
      "16T",AV221*16,
      "24T",AV221*24,
      "2(T+1)",2*(AV221+1),
      "1T*C",AV221*J223,
      "2*P",L223*2,
      1
  )
)</f>
        <v>1</v>
      </c>
      <c r="W221" s="147" t="str">
        <f>T221</f>
        <v>No</v>
      </c>
      <c r="X221" s="147">
        <f>IF(OR(W221="No",W221=""),V221,W221)</f>
        <v>1</v>
      </c>
      <c r="Y221" s="38">
        <f>VLOOKUP(H221,'Machine List'!$A$1:$C$138,3,FALSE)</f>
        <v>1</v>
      </c>
      <c r="Z221" s="38">
        <f>VLOOKUP(H221,'Machine List'!$A$1:$D$138,4,FALSE)</f>
        <v>1</v>
      </c>
      <c r="AA221" s="147" t="s">
        <v>390</v>
      </c>
      <c r="AB221" s="147">
        <f>VLOOKUP(AA221,'Item Helper Sheet'!$A$2:$B$16,2,FALSE)</f>
        <v>1</v>
      </c>
      <c r="AC221" s="147">
        <v>16.0</v>
      </c>
      <c r="AD221" s="147">
        <f>1.5*20</f>
        <v>30</v>
      </c>
      <c r="AE221" s="147">
        <f>AD221*I223</f>
        <v>2880</v>
      </c>
      <c r="AF221" s="147">
        <f>AC221*AE221</f>
        <v>46080</v>
      </c>
      <c r="AG221" s="148"/>
      <c r="AH221" s="147" t="str">
        <f>AA221</f>
        <v>01 - LV</v>
      </c>
      <c r="AI221" s="147">
        <v>1.0</v>
      </c>
      <c r="AJ221" s="147">
        <v>1.0</v>
      </c>
      <c r="AK221" s="147">
        <f>AJ221*8*4^AB221</f>
        <v>32</v>
      </c>
      <c r="AL221" s="147">
        <f>MIN(ROUNDDOWN(AK221/AN221,0),U221)</f>
        <v>1</v>
      </c>
      <c r="AM221" s="147">
        <f>IF(OR(T221="No",T221=""),AI221*S221,AI221*T221)</f>
        <v>1</v>
      </c>
      <c r="AN221" s="147">
        <f>ROUNDUP(AC221*VLOOKUP(H221,'Machine List'!$A$2:$D$219,4,FALSE),0)</f>
        <v>16</v>
      </c>
      <c r="AO221" s="147">
        <f>AN221*AM221</f>
        <v>16</v>
      </c>
      <c r="AP221" s="147">
        <f>ROUNDUP(AD221*I223,0)</f>
        <v>2880</v>
      </c>
      <c r="AQ221" s="38">
        <f>IF(ISNUMBER(Y221),ROUNDUP(AP221/Y221,0),
  SWITCH(
      Y221,
      "1+0.5C",ROUNDUP(AP221/(1+0.5*VLOOKUP(J223,'Machine Helper Sheet'!$G$1:$K$16,2,FALSE)),0),
      ROUNDUP(AP221/1,0)
  )
)</f>
        <v>2880</v>
      </c>
      <c r="AR221" s="147">
        <f>ROUNDUP(AQ221/AM221,0)</f>
        <v>2880</v>
      </c>
      <c r="AS221" s="147">
        <f>AO221*AR221</f>
        <v>46080</v>
      </c>
      <c r="AT221" s="148"/>
      <c r="AU221" s="147" t="s">
        <v>405</v>
      </c>
      <c r="AV221" s="147">
        <f>VLOOKUP(AU221,'Item Helper Sheet'!$A$2:$B$16,2,FALSE)</f>
        <v>5</v>
      </c>
      <c r="AW221" s="147">
        <f>AI221</f>
        <v>1</v>
      </c>
      <c r="AX221" s="147">
        <v>1.0</v>
      </c>
      <c r="AY221" s="147">
        <f>AX221*8*4^AV221</f>
        <v>8192</v>
      </c>
      <c r="AZ221" s="147">
        <f>MIN(ROUNDDOWN(AY221/AN221,0),X221)</f>
        <v>1</v>
      </c>
      <c r="BA221" s="147">
        <f>AZ221*AW221</f>
        <v>1</v>
      </c>
      <c r="BB221" s="147">
        <f>AN221</f>
        <v>16</v>
      </c>
      <c r="BC221" s="147">
        <f>MIN(AV221-AB221,IF(AY221&gt;=BB222*4,
IF(AY221&gt;=BB222*4^2,
IF(AY221&gt;=BB222*4^3,
IF(AY221&gt;=BB222*4^4,
IF(AY221&gt;=BB222*4^5,
IF(AY221&gt;=BB222*4^6,
IF(AY221&gt;=BB222*4^7,
IF(AY221&gt;=BB222*4^8,
IF(AY221&gt;=BB222*4^9,
IF(AY221&gt;=BB222*4^10,
9),
8),
7),
6),
5),
4),
3),
2),
1),
0))</f>
        <v>4</v>
      </c>
      <c r="BD221" s="147">
        <f>BB221*AZ221*4^BC221</f>
        <v>4096</v>
      </c>
      <c r="BE221" s="147">
        <f>BD221*AW221</f>
        <v>4096</v>
      </c>
      <c r="BF221" s="143">
        <f>ROUNDUP(IF(R221="Yes",AP221/(2^((BC221)*2)),AP221/(2^(BC221))),0)</f>
        <v>180</v>
      </c>
      <c r="BG221" s="45">
        <f>IF(ISNUMBER(Y221),ROUNDUP(BF221/Y221,0),
  SWITCH(
      Y221,
      "1+0.5C",ROUNDUP(BF221/(1+0.5*VLOOKUP(J223,'Machine Helper Sheet'!$G$1:$K$16,2,FALSE)),0),
      ROUNDUP(BF221/1,0)
  )
)</f>
        <v>180</v>
      </c>
      <c r="BH221" s="143">
        <f>ROUNDUP(BG221/BA221,0)</f>
        <v>180</v>
      </c>
      <c r="BI221" s="149">
        <f>BH221*BE221</f>
        <v>737280</v>
      </c>
      <c r="BK221" s="22"/>
      <c r="BM221" s="140" t="s">
        <v>761</v>
      </c>
      <c r="BN221" s="140">
        <v>1152000.0</v>
      </c>
      <c r="BO221" s="140">
        <v>4608000.0</v>
      </c>
      <c r="BP221" s="140" t="s">
        <v>761</v>
      </c>
      <c r="BQ221" s="140">
        <v>2400.0</v>
      </c>
      <c r="BR221" s="140">
        <v>600.0</v>
      </c>
      <c r="BS221" s="140" t="s">
        <v>761</v>
      </c>
      <c r="BT221" s="140">
        <v>3.0</v>
      </c>
      <c r="BU221" s="140">
        <v>5.0</v>
      </c>
      <c r="BV221" s="140">
        <v>1.0</v>
      </c>
      <c r="BY221" s="140" t="s">
        <v>351</v>
      </c>
      <c r="BZ221" s="6">
        <v>1.0</v>
      </c>
      <c r="CA221" s="6">
        <v>1.0</v>
      </c>
      <c r="CG221" s="140" t="s">
        <v>351</v>
      </c>
      <c r="CH221" s="140">
        <v>8192.0</v>
      </c>
      <c r="CI221" s="6"/>
      <c r="CJ221" s="6"/>
      <c r="CK221" s="140">
        <v>8192.0</v>
      </c>
    </row>
    <row r="222">
      <c r="B222" s="150"/>
      <c r="C222" s="151" t="s">
        <v>35</v>
      </c>
      <c r="D222" s="147">
        <f>144*I223</f>
        <v>13824</v>
      </c>
      <c r="E222" s="147" t="s">
        <v>34</v>
      </c>
      <c r="F222" s="152">
        <f>1*I223</f>
        <v>96</v>
      </c>
      <c r="G222" s="138"/>
      <c r="H222" s="153" t="s">
        <v>584</v>
      </c>
      <c r="I222" s="143">
        <f t="array" ref="I222">match(TRUE,ISBLANK(F222:F234),0)-1</f>
        <v>1</v>
      </c>
      <c r="J222" s="154" t="s">
        <v>420</v>
      </c>
      <c r="K222" s="154" t="s">
        <v>585</v>
      </c>
      <c r="L222" s="100" t="s">
        <v>704</v>
      </c>
      <c r="M222" s="147"/>
      <c r="N222" s="147"/>
      <c r="O222" s="147"/>
      <c r="P222" s="147"/>
      <c r="Q222" s="147"/>
      <c r="R222" s="155"/>
      <c r="S222" s="155"/>
      <c r="T222" s="155"/>
      <c r="U222" s="143"/>
      <c r="V222" s="143"/>
      <c r="W222" s="143"/>
      <c r="X222" s="143"/>
      <c r="Y222" s="143"/>
      <c r="Z222" s="143"/>
      <c r="AA222" s="143"/>
      <c r="AB222" s="143"/>
      <c r="AC222" s="143"/>
      <c r="AD222" s="143"/>
      <c r="AE222" s="143"/>
      <c r="AF222" s="143"/>
      <c r="AG222" s="156"/>
      <c r="AH222" s="143"/>
      <c r="AI222" s="143"/>
      <c r="AJ222" s="143"/>
      <c r="AK222" s="143"/>
      <c r="AL222" s="143"/>
      <c r="AM222" s="143"/>
      <c r="AN222" s="143"/>
      <c r="AO222" s="143"/>
      <c r="AP222" s="143"/>
      <c r="AQ222" s="143"/>
      <c r="AR222" s="143"/>
      <c r="AS222" s="143"/>
      <c r="AT222" s="156"/>
      <c r="AU222" s="143"/>
      <c r="AV222" s="143"/>
      <c r="AW222" s="143"/>
      <c r="AX222" s="143"/>
      <c r="AY222" s="143"/>
      <c r="AZ222" s="143"/>
      <c r="BA222" s="143"/>
      <c r="BB222" s="143">
        <f>BB221*AZ221</f>
        <v>16</v>
      </c>
      <c r="BC222" s="143"/>
      <c r="BD222" s="143"/>
      <c r="BE222" s="143"/>
      <c r="BF222" s="143"/>
      <c r="BG222" s="143"/>
      <c r="BH222" s="143"/>
      <c r="BI222" s="149"/>
      <c r="BK222" s="22"/>
      <c r="BM222" s="6" t="s">
        <v>762</v>
      </c>
      <c r="BN222" s="6">
        <v>1440000.0</v>
      </c>
      <c r="BO222" s="6">
        <v>1443840.0</v>
      </c>
      <c r="BP222" s="6" t="s">
        <v>762</v>
      </c>
      <c r="BQ222" s="6">
        <v>3000.0</v>
      </c>
      <c r="BR222" s="6">
        <v>188.0</v>
      </c>
      <c r="BS222" s="6" t="s">
        <v>762</v>
      </c>
      <c r="BT222" s="6">
        <v>3.0</v>
      </c>
      <c r="BU222" s="6">
        <v>5.0</v>
      </c>
      <c r="BV222" s="6">
        <v>1.0</v>
      </c>
      <c r="BY222" s="140" t="s">
        <v>356</v>
      </c>
      <c r="BZ222" s="6">
        <v>2.0</v>
      </c>
      <c r="CA222" s="6">
        <v>2.0</v>
      </c>
      <c r="CG222" s="140" t="s">
        <v>356</v>
      </c>
      <c r="CH222" s="6"/>
      <c r="CI222" s="140">
        <v>16384.0</v>
      </c>
      <c r="CJ222" s="6"/>
      <c r="CK222" s="140">
        <v>16384.0</v>
      </c>
    </row>
    <row r="223">
      <c r="B223" s="150"/>
      <c r="C223" s="151"/>
      <c r="D223" s="147"/>
      <c r="E223" s="147"/>
      <c r="F223" s="152"/>
      <c r="G223" s="138"/>
      <c r="H223" s="157" t="s">
        <v>502</v>
      </c>
      <c r="I223" s="158">
        <v>96.0</v>
      </c>
      <c r="J223" s="154" t="s">
        <v>424</v>
      </c>
      <c r="K223" s="154">
        <v>0.0</v>
      </c>
      <c r="L223" s="100">
        <v>0.0</v>
      </c>
      <c r="M223" s="143"/>
      <c r="N223" s="143"/>
      <c r="O223" s="143"/>
      <c r="P223" s="143"/>
      <c r="Q223" s="143"/>
      <c r="R223" s="143"/>
      <c r="S223" s="155"/>
      <c r="T223" s="155"/>
      <c r="U223" s="143"/>
      <c r="V223" s="143"/>
      <c r="W223" s="143"/>
      <c r="X223" s="143"/>
      <c r="Y223" s="143"/>
      <c r="Z223" s="143"/>
      <c r="AA223" s="143"/>
      <c r="AB223" s="143"/>
      <c r="AC223" s="143"/>
      <c r="AD223" s="143"/>
      <c r="AE223" s="143"/>
      <c r="AF223" s="143"/>
      <c r="AG223" s="156"/>
      <c r="AH223" s="143"/>
      <c r="AI223" s="143"/>
      <c r="AJ223" s="143"/>
      <c r="AK223" s="143"/>
      <c r="AL223" s="143"/>
      <c r="AM223" s="143"/>
      <c r="AN223" s="143"/>
      <c r="AO223" s="143"/>
      <c r="AP223" s="143"/>
      <c r="AQ223" s="143"/>
      <c r="AR223" s="143"/>
      <c r="AS223" s="143"/>
      <c r="AT223" s="156"/>
      <c r="AU223" s="143"/>
      <c r="AV223" s="143"/>
      <c r="AW223" s="143"/>
      <c r="AX223" s="143"/>
      <c r="AY223" s="143"/>
      <c r="AZ223" s="143"/>
      <c r="BA223" s="143"/>
      <c r="BB223" s="143"/>
      <c r="BC223" s="143"/>
      <c r="BD223" s="143"/>
      <c r="BE223" s="143"/>
      <c r="BF223" s="143"/>
      <c r="BG223" s="143"/>
      <c r="BH223" s="143"/>
      <c r="BI223" s="149"/>
      <c r="BK223" s="22"/>
      <c r="BM223" s="6" t="s">
        <v>487</v>
      </c>
      <c r="BN223" s="6">
        <v>9.98214708E9</v>
      </c>
      <c r="BO223" s="6">
        <v>1.0577257088E10</v>
      </c>
      <c r="BY223" s="6" t="s">
        <v>363</v>
      </c>
      <c r="BZ223" s="6">
        <v>4.0</v>
      </c>
      <c r="CA223" s="6">
        <v>4.0</v>
      </c>
      <c r="CG223" s="6" t="s">
        <v>363</v>
      </c>
      <c r="CH223" s="6">
        <v>32768.0</v>
      </c>
      <c r="CI223" s="6"/>
      <c r="CJ223" s="6"/>
      <c r="CK223" s="6">
        <v>32768.0</v>
      </c>
    </row>
    <row r="224">
      <c r="B224" s="135"/>
      <c r="C224" s="136"/>
      <c r="D224" s="137"/>
      <c r="E224" s="137"/>
      <c r="F224" s="137"/>
      <c r="G224" s="138"/>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8"/>
      <c r="AH224" s="137"/>
      <c r="AI224" s="137"/>
      <c r="AJ224" s="137"/>
      <c r="AK224" s="137"/>
      <c r="AL224" s="137"/>
      <c r="AM224" s="137"/>
      <c r="AN224" s="137"/>
      <c r="AO224" s="137"/>
      <c r="AP224" s="137"/>
      <c r="AQ224" s="137"/>
      <c r="AR224" s="137"/>
      <c r="AS224" s="137"/>
      <c r="AT224" s="138"/>
      <c r="AU224" s="137"/>
      <c r="AV224" s="137"/>
      <c r="AW224" s="137"/>
      <c r="AX224" s="137"/>
      <c r="AY224" s="137"/>
      <c r="AZ224" s="137"/>
      <c r="BA224" s="137"/>
      <c r="BB224" s="137"/>
      <c r="BC224" s="137"/>
      <c r="BD224" s="137"/>
      <c r="BE224" s="137"/>
      <c r="BF224" s="137"/>
      <c r="BG224" s="137"/>
      <c r="BH224" s="137"/>
      <c r="BI224" s="139"/>
      <c r="BK224" s="22"/>
      <c r="BY224" s="6" t="s">
        <v>487</v>
      </c>
      <c r="BZ224" s="6">
        <v>35.0</v>
      </c>
      <c r="CA224" s="6">
        <v>35.0</v>
      </c>
      <c r="CG224" s="6" t="s">
        <v>487</v>
      </c>
      <c r="CH224" s="6">
        <v>253952.0</v>
      </c>
      <c r="CI224" s="140">
        <v>16384.0</v>
      </c>
      <c r="CJ224" s="140">
        <v>16384.0</v>
      </c>
      <c r="CK224" s="6">
        <v>286720.0</v>
      </c>
    </row>
    <row r="225">
      <c r="B225" s="141" t="s">
        <v>748</v>
      </c>
      <c r="C225" s="142"/>
      <c r="D225" s="143"/>
      <c r="E225" s="143"/>
      <c r="F225" s="144"/>
      <c r="G225" s="145"/>
      <c r="H225" s="146" t="s">
        <v>349</v>
      </c>
      <c r="I225" s="147">
        <f>VLOOKUP(H225,'Machine List'!$A$1:$I$300,9,FALSE)</f>
        <v>4000</v>
      </c>
      <c r="J225" s="147">
        <f>IF(VLOOKUP(H225,'Machine List'!$A$1:$I$300,5,FALSE)="Multi",IF(VLOOKUP(H225,'Machine List'!$A$1:$I$300,6,FALSE)="Yes",AI225*3*10^AB225,AI225*(2*3)*10^(AB225-1)),0)</f>
        <v>6</v>
      </c>
      <c r="K225" s="147">
        <f>J225+IF(ISNUMBER(I225),I225,
  SWITCH(
      I225,
      "1T",1*10^AB225,
      "2T",2*10^AB225,
      "3T",3*10^AB225,
      "4T",4*10^AB225,
      "4000+500(7O-5)",4000+500*(7*I226-5),
      "13500 + 16C",13500+16*VLOOKUP(J227,'Machine Helper Sheet'!$G$1:$K$16,5,FALSE),
      1
  )
)</f>
        <v>4006</v>
      </c>
      <c r="L225" s="147">
        <f>IF(VLOOKUP(H225,'Machine List'!$A$1:$I$300,5,FALSE)="Multi",IF(VLOOKUP(H225,'Machine List'!$A$1:$I$300,6,FALSE)="Yes",AW225*3*10^AV225,AW225*(2*3)*10^(AV225-1)),0)</f>
        <v>60000</v>
      </c>
      <c r="M225" s="147">
        <f>L225+IF(ISNUMBER(I225),I225,
  SWITCH(
      I225,
      "1T",1*10^AV225,
      "2T",2*10^AV225,
      "3T",3*10^AV225,
      "4T",4*10^AV225,
      "4000+500(7O-5)",4000+500*(7*I226-5),
      1
  )
)</f>
        <v>64000</v>
      </c>
      <c r="N225" s="147" t="str">
        <f>VLOOKUP(H225,'Machine List'!$A$1:$I$300,8,FALSE)</f>
        <v>Tier</v>
      </c>
      <c r="O225" s="147">
        <f>IF(ISNUMBER(N225),N225,10^AB225)</f>
        <v>10</v>
      </c>
      <c r="P225" s="147">
        <f>IF(ISNUMBER(N225),N225,10^AV225)</f>
        <v>100000</v>
      </c>
      <c r="Q225" s="147">
        <f>VLOOKUP(H225,'Machine List'!$A$1:$B$138,2,FALSE)</f>
        <v>1</v>
      </c>
      <c r="R225" s="147" t="s">
        <v>594</v>
      </c>
      <c r="S225" s="143">
        <f>IF(ISNUMBER(Q225),Q225,
  SWITCH(
      Q225,
      "1",1,
      "2T",AB225*2,
      "4T",AB225*4,
      "6T",AB225*6,
      "8T",AB225*8,
      "10T",AB225*10,
      "12T",AB225*12,
      "14T",AB225*14,
      "16T",AB225*16,
      "24T",AB225*24,
      "2(T+1)",2*(AB225+1),
      "1T*C",AB225*J227,
      "2*P",L227*2,
      1
  )
)</f>
        <v>1</v>
      </c>
      <c r="T225" s="38" t="s">
        <v>277</v>
      </c>
      <c r="U225" s="147">
        <f>IF(OR(T225="No",T225=""),S225,T225)</f>
        <v>1</v>
      </c>
      <c r="V225" s="147">
        <f>IF(ISNUMBER(Q225),Q225,
  SWITCH(
      Q225,
      "1",1,
      "2T",AV225*2,
      "4T",AV225*4,
      "6T",AV225*6,
      "8T",AV225*8,
      "10T",AV225*10,
      "12T",AV225*12,
      "14T",AV225*14,
      "16T",AV225*16,
      "24T",AV225*24,
      "2(T+1)",2*(AV225+1),
      "1T*C",AV225*J227,
      "2*P",L227*2,
      1
  )
)</f>
        <v>1</v>
      </c>
      <c r="W225" s="147" t="str">
        <f>T225</f>
        <v>No</v>
      </c>
      <c r="X225" s="147">
        <f>IF(OR(W225="No",W225=""),V225,W225)</f>
        <v>1</v>
      </c>
      <c r="Y225" s="38">
        <f>VLOOKUP(H225,'Machine List'!$A$1:$C$138,3,FALSE)</f>
        <v>1</v>
      </c>
      <c r="Z225" s="38">
        <f>VLOOKUP(H225,'Machine List'!$A$1:$D$138,4,FALSE)</f>
        <v>1</v>
      </c>
      <c r="AA225" s="147" t="s">
        <v>390</v>
      </c>
      <c r="AB225" s="147">
        <f>VLOOKUP(AA225,'Item Helper Sheet'!$A$2:$B$16,2,FALSE)</f>
        <v>1</v>
      </c>
      <c r="AC225" s="147">
        <v>30.0</v>
      </c>
      <c r="AD225" s="147">
        <f>20*20</f>
        <v>400</v>
      </c>
      <c r="AE225" s="147">
        <f>AD225*I227</f>
        <v>25600</v>
      </c>
      <c r="AF225" s="147">
        <f>AC225*AE225</f>
        <v>768000</v>
      </c>
      <c r="AG225" s="148"/>
      <c r="AH225" s="147" t="str">
        <f>AA225</f>
        <v>01 - LV</v>
      </c>
      <c r="AI225" s="147">
        <v>1.0</v>
      </c>
      <c r="AJ225" s="147">
        <v>1.0</v>
      </c>
      <c r="AK225" s="147">
        <f>AJ225*8*4^AB225</f>
        <v>32</v>
      </c>
      <c r="AL225" s="147">
        <f>MIN(ROUNDDOWN(AK225/AN225,0),U225)</f>
        <v>1</v>
      </c>
      <c r="AM225" s="147">
        <f>IF(OR(T225="No",T225=""),AI225*S225,AI225*T225)</f>
        <v>1</v>
      </c>
      <c r="AN225" s="147">
        <f>ROUNDUP(AC225*VLOOKUP(H225,'Machine List'!$A$2:$D$219,4,FALSE),0)</f>
        <v>30</v>
      </c>
      <c r="AO225" s="147">
        <f>AN225*AM225</f>
        <v>30</v>
      </c>
      <c r="AP225" s="147">
        <f>ROUNDUP(AD225*I227,0)</f>
        <v>25600</v>
      </c>
      <c r="AQ225" s="38">
        <f>IF(ISNUMBER(Y225),ROUNDUP(AP225/Y225,0),
  SWITCH(
      Y225,
      "1+0.5C",ROUNDUP(AP225/(1+0.5*VLOOKUP(J227,'Machine Helper Sheet'!$G$1:$K$16,2,FALSE)),0),
      ROUNDUP(AP225/1,0)
  )
)</f>
        <v>25600</v>
      </c>
      <c r="AR225" s="147">
        <f>ROUNDUP(AQ225/AM225,0)</f>
        <v>25600</v>
      </c>
      <c r="AS225" s="147">
        <f>AO225*AR225</f>
        <v>768000</v>
      </c>
      <c r="AT225" s="148"/>
      <c r="AU225" s="147" t="s">
        <v>405</v>
      </c>
      <c r="AV225" s="147">
        <f>VLOOKUP(AU225,'Item Helper Sheet'!$A$2:$B$16,2,FALSE)</f>
        <v>5</v>
      </c>
      <c r="AW225" s="147">
        <f>AI225</f>
        <v>1</v>
      </c>
      <c r="AX225" s="147">
        <v>1.0</v>
      </c>
      <c r="AY225" s="147">
        <f>AX225*8*4^AV225</f>
        <v>8192</v>
      </c>
      <c r="AZ225" s="147">
        <f>MIN(ROUNDDOWN(AY225/AN225,0),X225)</f>
        <v>1</v>
      </c>
      <c r="BA225" s="147">
        <f>AZ225*AW225</f>
        <v>1</v>
      </c>
      <c r="BB225" s="147">
        <f>AN225</f>
        <v>30</v>
      </c>
      <c r="BC225" s="147">
        <f>MIN(AV225-AB225,IF(AY225&gt;=BB226*4,
IF(AY225&gt;=BB226*4^2,
IF(AY225&gt;=BB226*4^3,
IF(AY225&gt;=BB226*4^4,
IF(AY225&gt;=BB226*4^5,
IF(AY225&gt;=BB226*4^6,
IF(AY225&gt;=BB226*4^7,
IF(AY225&gt;=BB226*4^8,
IF(AY225&gt;=BB226*4^9,
IF(AY225&gt;=BB226*4^10,
9),
8),
7),
6),
5),
4),
3),
2),
1),
0))</f>
        <v>4</v>
      </c>
      <c r="BD225" s="147">
        <f>BB225*AZ225*4^BC225</f>
        <v>7680</v>
      </c>
      <c r="BE225" s="147">
        <f>BD225*AW225</f>
        <v>7680</v>
      </c>
      <c r="BF225" s="143">
        <f>ROUNDUP(IF(R225="Yes",AP225/(2^((BC225)*2)),AP225/(2^(BC225))),0)</f>
        <v>100</v>
      </c>
      <c r="BG225" s="45">
        <f>IF(ISNUMBER(Y225),ROUNDUP(BF225/Y225,0),
  SWITCH(
      Y225,
      "1+0.5C",ROUNDUP(BF225/(1+0.5*VLOOKUP(J227,'Machine Helper Sheet'!$G$1:$K$16,2,FALSE)),0),
      ROUNDUP(BF225/1,0)
  )
)</f>
        <v>100</v>
      </c>
      <c r="BH225" s="143">
        <f>ROUNDUP(BG225/BA225,0)</f>
        <v>100</v>
      </c>
      <c r="BI225" s="149">
        <f>BH225*BE225</f>
        <v>768000</v>
      </c>
      <c r="BK225" s="22"/>
      <c r="BM225" s="6" t="s">
        <v>475</v>
      </c>
      <c r="BN225" s="6" t="s">
        <v>462</v>
      </c>
      <c r="BO225" s="6"/>
      <c r="BP225" s="6"/>
      <c r="BQ225" s="6"/>
      <c r="BR225" s="6"/>
      <c r="BS225" s="6"/>
      <c r="BT225" s="6"/>
      <c r="BU225" s="6"/>
      <c r="BV225" s="6"/>
      <c r="BW225" s="6"/>
      <c r="BX225" s="6"/>
      <c r="BY225" s="6"/>
      <c r="BZ225" s="6"/>
      <c r="CA225" s="6"/>
    </row>
    <row r="226">
      <c r="B226" s="150"/>
      <c r="C226" s="151" t="s">
        <v>20</v>
      </c>
      <c r="D226" s="147">
        <f>1000*I227</f>
        <v>64000</v>
      </c>
      <c r="E226" s="147" t="s">
        <v>21</v>
      </c>
      <c r="F226" s="152">
        <f>576*I227</f>
        <v>36864</v>
      </c>
      <c r="G226" s="138"/>
      <c r="H226" s="153" t="s">
        <v>584</v>
      </c>
      <c r="I226" s="143">
        <f t="array" ref="I226">match(TRUE,ISBLANK(F226:F238),0)-1</f>
        <v>1</v>
      </c>
      <c r="J226" s="154" t="s">
        <v>420</v>
      </c>
      <c r="K226" s="154" t="s">
        <v>585</v>
      </c>
      <c r="L226" s="100" t="s">
        <v>704</v>
      </c>
      <c r="M226" s="147"/>
      <c r="N226" s="147"/>
      <c r="O226" s="147"/>
      <c r="P226" s="147"/>
      <c r="Q226" s="147"/>
      <c r="R226" s="155"/>
      <c r="S226" s="155"/>
      <c r="T226" s="155"/>
      <c r="U226" s="143"/>
      <c r="V226" s="143"/>
      <c r="W226" s="143"/>
      <c r="X226" s="143"/>
      <c r="Y226" s="143"/>
      <c r="Z226" s="143"/>
      <c r="AA226" s="143"/>
      <c r="AB226" s="143"/>
      <c r="AC226" s="143"/>
      <c r="AD226" s="143"/>
      <c r="AE226" s="143"/>
      <c r="AF226" s="143"/>
      <c r="AG226" s="156"/>
      <c r="AH226" s="143"/>
      <c r="AI226" s="143"/>
      <c r="AJ226" s="143"/>
      <c r="AK226" s="143"/>
      <c r="AL226" s="143"/>
      <c r="AM226" s="143"/>
      <c r="AN226" s="143"/>
      <c r="AO226" s="143"/>
      <c r="AP226" s="143"/>
      <c r="AQ226" s="143"/>
      <c r="AR226" s="143"/>
      <c r="AS226" s="143"/>
      <c r="AT226" s="156"/>
      <c r="AU226" s="143"/>
      <c r="AV226" s="143"/>
      <c r="AW226" s="143"/>
      <c r="AX226" s="143"/>
      <c r="AY226" s="143"/>
      <c r="AZ226" s="143"/>
      <c r="BA226" s="143"/>
      <c r="BB226" s="143">
        <f>BB225*AZ225</f>
        <v>30</v>
      </c>
      <c r="BC226" s="143"/>
      <c r="BD226" s="143"/>
      <c r="BE226" s="143"/>
      <c r="BF226" s="143"/>
      <c r="BG226" s="143"/>
      <c r="BH226" s="143"/>
      <c r="BI226" s="149"/>
      <c r="BK226" s="22"/>
      <c r="BM226" s="6" t="s">
        <v>457</v>
      </c>
      <c r="BN226" s="140" t="s">
        <v>287</v>
      </c>
      <c r="BO226" s="140" t="s">
        <v>376</v>
      </c>
      <c r="BP226" s="140" t="s">
        <v>297</v>
      </c>
      <c r="BQ226" s="140" t="s">
        <v>298</v>
      </c>
      <c r="BR226" s="140" t="s">
        <v>301</v>
      </c>
      <c r="BS226" s="140" t="s">
        <v>309</v>
      </c>
      <c r="BT226" s="140" t="s">
        <v>310</v>
      </c>
      <c r="BU226" s="140" t="s">
        <v>379</v>
      </c>
      <c r="BV226" s="140" t="s">
        <v>349</v>
      </c>
      <c r="BW226" s="6" t="s">
        <v>350</v>
      </c>
      <c r="BX226" s="140" t="s">
        <v>351</v>
      </c>
      <c r="BY226" s="140" t="s">
        <v>356</v>
      </c>
      <c r="BZ226" s="6" t="s">
        <v>363</v>
      </c>
      <c r="CA226" s="6" t="s">
        <v>487</v>
      </c>
    </row>
    <row r="227">
      <c r="B227" s="150"/>
      <c r="C227" s="151" t="s">
        <v>91</v>
      </c>
      <c r="D227" s="147">
        <f>1000*I227</f>
        <v>64000</v>
      </c>
      <c r="E227" s="147"/>
      <c r="F227" s="152"/>
      <c r="G227" s="138"/>
      <c r="H227" s="157" t="s">
        <v>502</v>
      </c>
      <c r="I227" s="158">
        <v>64.0</v>
      </c>
      <c r="J227" s="154" t="s">
        <v>424</v>
      </c>
      <c r="K227" s="154">
        <v>0.0</v>
      </c>
      <c r="L227" s="100">
        <v>0.0</v>
      </c>
      <c r="M227" s="143"/>
      <c r="N227" s="143"/>
      <c r="O227" s="143"/>
      <c r="P227" s="143"/>
      <c r="Q227" s="143"/>
      <c r="R227" s="143"/>
      <c r="S227" s="155"/>
      <c r="T227" s="155"/>
      <c r="U227" s="143"/>
      <c r="V227" s="143"/>
      <c r="W227" s="143"/>
      <c r="X227" s="143"/>
      <c r="Y227" s="143"/>
      <c r="Z227" s="143"/>
      <c r="AA227" s="143"/>
      <c r="AB227" s="143"/>
      <c r="AC227" s="143"/>
      <c r="AD227" s="143"/>
      <c r="AE227" s="143"/>
      <c r="AF227" s="143"/>
      <c r="AG227" s="156"/>
      <c r="AH227" s="143"/>
      <c r="AI227" s="143"/>
      <c r="AJ227" s="143"/>
      <c r="AK227" s="143"/>
      <c r="AL227" s="143"/>
      <c r="AM227" s="143"/>
      <c r="AN227" s="143"/>
      <c r="AO227" s="143"/>
      <c r="AP227" s="143"/>
      <c r="AQ227" s="143"/>
      <c r="AR227" s="143"/>
      <c r="AS227" s="143"/>
      <c r="AT227" s="156"/>
      <c r="AU227" s="143"/>
      <c r="AV227" s="143"/>
      <c r="AW227" s="143"/>
      <c r="AX227" s="143"/>
      <c r="AY227" s="143"/>
      <c r="AZ227" s="143"/>
      <c r="BA227" s="143"/>
      <c r="BB227" s="143"/>
      <c r="BC227" s="143"/>
      <c r="BD227" s="143"/>
      <c r="BE227" s="143"/>
      <c r="BF227" s="143"/>
      <c r="BG227" s="143"/>
      <c r="BH227" s="143"/>
      <c r="BI227" s="149"/>
      <c r="BK227" s="22"/>
      <c r="BM227" s="6" t="s">
        <v>730</v>
      </c>
      <c r="BN227" s="6"/>
      <c r="BO227" s="6"/>
      <c r="BP227" s="6"/>
      <c r="BQ227" s="6"/>
      <c r="BR227" s="6"/>
      <c r="BS227" s="6"/>
      <c r="BT227" s="6"/>
      <c r="BU227" s="6"/>
      <c r="BV227" s="6"/>
      <c r="BW227" s="6"/>
      <c r="BX227" s="6"/>
      <c r="BY227" s="6"/>
      <c r="BZ227" s="6">
        <v>1.0</v>
      </c>
      <c r="CA227" s="6">
        <v>1.0</v>
      </c>
    </row>
    <row r="228">
      <c r="B228" s="135"/>
      <c r="C228" s="136"/>
      <c r="D228" s="137"/>
      <c r="E228" s="137"/>
      <c r="F228" s="137"/>
      <c r="G228" s="138"/>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8"/>
      <c r="AH228" s="137"/>
      <c r="AI228" s="137"/>
      <c r="AJ228" s="137"/>
      <c r="AK228" s="137"/>
      <c r="AL228" s="137"/>
      <c r="AM228" s="137"/>
      <c r="AN228" s="137"/>
      <c r="AO228" s="137"/>
      <c r="AP228" s="137"/>
      <c r="AQ228" s="137"/>
      <c r="AR228" s="137"/>
      <c r="AS228" s="137"/>
      <c r="AT228" s="138"/>
      <c r="AU228" s="137"/>
      <c r="AV228" s="137"/>
      <c r="AW228" s="137"/>
      <c r="AX228" s="137"/>
      <c r="AY228" s="137"/>
      <c r="AZ228" s="137"/>
      <c r="BA228" s="137"/>
      <c r="BB228" s="137"/>
      <c r="BC228" s="137"/>
      <c r="BD228" s="137"/>
      <c r="BE228" s="137"/>
      <c r="BF228" s="137"/>
      <c r="BG228" s="137"/>
      <c r="BH228" s="137"/>
      <c r="BI228" s="139"/>
      <c r="BK228" s="22"/>
      <c r="BM228" s="6" t="s">
        <v>731</v>
      </c>
      <c r="BN228" s="6"/>
      <c r="BO228" s="6"/>
      <c r="BP228" s="6"/>
      <c r="BQ228" s="6"/>
      <c r="BR228" s="6"/>
      <c r="BS228" s="6"/>
      <c r="BT228" s="6"/>
      <c r="BU228" s="6"/>
      <c r="BV228" s="6"/>
      <c r="BW228" s="6">
        <v>1.0</v>
      </c>
      <c r="BX228" s="6"/>
      <c r="BY228" s="6"/>
      <c r="BZ228" s="6"/>
      <c r="CA228" s="6">
        <v>1.0</v>
      </c>
    </row>
    <row r="229">
      <c r="B229" s="141" t="s">
        <v>749</v>
      </c>
      <c r="C229" s="142"/>
      <c r="D229" s="143"/>
      <c r="E229" s="143"/>
      <c r="F229" s="144"/>
      <c r="G229" s="145"/>
      <c r="H229" s="146" t="s">
        <v>349</v>
      </c>
      <c r="I229" s="147">
        <f>VLOOKUP(H229,'Machine List'!$A$1:$I$300,9,FALSE)</f>
        <v>4000</v>
      </c>
      <c r="J229" s="147">
        <f>IF(VLOOKUP(H229,'Machine List'!$A$1:$I$300,5,FALSE)="Multi",IF(VLOOKUP(H229,'Machine List'!$A$1:$I$300,6,FALSE)="Yes",AI229*3*10^AB229,AI229*(2*3)*10^(AB229-1)),0)</f>
        <v>60</v>
      </c>
      <c r="K229" s="147">
        <f>J229+IF(ISNUMBER(I229),I229,
  SWITCH(
      I229,
      "1T",1*10^AB229,
      "2T",2*10^AB229,
      "3T",3*10^AB229,
      "4T",4*10^AB229,
      "4000+500(7O-5)",4000+500*(7*I230-5),
      "13500 + 16C",13500+16*VLOOKUP(J231,'Machine Helper Sheet'!$G$1:$K$16,5,FALSE),
      1
  )
)</f>
        <v>4060</v>
      </c>
      <c r="L229" s="147">
        <f>IF(VLOOKUP(H229,'Machine List'!$A$1:$I$300,5,FALSE)="Multi",IF(VLOOKUP(H229,'Machine List'!$A$1:$I$300,6,FALSE)="Yes",AW229*3*10^AV229,AW229*(2*3)*10^(AV229-1)),0)</f>
        <v>60000</v>
      </c>
      <c r="M229" s="147">
        <f>L229+IF(ISNUMBER(I229),I229,
  SWITCH(
      I229,
      "1T",1*10^AV229,
      "2T",2*10^AV229,
      "3T",3*10^AV229,
      "4T",4*10^AV229,
      "4000+500(7O-5)",4000+500*(7*I230-5),
      1
  )
)</f>
        <v>64000</v>
      </c>
      <c r="N229" s="147" t="str">
        <f>VLOOKUP(H229,'Machine List'!$A$1:$I$300,8,FALSE)</f>
        <v>Tier</v>
      </c>
      <c r="O229" s="147">
        <f>IF(ISNUMBER(N229),N229,10^AB229)</f>
        <v>100</v>
      </c>
      <c r="P229" s="147">
        <f>IF(ISNUMBER(N229),N229,10^AV229)</f>
        <v>100000</v>
      </c>
      <c r="Q229" s="147">
        <f>VLOOKUP(H229,'Machine List'!$A$1:$B$138,2,FALSE)</f>
        <v>1</v>
      </c>
      <c r="R229" s="147" t="s">
        <v>594</v>
      </c>
      <c r="S229" s="143">
        <f>IF(ISNUMBER(Q229),Q229,
  SWITCH(
      Q229,
      "1",1,
      "2T",AB229*2,
      "4T",AB229*4,
      "6T",AB229*6,
      "8T",AB229*8,
      "10T",AB229*10,
      "12T",AB229*12,
      "14T",AB229*14,
      "16T",AB229*16,
      "24T",AB229*24,
      "2(T+1)",2*(AB229+1),
      "1T*C",AB229*J231,
      "2*P",L231*2,
      1
  )
)</f>
        <v>1</v>
      </c>
      <c r="T229" s="38" t="s">
        <v>277</v>
      </c>
      <c r="U229" s="147">
        <f>IF(OR(T229="No",T229=""),S229,T229)</f>
        <v>1</v>
      </c>
      <c r="V229" s="147">
        <f>IF(ISNUMBER(Q229),Q229,
  SWITCH(
      Q229,
      "1",1,
      "2T",AV229*2,
      "4T",AV229*4,
      "6T",AV229*6,
      "8T",AV229*8,
      "10T",AV229*10,
      "12T",AV229*12,
      "14T",AV229*14,
      "16T",AV229*16,
      "24T",AV229*24,
      "2(T+1)",2*(AV229+1),
      "1T*C",AV229*J231,
      "2*P",L231*2,
      1
  )
)</f>
        <v>1</v>
      </c>
      <c r="W229" s="147" t="str">
        <f>T229</f>
        <v>No</v>
      </c>
      <c r="X229" s="147">
        <f>IF(OR(W229="No",W229=""),V229,W229)</f>
        <v>1</v>
      </c>
      <c r="Y229" s="38">
        <f>VLOOKUP(H229,'Machine List'!$A$1:$C$138,3,FALSE)</f>
        <v>1</v>
      </c>
      <c r="Z229" s="38">
        <f>VLOOKUP(H229,'Machine List'!$A$1:$D$138,4,FALSE)</f>
        <v>1</v>
      </c>
      <c r="AA229" s="147" t="s">
        <v>393</v>
      </c>
      <c r="AB229" s="147">
        <f>VLOOKUP(AA229,'Item Helper Sheet'!$A$2:$B$16,2,FALSE)</f>
        <v>2</v>
      </c>
      <c r="AC229" s="147">
        <v>120.0</v>
      </c>
      <c r="AD229" s="147">
        <f>300*20</f>
        <v>6000</v>
      </c>
      <c r="AE229" s="147">
        <f>AD229*I231</f>
        <v>192000</v>
      </c>
      <c r="AF229" s="147">
        <f>AC229*AE229</f>
        <v>23040000</v>
      </c>
      <c r="AG229" s="148"/>
      <c r="AH229" s="147" t="str">
        <f>AA229</f>
        <v>02 - MV</v>
      </c>
      <c r="AI229" s="147">
        <v>1.0</v>
      </c>
      <c r="AJ229" s="147">
        <v>1.0</v>
      </c>
      <c r="AK229" s="147">
        <f>AJ229*8*4^AB229</f>
        <v>128</v>
      </c>
      <c r="AL229" s="147">
        <f>MIN(ROUNDDOWN(AK229/AN229,0),U229)</f>
        <v>1</v>
      </c>
      <c r="AM229" s="147">
        <f>IF(OR(T229="No",T229=""),AI229*S229,AI229*T229)</f>
        <v>1</v>
      </c>
      <c r="AN229" s="147">
        <f>ROUNDUP(AC229*VLOOKUP(H229,'Machine List'!$A$2:$D$219,4,FALSE),0)</f>
        <v>120</v>
      </c>
      <c r="AO229" s="147">
        <f>AN229*AM229</f>
        <v>120</v>
      </c>
      <c r="AP229" s="147">
        <f>ROUNDUP(AD229*I231,0)</f>
        <v>192000</v>
      </c>
      <c r="AQ229" s="38">
        <f>IF(ISNUMBER(Y229),ROUNDUP(AP229/Y229,0),
  SWITCH(
      Y229,
      "1+0.5C",ROUNDUP(AP229/(1+0.5*VLOOKUP(J231,'Machine Helper Sheet'!$G$1:$K$16,2,FALSE)),0),
      ROUNDUP(AP229/1,0)
  )
)</f>
        <v>192000</v>
      </c>
      <c r="AR229" s="147">
        <f>ROUNDUP(AQ229/AM229,0)</f>
        <v>192000</v>
      </c>
      <c r="AS229" s="147">
        <f>AO229*AR229</f>
        <v>23040000</v>
      </c>
      <c r="AT229" s="148"/>
      <c r="AU229" s="147" t="s">
        <v>405</v>
      </c>
      <c r="AV229" s="147">
        <f>VLOOKUP(AU229,'Item Helper Sheet'!$A$2:$B$16,2,FALSE)</f>
        <v>5</v>
      </c>
      <c r="AW229" s="147">
        <f>AI229</f>
        <v>1</v>
      </c>
      <c r="AX229" s="147">
        <v>1.0</v>
      </c>
      <c r="AY229" s="147">
        <f>AX229*8*4^AV229</f>
        <v>8192</v>
      </c>
      <c r="AZ229" s="147">
        <f>MIN(ROUNDDOWN(AY229/AN229,0),X229)</f>
        <v>1</v>
      </c>
      <c r="BA229" s="147">
        <f>AZ229*AW229</f>
        <v>1</v>
      </c>
      <c r="BB229" s="147">
        <f>AN229</f>
        <v>120</v>
      </c>
      <c r="BC229" s="147">
        <f>MIN(AV229-AB229,IF(AY229&gt;=BB230*4,
IF(AY229&gt;=BB230*4^2,
IF(AY229&gt;=BB230*4^3,
IF(AY229&gt;=BB230*4^4,
IF(AY229&gt;=BB230*4^5,
IF(AY229&gt;=BB230*4^6,
IF(AY229&gt;=BB230*4^7,
IF(AY229&gt;=BB230*4^8,
IF(AY229&gt;=BB230*4^9,
IF(AY229&gt;=BB230*4^10,
9),
8),
7),
6),
5),
4),
3),
2),
1),
0))</f>
        <v>3</v>
      </c>
      <c r="BD229" s="147">
        <f>BB229*AZ229*4^BC229</f>
        <v>7680</v>
      </c>
      <c r="BE229" s="147">
        <f>BD229*AW229</f>
        <v>7680</v>
      </c>
      <c r="BF229" s="143">
        <f>ROUNDUP(IF(R229="Yes",AP229/(2^((BC229)*2)),AP229/(2^(BC229))),0)</f>
        <v>3000</v>
      </c>
      <c r="BG229" s="45">
        <f>IF(ISNUMBER(Y229),ROUNDUP(BF229/Y229,0),
  SWITCH(
      Y229,
      "1+0.5C",ROUNDUP(BF229/(1+0.5*VLOOKUP(J231,'Machine Helper Sheet'!$G$1:$K$16,2,FALSE)),0),
      ROUNDUP(BF229/1,0)
  )
)</f>
        <v>3000</v>
      </c>
      <c r="BH229" s="143">
        <f>ROUNDUP(BG229/BA229,0)</f>
        <v>3000</v>
      </c>
      <c r="BI229" s="149">
        <f>BH229*BE229</f>
        <v>23040000</v>
      </c>
      <c r="BK229" s="22"/>
      <c r="BM229" s="140" t="s">
        <v>733</v>
      </c>
      <c r="BN229" s="6"/>
      <c r="BO229" s="6"/>
      <c r="BP229" s="6"/>
      <c r="BQ229" s="6"/>
      <c r="BR229" s="6"/>
      <c r="BS229" s="6"/>
      <c r="BT229" s="6"/>
      <c r="BU229" s="6"/>
      <c r="BV229" s="6"/>
      <c r="BW229" s="6"/>
      <c r="BX229" s="6"/>
      <c r="BY229" s="140">
        <v>1.0</v>
      </c>
      <c r="BZ229" s="6"/>
      <c r="CA229" s="140">
        <v>1.0</v>
      </c>
    </row>
    <row r="230">
      <c r="B230" s="150"/>
      <c r="C230" s="151" t="s">
        <v>34</v>
      </c>
      <c r="D230" s="147">
        <f>3*I231</f>
        <v>96</v>
      </c>
      <c r="E230" s="147" t="s">
        <v>23</v>
      </c>
      <c r="F230" s="152">
        <f>2000*I231</f>
        <v>64000</v>
      </c>
      <c r="G230" s="138"/>
      <c r="H230" s="153" t="s">
        <v>584</v>
      </c>
      <c r="I230" s="143">
        <f t="array" ref="I230">match(TRUE,ISBLANK(F230:F242),0)-1</f>
        <v>2</v>
      </c>
      <c r="J230" s="154" t="s">
        <v>420</v>
      </c>
      <c r="K230" s="154" t="s">
        <v>585</v>
      </c>
      <c r="L230" s="100" t="s">
        <v>704</v>
      </c>
      <c r="M230" s="147"/>
      <c r="N230" s="147"/>
      <c r="O230" s="147"/>
      <c r="P230" s="147"/>
      <c r="Q230" s="147"/>
      <c r="R230" s="155"/>
      <c r="S230" s="155"/>
      <c r="T230" s="155"/>
      <c r="U230" s="143"/>
      <c r="V230" s="143"/>
      <c r="W230" s="143"/>
      <c r="X230" s="143"/>
      <c r="Y230" s="143"/>
      <c r="Z230" s="143"/>
      <c r="AA230" s="143"/>
      <c r="AB230" s="143"/>
      <c r="AC230" s="143"/>
      <c r="AD230" s="143"/>
      <c r="AE230" s="143"/>
      <c r="AF230" s="143"/>
      <c r="AG230" s="156"/>
      <c r="AH230" s="143"/>
      <c r="AI230" s="143"/>
      <c r="AJ230" s="143"/>
      <c r="AK230" s="143"/>
      <c r="AL230" s="143"/>
      <c r="AM230" s="143"/>
      <c r="AN230" s="143"/>
      <c r="AO230" s="143"/>
      <c r="AP230" s="143"/>
      <c r="AQ230" s="143"/>
      <c r="AR230" s="143"/>
      <c r="AS230" s="143"/>
      <c r="AT230" s="156"/>
      <c r="AU230" s="143"/>
      <c r="AV230" s="143"/>
      <c r="AW230" s="143"/>
      <c r="AX230" s="143"/>
      <c r="AY230" s="143"/>
      <c r="AZ230" s="143"/>
      <c r="BA230" s="143"/>
      <c r="BB230" s="143">
        <f>BB229*AZ229</f>
        <v>120</v>
      </c>
      <c r="BC230" s="143"/>
      <c r="BD230" s="143"/>
      <c r="BE230" s="143"/>
      <c r="BF230" s="143"/>
      <c r="BG230" s="143"/>
      <c r="BH230" s="143"/>
      <c r="BI230" s="149"/>
      <c r="BK230" s="22"/>
      <c r="BM230" s="6" t="s">
        <v>734</v>
      </c>
      <c r="BN230" s="6"/>
      <c r="BO230" s="6"/>
      <c r="BP230" s="6"/>
      <c r="BQ230" s="6"/>
      <c r="BR230" s="6"/>
      <c r="BS230" s="6"/>
      <c r="BT230" s="6"/>
      <c r="BU230" s="6"/>
      <c r="BV230" s="6"/>
      <c r="BW230" s="6"/>
      <c r="BX230" s="6"/>
      <c r="BY230" s="6"/>
      <c r="BZ230" s="6">
        <v>1.0</v>
      </c>
      <c r="CA230" s="6">
        <v>1.0</v>
      </c>
    </row>
    <row r="231">
      <c r="B231" s="150"/>
      <c r="C231" s="151" t="s">
        <v>21</v>
      </c>
      <c r="D231" s="147">
        <f>1152*I231</f>
        <v>36864</v>
      </c>
      <c r="E231" s="147" t="s">
        <v>248</v>
      </c>
      <c r="F231" s="152">
        <f>1000*I231</f>
        <v>32000</v>
      </c>
      <c r="G231" s="138"/>
      <c r="H231" s="157" t="s">
        <v>502</v>
      </c>
      <c r="I231" s="158">
        <v>32.0</v>
      </c>
      <c r="J231" s="154" t="s">
        <v>424</v>
      </c>
      <c r="K231" s="154">
        <v>0.0</v>
      </c>
      <c r="L231" s="100">
        <v>0.0</v>
      </c>
      <c r="M231" s="143"/>
      <c r="N231" s="143"/>
      <c r="O231" s="143"/>
      <c r="P231" s="143"/>
      <c r="Q231" s="143"/>
      <c r="R231" s="143"/>
      <c r="S231" s="155"/>
      <c r="T231" s="155"/>
      <c r="U231" s="143"/>
      <c r="V231" s="143"/>
      <c r="W231" s="143"/>
      <c r="X231" s="143"/>
      <c r="Y231" s="143"/>
      <c r="Z231" s="143"/>
      <c r="AA231" s="143"/>
      <c r="AB231" s="143"/>
      <c r="AC231" s="143"/>
      <c r="AD231" s="143"/>
      <c r="AE231" s="143"/>
      <c r="AF231" s="143"/>
      <c r="AG231" s="156"/>
      <c r="AH231" s="143"/>
      <c r="AI231" s="143"/>
      <c r="AJ231" s="143"/>
      <c r="AK231" s="143"/>
      <c r="AL231" s="143"/>
      <c r="AM231" s="143"/>
      <c r="AN231" s="143"/>
      <c r="AO231" s="143"/>
      <c r="AP231" s="143"/>
      <c r="AQ231" s="143"/>
      <c r="AR231" s="143"/>
      <c r="AS231" s="143"/>
      <c r="AT231" s="156"/>
      <c r="AU231" s="143"/>
      <c r="AV231" s="143"/>
      <c r="AW231" s="143"/>
      <c r="AX231" s="143"/>
      <c r="AY231" s="143"/>
      <c r="AZ231" s="143"/>
      <c r="BA231" s="143"/>
      <c r="BB231" s="143"/>
      <c r="BC231" s="143"/>
      <c r="BD231" s="143"/>
      <c r="BE231" s="143"/>
      <c r="BF231" s="143"/>
      <c r="BG231" s="143"/>
      <c r="BH231" s="143"/>
      <c r="BI231" s="149"/>
      <c r="BK231" s="22"/>
      <c r="BM231" s="140" t="s">
        <v>735</v>
      </c>
      <c r="BN231" s="6"/>
      <c r="BO231" s="6"/>
      <c r="BP231" s="6"/>
      <c r="BQ231" s="6"/>
      <c r="BR231" s="6"/>
      <c r="BS231" s="6"/>
      <c r="BT231" s="6"/>
      <c r="BU231" s="6"/>
      <c r="BV231" s="140">
        <v>1.0</v>
      </c>
      <c r="BW231" s="6"/>
      <c r="BX231" s="6"/>
      <c r="BY231" s="6"/>
      <c r="BZ231" s="6"/>
      <c r="CA231" s="140">
        <v>1.0</v>
      </c>
    </row>
    <row r="232">
      <c r="B232" s="135"/>
      <c r="C232" s="136"/>
      <c r="D232" s="137"/>
      <c r="E232" s="137"/>
      <c r="F232" s="137"/>
      <c r="G232" s="138"/>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8"/>
      <c r="AH232" s="137"/>
      <c r="AI232" s="137"/>
      <c r="AJ232" s="137"/>
      <c r="AK232" s="137"/>
      <c r="AL232" s="137"/>
      <c r="AM232" s="137"/>
      <c r="AN232" s="137"/>
      <c r="AO232" s="137"/>
      <c r="AP232" s="137"/>
      <c r="AQ232" s="137"/>
      <c r="AR232" s="137"/>
      <c r="AS232" s="137"/>
      <c r="AT232" s="138"/>
      <c r="AU232" s="137"/>
      <c r="AV232" s="137"/>
      <c r="AW232" s="137"/>
      <c r="AX232" s="137"/>
      <c r="AY232" s="137"/>
      <c r="AZ232" s="137"/>
      <c r="BA232" s="137"/>
      <c r="BB232" s="137"/>
      <c r="BC232" s="137"/>
      <c r="BD232" s="137"/>
      <c r="BE232" s="137"/>
      <c r="BF232" s="137"/>
      <c r="BG232" s="137"/>
      <c r="BH232" s="137"/>
      <c r="BI232" s="139"/>
      <c r="BK232" s="22"/>
      <c r="BM232" s="140" t="s">
        <v>738</v>
      </c>
      <c r="BN232" s="6"/>
      <c r="BO232" s="6"/>
      <c r="BP232" s="6"/>
      <c r="BQ232" s="6"/>
      <c r="BR232" s="6"/>
      <c r="BS232" s="6"/>
      <c r="BT232" s="6"/>
      <c r="BU232" s="6"/>
      <c r="BV232" s="140">
        <v>1.0</v>
      </c>
      <c r="BW232" s="6"/>
      <c r="BX232" s="6"/>
      <c r="BY232" s="6"/>
      <c r="BZ232" s="6"/>
      <c r="CA232" s="140">
        <v>1.0</v>
      </c>
    </row>
    <row r="233">
      <c r="B233" s="31" t="s">
        <v>750</v>
      </c>
      <c r="C233" s="54"/>
      <c r="D233" s="45"/>
      <c r="E233" s="45"/>
      <c r="F233" s="47"/>
      <c r="G233" s="35"/>
      <c r="H233" s="55" t="s">
        <v>349</v>
      </c>
      <c r="I233" s="38">
        <f>VLOOKUP(H233,'Machine List'!$A$1:$I$300,9,FALSE)</f>
        <v>4000</v>
      </c>
      <c r="J233" s="38">
        <f>IF(VLOOKUP(H233,'Machine List'!$A$1:$I$300,5,FALSE)="Multi",IF(VLOOKUP(H233,'Machine List'!$A$1:$I$300,6,FALSE)="Yes",AI233*3*10^AB233,AI233*(2*3)*10^(AB233-1)),0)</f>
        <v>60</v>
      </c>
      <c r="K233" s="38">
        <f>J233+IF(ISNUMBER(I233),I233,
  SWITCH(
      I233,
      "1T",1*10^AB233,
      "2T",2*10^AB233,
      "3T",3*10^AB233,
      "4T",4*10^AB233,
      "4000+500(7O-5)",4000+500*(7*I234-5),
      "13500 + 16C",13500+16*VLOOKUP(J235,'Machine Helper Sheet'!$G$1:$K$16,5,FALSE),
      1
  )
)</f>
        <v>4060</v>
      </c>
      <c r="L233" s="38">
        <f>IF(VLOOKUP(H233,'Machine List'!$A$1:$I$300,5,FALSE)="Multi",IF(VLOOKUP(H233,'Machine List'!$A$1:$I$300,6,FALSE)="Yes",AW233*3*10^AV233,AW233*(2*3)*10^(AV233-1)),0)</f>
        <v>60000</v>
      </c>
      <c r="M233" s="38">
        <f>L233+IF(ISNUMBER(I233),I233,
  SWITCH(
      I233,
      "1T",1*10^AV233,
      "2T",2*10^AV233,
      "3T",3*10^AV233,
      "4T",4*10^AV233,
      "4000+500(7O-5)",4000+500*(7*I234-5),
      1
  )
)</f>
        <v>64000</v>
      </c>
      <c r="N233" s="38" t="str">
        <f>VLOOKUP(H233,'Machine List'!$A$1:$I$300,8,FALSE)</f>
        <v>Tier</v>
      </c>
      <c r="O233" s="38">
        <f>IF(ISNUMBER(N233),N233,10^AB233)</f>
        <v>100</v>
      </c>
      <c r="P233" s="38">
        <f>IF(ISNUMBER(N233),N233,10^AV233)</f>
        <v>100000</v>
      </c>
      <c r="Q233" s="38">
        <f>VLOOKUP(H233,'Machine List'!$A$1:$B$138,2,FALSE)</f>
        <v>1</v>
      </c>
      <c r="R233" s="38" t="s">
        <v>594</v>
      </c>
      <c r="S233" s="45">
        <f>IF(ISNUMBER(Q233),Q233,
  SWITCH(
      Q233,
      "1",1,
      "2T",AB233*2,
      "4T",AB233*4,
      "6T",AB233*6,
      "8T",AB233*8,
      "10T",AB233*10,
      "12T",AB233*12,
      "14T",AB233*14,
      "16T",AB233*16,
      "24T",AB233*24,
      "2(T+1)",2*(AB233+1),
      "1T*C",AB233*J235,
      "2*P",L235*2,
      1
  )
)</f>
        <v>1</v>
      </c>
      <c r="T233" s="38" t="s">
        <v>277</v>
      </c>
      <c r="U233" s="38">
        <f>IF(OR(T233="No",T233=""),S233,T233)</f>
        <v>1</v>
      </c>
      <c r="V233" s="38">
        <f>IF(ISNUMBER(Q233),Q233,
  SWITCH(
      Q233,
      "1",1,
      "2T",AV233*2,
      "4T",AV233*4,
      "6T",AV233*6,
      "8T",AV233*8,
      "10T",AV233*10,
      "12T",AV233*12,
      "14T",AV233*14,
      "16T",AV233*16,
      "24T",AV233*24,
      "2(T+1)",2*(AV233+1),
      "1T*C",AV233*J235,
      "2*P",L235*2,
      1
  )
)</f>
        <v>1</v>
      </c>
      <c r="W233" s="38" t="str">
        <f>T233</f>
        <v>No</v>
      </c>
      <c r="X233" s="38">
        <f>IF(OR(W233="No",W233=""),V233,W233)</f>
        <v>1</v>
      </c>
      <c r="Y233" s="38">
        <f>VLOOKUP(H233,'Machine List'!$A$1:$C$138,3,FALSE)</f>
        <v>1</v>
      </c>
      <c r="Z233" s="38">
        <f>VLOOKUP(H233,'Machine List'!$A$1:$D$138,4,FALSE)</f>
        <v>1</v>
      </c>
      <c r="AA233" s="147" t="s">
        <v>393</v>
      </c>
      <c r="AB233" s="38">
        <f>VLOOKUP(AA233,'Item Helper Sheet'!$A$2:$B$16,2,FALSE)</f>
        <v>2</v>
      </c>
      <c r="AC233" s="147">
        <v>120.0</v>
      </c>
      <c r="AD233" s="147">
        <f>300*20</f>
        <v>6000</v>
      </c>
      <c r="AE233" s="38">
        <f>AD233*I235</f>
        <v>384000</v>
      </c>
      <c r="AF233" s="38">
        <f>AC233*AE233</f>
        <v>46080000</v>
      </c>
      <c r="AG233" s="75"/>
      <c r="AH233" s="147" t="str">
        <f>AA233</f>
        <v>02 - MV</v>
      </c>
      <c r="AI233" s="38">
        <v>1.0</v>
      </c>
      <c r="AJ233" s="38">
        <v>1.0</v>
      </c>
      <c r="AK233" s="38">
        <f>AJ233*8*4^AB233</f>
        <v>128</v>
      </c>
      <c r="AL233" s="38">
        <f>MIN(ROUNDDOWN(AK233/AN233,0),U233)</f>
        <v>1</v>
      </c>
      <c r="AM233" s="38">
        <f>IF(OR(T233="No",T233=""),AI233*S233,AI233*T233)</f>
        <v>1</v>
      </c>
      <c r="AN233" s="38">
        <f>ROUNDUP(AC233*VLOOKUP(H233,'Machine List'!$A$2:$D$219,4,FALSE),0)</f>
        <v>120</v>
      </c>
      <c r="AO233" s="38">
        <f>AN233*AM233</f>
        <v>120</v>
      </c>
      <c r="AP233" s="38">
        <f>ROUNDUP(AD233*I235,0)</f>
        <v>384000</v>
      </c>
      <c r="AQ233" s="38">
        <f>IF(ISNUMBER(Y233),ROUNDUP(AP233/Y233,0),
  SWITCH(
      Y233,
      "1+0.5C",ROUNDUP(AP233/(1+0.5*VLOOKUP(J235,'Machine Helper Sheet'!$G$1:$K$16,2,FALSE)),0),
      ROUNDUP(AP233/1,0)
  )
)</f>
        <v>384000</v>
      </c>
      <c r="AR233" s="38">
        <f>ROUNDUP(AQ233/AM233,0)</f>
        <v>384000</v>
      </c>
      <c r="AS233" s="38">
        <f>AO233*AR233</f>
        <v>46080000</v>
      </c>
      <c r="AT233" s="75"/>
      <c r="AU233" s="38" t="s">
        <v>405</v>
      </c>
      <c r="AV233" s="38">
        <f>VLOOKUP(AU233,'Item Helper Sheet'!$A$2:$B$16,2,FALSE)</f>
        <v>5</v>
      </c>
      <c r="AW233" s="38">
        <f>AI233</f>
        <v>1</v>
      </c>
      <c r="AX233" s="38">
        <v>1.0</v>
      </c>
      <c r="AY233" s="38">
        <f>AX233*8*4^AV233</f>
        <v>8192</v>
      </c>
      <c r="AZ233" s="38">
        <f>MIN(ROUNDDOWN(AY233/AN233,0),X233)</f>
        <v>1</v>
      </c>
      <c r="BA233" s="38">
        <f>AZ233*AW233</f>
        <v>1</v>
      </c>
      <c r="BB233" s="38">
        <f>AN233</f>
        <v>120</v>
      </c>
      <c r="BC233" s="38">
        <f>MIN(AV233-AB233,IF(AY233&gt;=BB234*4,
IF(AY233&gt;=BB234*4^2,
IF(AY233&gt;=BB234*4^3,
IF(AY233&gt;=BB234*4^4,
IF(AY233&gt;=BB234*4^5,
IF(AY233&gt;=BB234*4^6,
IF(AY233&gt;=BB234*4^7,
IF(AY233&gt;=BB234*4^8,
IF(AY233&gt;=BB234*4^9,
IF(AY233&gt;=BB234*4^10,
9),
8),
7),
6),
5),
4),
3),
2),
1),
0))</f>
        <v>3</v>
      </c>
      <c r="BD233" s="38">
        <f>BB233*AZ233*4^BC233</f>
        <v>7680</v>
      </c>
      <c r="BE233" s="38">
        <f>BD233*AW233</f>
        <v>7680</v>
      </c>
      <c r="BF233" s="45">
        <f>ROUNDUP(IF(R233="Yes",AP233/(2^((BC233)*2)),AP233/(2^(BC233))),0)</f>
        <v>6000</v>
      </c>
      <c r="BG233" s="45">
        <f>IF(ISNUMBER(Y233),ROUNDUP(BF233/Y233,0),
  SWITCH(
      Y233,
      "1+0.5C",ROUNDUP(BF233/(1+0.5*VLOOKUP(J235,'Machine Helper Sheet'!$G$1:$K$16,2,FALSE)),0),
      ROUNDUP(BF233/1,0)
  )
)</f>
        <v>6000</v>
      </c>
      <c r="BH233" s="45">
        <f>ROUNDUP(BG233/BA233,0)</f>
        <v>6000</v>
      </c>
      <c r="BI233" s="46">
        <f>BH233*BE233</f>
        <v>46080000</v>
      </c>
      <c r="BK233" s="22"/>
      <c r="BM233" s="140" t="s">
        <v>739</v>
      </c>
      <c r="BN233" s="6"/>
      <c r="BO233" s="6"/>
      <c r="BP233" s="6"/>
      <c r="BQ233" s="6"/>
      <c r="BR233" s="6"/>
      <c r="BS233" s="6"/>
      <c r="BT233" s="140">
        <v>1.0</v>
      </c>
      <c r="BU233" s="6"/>
      <c r="BV233" s="6"/>
      <c r="BW233" s="6"/>
      <c r="BX233" s="6"/>
      <c r="BY233" s="6"/>
      <c r="BZ233" s="6"/>
      <c r="CA233" s="140">
        <v>1.0</v>
      </c>
    </row>
    <row r="234">
      <c r="B234" s="40"/>
      <c r="C234" s="41" t="s">
        <v>23</v>
      </c>
      <c r="D234" s="38">
        <f>1000*I235</f>
        <v>64000</v>
      </c>
      <c r="E234" s="38" t="s">
        <v>32</v>
      </c>
      <c r="F234" s="42">
        <f>3*I235</f>
        <v>192</v>
      </c>
      <c r="G234" s="43"/>
      <c r="H234" s="99" t="s">
        <v>584</v>
      </c>
      <c r="I234" s="45">
        <f t="array" ref="I234">match(TRUE,ISBLANK(F234:F245),0)-1</f>
        <v>3</v>
      </c>
      <c r="J234" s="100" t="s">
        <v>420</v>
      </c>
      <c r="K234" s="100" t="s">
        <v>585</v>
      </c>
      <c r="L234" s="100" t="s">
        <v>704</v>
      </c>
      <c r="M234" s="38"/>
      <c r="N234" s="38"/>
      <c r="O234" s="38"/>
      <c r="P234" s="38"/>
      <c r="Q234" s="38"/>
      <c r="R234" s="101"/>
      <c r="S234" s="101"/>
      <c r="T234" s="101"/>
      <c r="U234" s="45"/>
      <c r="V234" s="45"/>
      <c r="W234" s="45"/>
      <c r="X234" s="45"/>
      <c r="Y234" s="45"/>
      <c r="Z234" s="45"/>
      <c r="AA234" s="45"/>
      <c r="AB234" s="45"/>
      <c r="AC234" s="45"/>
      <c r="AD234" s="45"/>
      <c r="AE234" s="45"/>
      <c r="AF234" s="45"/>
      <c r="AG234" s="79"/>
      <c r="AH234" s="45"/>
      <c r="AI234" s="45"/>
      <c r="AJ234" s="45"/>
      <c r="AK234" s="45"/>
      <c r="AL234" s="45"/>
      <c r="AM234" s="45"/>
      <c r="AN234" s="45"/>
      <c r="AO234" s="45"/>
      <c r="AP234" s="45"/>
      <c r="AQ234" s="45"/>
      <c r="AR234" s="45"/>
      <c r="AS234" s="45"/>
      <c r="AT234" s="79"/>
      <c r="AU234" s="45"/>
      <c r="AV234" s="45"/>
      <c r="AW234" s="45"/>
      <c r="AX234" s="45"/>
      <c r="AY234" s="45"/>
      <c r="AZ234" s="45"/>
      <c r="BA234" s="45"/>
      <c r="BB234" s="45">
        <f>BB233*AZ233</f>
        <v>120</v>
      </c>
      <c r="BC234" s="45"/>
      <c r="BD234" s="45"/>
      <c r="BE234" s="45"/>
      <c r="BF234" s="45"/>
      <c r="BG234" s="45"/>
      <c r="BH234" s="45"/>
      <c r="BI234" s="46"/>
      <c r="BK234" s="22"/>
      <c r="BM234" s="140" t="s">
        <v>740</v>
      </c>
      <c r="BN234" s="6"/>
      <c r="BO234" s="6"/>
      <c r="BP234" s="6"/>
      <c r="BQ234" s="6"/>
      <c r="BR234" s="6"/>
      <c r="BS234" s="6"/>
      <c r="BT234" s="6"/>
      <c r="BU234" s="6"/>
      <c r="BV234" s="6"/>
      <c r="BW234" s="6"/>
      <c r="BX234" s="6"/>
      <c r="BY234" s="140">
        <v>1.0</v>
      </c>
      <c r="BZ234" s="6"/>
      <c r="CA234" s="140">
        <v>1.0</v>
      </c>
    </row>
    <row r="235">
      <c r="B235" s="40"/>
      <c r="C235" s="41"/>
      <c r="D235" s="38"/>
      <c r="E235" s="38" t="s">
        <v>20</v>
      </c>
      <c r="F235" s="42">
        <f>2000*I235</f>
        <v>128000</v>
      </c>
      <c r="G235" s="43"/>
      <c r="H235" s="56" t="s">
        <v>502</v>
      </c>
      <c r="I235" s="49">
        <v>64.0</v>
      </c>
      <c r="J235" s="100" t="s">
        <v>424</v>
      </c>
      <c r="K235" s="100">
        <v>0.0</v>
      </c>
      <c r="L235" s="100">
        <v>0.0</v>
      </c>
      <c r="M235" s="45"/>
      <c r="N235" s="45"/>
      <c r="O235" s="45"/>
      <c r="P235" s="45"/>
      <c r="Q235" s="45"/>
      <c r="R235" s="45"/>
      <c r="S235" s="101"/>
      <c r="T235" s="101"/>
      <c r="U235" s="45"/>
      <c r="V235" s="45"/>
      <c r="W235" s="45"/>
      <c r="X235" s="45"/>
      <c r="Y235" s="45"/>
      <c r="Z235" s="45"/>
      <c r="AA235" s="45"/>
      <c r="AB235" s="45"/>
      <c r="AC235" s="45"/>
      <c r="AD235" s="45"/>
      <c r="AE235" s="45"/>
      <c r="AF235" s="45"/>
      <c r="AG235" s="79"/>
      <c r="AH235" s="45"/>
      <c r="AI235" s="45"/>
      <c r="AJ235" s="45"/>
      <c r="AK235" s="45"/>
      <c r="AL235" s="45"/>
      <c r="AM235" s="45"/>
      <c r="AN235" s="45"/>
      <c r="AO235" s="45"/>
      <c r="AP235" s="45"/>
      <c r="AQ235" s="45"/>
      <c r="AR235" s="45"/>
      <c r="AS235" s="45"/>
      <c r="AT235" s="79"/>
      <c r="AU235" s="45"/>
      <c r="AV235" s="45"/>
      <c r="AW235" s="45"/>
      <c r="AX235" s="45"/>
      <c r="AY235" s="45"/>
      <c r="AZ235" s="45"/>
      <c r="BA235" s="45"/>
      <c r="BB235" s="45"/>
      <c r="BC235" s="45"/>
      <c r="BD235" s="45"/>
      <c r="BE235" s="45"/>
      <c r="BF235" s="45"/>
      <c r="BG235" s="45"/>
      <c r="BH235" s="45"/>
      <c r="BI235" s="46"/>
      <c r="BK235" s="22"/>
      <c r="BM235" s="6" t="s">
        <v>741</v>
      </c>
      <c r="BN235" s="6"/>
      <c r="BO235" s="6"/>
      <c r="BP235" s="6"/>
      <c r="BQ235" s="6"/>
      <c r="BR235" s="6"/>
      <c r="BS235" s="6"/>
      <c r="BT235" s="6"/>
      <c r="BU235" s="6"/>
      <c r="BV235" s="6"/>
      <c r="BW235" s="6"/>
      <c r="BX235" s="6"/>
      <c r="BY235" s="6"/>
      <c r="BZ235" s="6">
        <v>1.0</v>
      </c>
      <c r="CA235" s="6">
        <v>1.0</v>
      </c>
    </row>
    <row r="236">
      <c r="B236" s="40"/>
      <c r="C236" s="41"/>
      <c r="D236" s="133"/>
      <c r="E236" s="38" t="s">
        <v>91</v>
      </c>
      <c r="F236" s="42">
        <f>1000*I235</f>
        <v>64000</v>
      </c>
      <c r="G236" s="43"/>
      <c r="H236" s="44"/>
      <c r="I236" s="45"/>
      <c r="J236" s="45"/>
      <c r="K236" s="45"/>
      <c r="L236" s="45"/>
      <c r="M236" s="45"/>
      <c r="N236" s="45"/>
      <c r="O236" s="45"/>
      <c r="P236" s="45"/>
      <c r="Q236" s="45"/>
      <c r="R236" s="45"/>
      <c r="S236" s="101"/>
      <c r="T236" s="101"/>
      <c r="U236" s="45"/>
      <c r="V236" s="45"/>
      <c r="W236" s="45"/>
      <c r="X236" s="45"/>
      <c r="Y236" s="45"/>
      <c r="Z236" s="45"/>
      <c r="AA236" s="45"/>
      <c r="AB236" s="45"/>
      <c r="AC236" s="45"/>
      <c r="AD236" s="45"/>
      <c r="AE236" s="45"/>
      <c r="AF236" s="45"/>
      <c r="AG236" s="79"/>
      <c r="AH236" s="45"/>
      <c r="AI236" s="45"/>
      <c r="AJ236" s="45"/>
      <c r="AK236" s="45"/>
      <c r="AL236" s="45"/>
      <c r="AM236" s="45"/>
      <c r="AN236" s="45"/>
      <c r="AO236" s="45"/>
      <c r="AP236" s="45"/>
      <c r="AQ236" s="45"/>
      <c r="AR236" s="45"/>
      <c r="AS236" s="45"/>
      <c r="AT236" s="79"/>
      <c r="AU236" s="45"/>
      <c r="AV236" s="45"/>
      <c r="AW236" s="45"/>
      <c r="AX236" s="45"/>
      <c r="AY236" s="45"/>
      <c r="AZ236" s="45"/>
      <c r="BA236" s="45"/>
      <c r="BB236" s="45"/>
      <c r="BC236" s="45"/>
      <c r="BD236" s="45"/>
      <c r="BE236" s="45"/>
      <c r="BF236" s="45"/>
      <c r="BG236" s="45"/>
      <c r="BH236" s="45"/>
      <c r="BI236" s="46"/>
      <c r="BK236" s="22"/>
      <c r="BM236" s="140" t="s">
        <v>742</v>
      </c>
      <c r="BN236" s="6"/>
      <c r="BO236" s="6"/>
      <c r="BP236" s="6"/>
      <c r="BQ236" s="6"/>
      <c r="BR236" s="6"/>
      <c r="BS236" s="6"/>
      <c r="BT236" s="6"/>
      <c r="BU236" s="6"/>
      <c r="BV236" s="140">
        <v>1.0</v>
      </c>
      <c r="BW236" s="6"/>
      <c r="BX236" s="6"/>
      <c r="BY236" s="6"/>
      <c r="BZ236" s="6"/>
      <c r="CA236" s="140">
        <v>1.0</v>
      </c>
    </row>
    <row r="237">
      <c r="B237" s="50"/>
      <c r="C237" s="51"/>
      <c r="D237" s="134"/>
      <c r="E237" s="52"/>
      <c r="F237" s="52"/>
      <c r="G237" s="112"/>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2"/>
      <c r="AH237" s="113"/>
      <c r="AI237" s="113"/>
      <c r="AJ237" s="113"/>
      <c r="AK237" s="113"/>
      <c r="AL237" s="113"/>
      <c r="AM237" s="113"/>
      <c r="AN237" s="113"/>
      <c r="AO237" s="113"/>
      <c r="AP237" s="113"/>
      <c r="AQ237" s="113"/>
      <c r="AR237" s="113"/>
      <c r="AS237" s="113"/>
      <c r="AT237" s="112"/>
      <c r="AU237" s="113"/>
      <c r="AV237" s="113"/>
      <c r="AW237" s="113"/>
      <c r="AX237" s="113"/>
      <c r="AY237" s="113"/>
      <c r="AZ237" s="113"/>
      <c r="BA237" s="113"/>
      <c r="BB237" s="113"/>
      <c r="BC237" s="113"/>
      <c r="BD237" s="113"/>
      <c r="BE237" s="113"/>
      <c r="BF237" s="113"/>
      <c r="BG237" s="113"/>
      <c r="BH237" s="113"/>
      <c r="BI237" s="114"/>
      <c r="BK237" s="22"/>
      <c r="BM237" s="140" t="s">
        <v>743</v>
      </c>
      <c r="BN237" s="6"/>
      <c r="BO237" s="140">
        <v>1.0</v>
      </c>
      <c r="BP237" s="6"/>
      <c r="BQ237" s="6"/>
      <c r="BR237" s="6"/>
      <c r="BS237" s="6"/>
      <c r="BT237" s="6"/>
      <c r="BU237" s="6"/>
      <c r="BV237" s="6"/>
      <c r="BW237" s="6"/>
      <c r="BX237" s="6"/>
      <c r="BY237" s="6"/>
      <c r="BZ237" s="6"/>
      <c r="CA237" s="140">
        <v>1.0</v>
      </c>
    </row>
    <row r="238">
      <c r="B238" s="141" t="s">
        <v>751</v>
      </c>
      <c r="C238" s="142"/>
      <c r="D238" s="143"/>
      <c r="E238" s="143"/>
      <c r="F238" s="144"/>
      <c r="G238" s="145"/>
      <c r="H238" s="146" t="s">
        <v>379</v>
      </c>
      <c r="I238" s="147" t="str">
        <f>VLOOKUP(H238,'Machine List'!$A$1:$I$300,9,FALSE)</f>
        <v>1T</v>
      </c>
      <c r="J238" s="147">
        <f>IF(VLOOKUP(H238,'Machine List'!$A$1:$I$300,5,FALSE)="Multi",IF(VLOOKUP(H238,'Machine List'!$A$1:$I$300,6,FALSE)="Yes",AI238*3*10^AB238,AI238*(2*3)*10^(AB238-1)),0)</f>
        <v>0</v>
      </c>
      <c r="K238" s="147">
        <f>J238+IF(ISNUMBER(I238),I238,
  SWITCH(
      I238,
      "1T",1*10^AB238,
      "2T",2*10^AB238,
      "3T",3*10^AB238,
      "4T",4*10^AB238,
      "4000+500(7O-5)",4000+500*(7*I239-5),
      "13500 + 16C",13500+16*VLOOKUP(J240,'Machine Helper Sheet'!$G$1:$K$16,5,FALSE),
      1
  )
)</f>
        <v>10000</v>
      </c>
      <c r="L238" s="147">
        <f>IF(VLOOKUP(H238,'Machine List'!$A$1:$I$300,5,FALSE)="Multi",IF(VLOOKUP(H238,'Machine List'!$A$1:$I$300,6,FALSE)="Yes",AW238*3*10^AV238,AW238*(2*3)*10^(AV238-1)),0)</f>
        <v>0</v>
      </c>
      <c r="M238" s="147">
        <f>L238+IF(ISNUMBER(I238),I238,
  SWITCH(
      I238,
      "1T",1*10^AV238,
      "2T",2*10^AV238,
      "3T",3*10^AV238,
      "4T",4*10^AV238,
      "4000+500(7O-5)",4000+500*(7*I239-5),
      1
  )
)</f>
        <v>100000</v>
      </c>
      <c r="N238" s="147" t="str">
        <f>VLOOKUP(H238,'Machine List'!$A$1:$I$300,8,FALSE)</f>
        <v>Tier</v>
      </c>
      <c r="O238" s="147">
        <f>IF(ISNUMBER(N238),N238,10^AB238)</f>
        <v>10000</v>
      </c>
      <c r="P238" s="147">
        <f>IF(ISNUMBER(N238),N238,10^AV238)</f>
        <v>100000</v>
      </c>
      <c r="Q238" s="147">
        <f>VLOOKUP(H238,'Machine List'!$A$1:$B$138,2,FALSE)</f>
        <v>1</v>
      </c>
      <c r="R238" s="147" t="s">
        <v>277</v>
      </c>
      <c r="S238" s="143">
        <f>IF(ISNUMBER(Q238),Q238,
  SWITCH(
      Q238,
      "1",1,
      "2T",AB238*2,
      "4T",AB238*4,
      "6T",AB238*6,
      "8T",AB238*8,
      "10T",AB238*10,
      "12T",AB238*12,
      "14T",AB238*14,
      "16T",AB238*16,
      "24T",AB238*24,
      "2(T+1)",2*(AB238+1),
      "1T*C",AB238*J240,
      "2*P",L240*2,
      1
  )
)</f>
        <v>1</v>
      </c>
      <c r="T238" s="38" t="s">
        <v>277</v>
      </c>
      <c r="U238" s="147">
        <f>IF(OR(T238="No",T238=""),S238,T238)</f>
        <v>1</v>
      </c>
      <c r="V238" s="147">
        <f>IF(ISNUMBER(Q238),Q238,
  SWITCH(
      Q238,
      "1",1,
      "2T",AV238*2,
      "4T",AV238*4,
      "6T",AV238*6,
      "8T",AV238*8,
      "10T",AV238*10,
      "12T",AV238*12,
      "14T",AV238*14,
      "16T",AV238*16,
      "24T",AV238*24,
      "2(T+1)",2*(AV238+1),
      "1T*C",AV238*J240,
      "2*P",L240*2,
      1
  )
)</f>
        <v>1</v>
      </c>
      <c r="W238" s="147" t="str">
        <f>T238</f>
        <v>No</v>
      </c>
      <c r="X238" s="147">
        <f>IF(OR(W238="No",W238=""),V238,W238)</f>
        <v>1</v>
      </c>
      <c r="Y238" s="38">
        <f>VLOOKUP(H238,'Machine List'!$A$1:$C$138,3,FALSE)</f>
        <v>1</v>
      </c>
      <c r="Z238" s="38">
        <f>VLOOKUP(H238,'Machine List'!$A$1:$D$138,4,FALSE)</f>
        <v>1</v>
      </c>
      <c r="AA238" s="147" t="s">
        <v>401</v>
      </c>
      <c r="AB238" s="147">
        <f>VLOOKUP(AA238,'Item Helper Sheet'!$A$2:$B$16,2,FALSE)</f>
        <v>4</v>
      </c>
      <c r="AC238" s="147">
        <v>1920.0</v>
      </c>
      <c r="AD238" s="147">
        <f>120*20</f>
        <v>2400</v>
      </c>
      <c r="AE238" s="147">
        <f>AD238*I240</f>
        <v>307200</v>
      </c>
      <c r="AF238" s="147">
        <f>AC238*AE238</f>
        <v>589824000</v>
      </c>
      <c r="AG238" s="148"/>
      <c r="AH238" s="147" t="str">
        <f>AA238</f>
        <v>04 - EV</v>
      </c>
      <c r="AI238" s="147">
        <v>1.0</v>
      </c>
      <c r="AJ238" s="147">
        <v>1.0</v>
      </c>
      <c r="AK238" s="147">
        <f>AJ238*8*4^AB238</f>
        <v>2048</v>
      </c>
      <c r="AL238" s="147">
        <f>MIN(ROUNDDOWN(AK238/AN238,0),U238)</f>
        <v>1</v>
      </c>
      <c r="AM238" s="147">
        <f>IF(OR(T238="No",T238=""),AI238*S238,AI238*T238)</f>
        <v>1</v>
      </c>
      <c r="AN238" s="147">
        <f>ROUNDUP(AC238*VLOOKUP(H238,'Machine List'!$A$2:$D$219,4,FALSE),0)</f>
        <v>1920</v>
      </c>
      <c r="AO238" s="147">
        <f>AN238*AM238</f>
        <v>1920</v>
      </c>
      <c r="AP238" s="147">
        <f>ROUNDUP(AD238*I240,0)</f>
        <v>307200</v>
      </c>
      <c r="AQ238" s="38">
        <f>IF(ISNUMBER(Y238),ROUNDUP(AP238/Y238,0),
  SWITCH(
      Y238,
      "1+0.5C",ROUNDUP(AP238/(1+0.5*VLOOKUP(J240,'Machine Helper Sheet'!$G$1:$K$16,2,FALSE)),0),
      ROUNDUP(AP238/1,0)
  )
)</f>
        <v>307200</v>
      </c>
      <c r="AR238" s="147">
        <f>ROUNDUP(AQ238/AM238,0)</f>
        <v>307200</v>
      </c>
      <c r="AS238" s="147">
        <f>AO238*AR238</f>
        <v>589824000</v>
      </c>
      <c r="AT238" s="148"/>
      <c r="AU238" s="147" t="s">
        <v>405</v>
      </c>
      <c r="AV238" s="147">
        <f>VLOOKUP(AU238,'Item Helper Sheet'!$A$2:$B$16,2,FALSE)</f>
        <v>5</v>
      </c>
      <c r="AW238" s="147">
        <v>2.0</v>
      </c>
      <c r="AX238" s="147">
        <v>1.0</v>
      </c>
      <c r="AY238" s="147">
        <f>AX238*8*4^AV238</f>
        <v>8192</v>
      </c>
      <c r="AZ238" s="147">
        <f>MIN(ROUNDDOWN(AY238/AN238,0),X238)</f>
        <v>1</v>
      </c>
      <c r="BA238" s="147">
        <f>AZ238*AW238</f>
        <v>2</v>
      </c>
      <c r="BB238" s="147">
        <f>AN238</f>
        <v>1920</v>
      </c>
      <c r="BC238" s="147">
        <f>MIN(AV238-AB238,IF(AY238&gt;=BB239*4,
IF(AY238&gt;=BB239*4^2,
IF(AY238&gt;=BB239*4^3,
IF(AY238&gt;=BB239*4^4,
IF(AY238&gt;=BB239*4^5,
IF(AY238&gt;=BB239*4^6,
IF(AY238&gt;=BB239*4^7,
IF(AY238&gt;=BB239*4^8,
IF(AY238&gt;=BB239*4^9,
IF(AY238&gt;=BB239*4^10,
9),
8),
7),
6),
5),
4),
3),
2),
1),
0))</f>
        <v>1</v>
      </c>
      <c r="BD238" s="147">
        <f>BB238*AZ238*4^BC238</f>
        <v>7680</v>
      </c>
      <c r="BE238" s="147">
        <f>BD238*AW238</f>
        <v>15360</v>
      </c>
      <c r="BF238" s="143">
        <f>ROUNDUP(IF(R238="Yes",AP238/(2^((BC238)*2)),AP238/(2^(BC238))),0)</f>
        <v>153600</v>
      </c>
      <c r="BG238" s="45">
        <f>IF(ISNUMBER(Y238),ROUNDUP(BF238/Y238,0),
  SWITCH(
      Y238,
      "1+0.5C",ROUNDUP(BF238/(1+0.5*VLOOKUP(J240,'Machine Helper Sheet'!$G$1:$K$16,2,FALSE)),0),
      ROUNDUP(BF238/1,0)
  )
)</f>
        <v>153600</v>
      </c>
      <c r="BH238" s="143">
        <f>ROUNDUP(BG238/BA238,0)</f>
        <v>76800</v>
      </c>
      <c r="BI238" s="149">
        <f>BH238*BE238</f>
        <v>1179648000</v>
      </c>
      <c r="BK238" s="22"/>
      <c r="BM238" s="140" t="s">
        <v>744</v>
      </c>
      <c r="BN238" s="6"/>
      <c r="BO238" s="6"/>
      <c r="BP238" s="6"/>
      <c r="BQ238" s="140">
        <v>1.0</v>
      </c>
      <c r="BR238" s="6"/>
      <c r="BS238" s="6"/>
      <c r="BT238" s="6"/>
      <c r="BU238" s="6"/>
      <c r="BV238" s="6"/>
      <c r="BW238" s="6"/>
      <c r="BX238" s="6"/>
      <c r="BY238" s="6"/>
      <c r="BZ238" s="6"/>
      <c r="CA238" s="140">
        <v>1.0</v>
      </c>
    </row>
    <row r="239">
      <c r="B239" s="150"/>
      <c r="C239" s="151" t="s">
        <v>736</v>
      </c>
      <c r="D239" s="147">
        <f>3*I240</f>
        <v>384</v>
      </c>
      <c r="E239" s="147" t="s">
        <v>114</v>
      </c>
      <c r="F239" s="152">
        <f>1*I240</f>
        <v>128</v>
      </c>
      <c r="G239" s="138"/>
      <c r="H239" s="153" t="s">
        <v>584</v>
      </c>
      <c r="I239" s="143">
        <f t="array" ref="I239">match(TRUE,ISBLANK(F239:F251),0)-1</f>
        <v>1</v>
      </c>
      <c r="J239" s="154" t="s">
        <v>420</v>
      </c>
      <c r="K239" s="154" t="s">
        <v>585</v>
      </c>
      <c r="L239" s="100" t="s">
        <v>704</v>
      </c>
      <c r="M239" s="147"/>
      <c r="N239" s="147"/>
      <c r="O239" s="147"/>
      <c r="P239" s="147"/>
      <c r="Q239" s="147"/>
      <c r="R239" s="155"/>
      <c r="S239" s="155"/>
      <c r="T239" s="155"/>
      <c r="U239" s="143"/>
      <c r="V239" s="143"/>
      <c r="W239" s="143"/>
      <c r="X239" s="143"/>
      <c r="Y239" s="143"/>
      <c r="Z239" s="143"/>
      <c r="AA239" s="143"/>
      <c r="AB239" s="143"/>
      <c r="AC239" s="143"/>
      <c r="AD239" s="143"/>
      <c r="AE239" s="143"/>
      <c r="AF239" s="143"/>
      <c r="AG239" s="156"/>
      <c r="AH239" s="143"/>
      <c r="AI239" s="143"/>
      <c r="AJ239" s="143"/>
      <c r="AK239" s="143"/>
      <c r="AL239" s="143"/>
      <c r="AM239" s="143"/>
      <c r="AN239" s="143"/>
      <c r="AO239" s="143"/>
      <c r="AP239" s="143"/>
      <c r="AQ239" s="143"/>
      <c r="AR239" s="143"/>
      <c r="AS239" s="143"/>
      <c r="AT239" s="156"/>
      <c r="AU239" s="143"/>
      <c r="AV239" s="143"/>
      <c r="AW239" s="143"/>
      <c r="AX239" s="143"/>
      <c r="AY239" s="143"/>
      <c r="AZ239" s="143"/>
      <c r="BA239" s="143"/>
      <c r="BB239" s="143">
        <f>BB238*AZ238</f>
        <v>1920</v>
      </c>
      <c r="BC239" s="143"/>
      <c r="BD239" s="143"/>
      <c r="BE239" s="143"/>
      <c r="BF239" s="143"/>
      <c r="BG239" s="143"/>
      <c r="BH239" s="143"/>
      <c r="BI239" s="149"/>
      <c r="BK239" s="22"/>
      <c r="BM239" s="140" t="s">
        <v>745</v>
      </c>
      <c r="BN239" s="6"/>
      <c r="BO239" s="140">
        <v>1.0</v>
      </c>
      <c r="BP239" s="6"/>
      <c r="BQ239" s="6"/>
      <c r="BR239" s="6"/>
      <c r="BS239" s="6"/>
      <c r="BT239" s="6"/>
      <c r="BU239" s="6"/>
      <c r="BV239" s="6"/>
      <c r="BW239" s="6"/>
      <c r="BX239" s="6"/>
      <c r="BY239" s="6"/>
      <c r="BZ239" s="6"/>
      <c r="CA239" s="140">
        <v>1.0</v>
      </c>
    </row>
    <row r="240">
      <c r="B240" s="150"/>
      <c r="C240" s="151"/>
      <c r="D240" s="147"/>
      <c r="E240" s="147"/>
      <c r="F240" s="152"/>
      <c r="G240" s="138"/>
      <c r="H240" s="157" t="s">
        <v>502</v>
      </c>
      <c r="I240" s="158">
        <v>128.0</v>
      </c>
      <c r="J240" s="154" t="s">
        <v>424</v>
      </c>
      <c r="K240" s="154">
        <v>0.0</v>
      </c>
      <c r="L240" s="100">
        <v>0.0</v>
      </c>
      <c r="M240" s="143"/>
      <c r="N240" s="143"/>
      <c r="O240" s="143"/>
      <c r="P240" s="143"/>
      <c r="Q240" s="143"/>
      <c r="R240" s="143"/>
      <c r="S240" s="155"/>
      <c r="T240" s="155"/>
      <c r="U240" s="143"/>
      <c r="V240" s="143"/>
      <c r="W240" s="143"/>
      <c r="X240" s="143"/>
      <c r="Y240" s="143"/>
      <c r="Z240" s="143"/>
      <c r="AA240" s="143"/>
      <c r="AB240" s="143"/>
      <c r="AC240" s="143"/>
      <c r="AD240" s="143"/>
      <c r="AE240" s="143"/>
      <c r="AF240" s="143"/>
      <c r="AG240" s="156"/>
      <c r="AH240" s="143"/>
      <c r="AI240" s="143"/>
      <c r="AJ240" s="143"/>
      <c r="AK240" s="143"/>
      <c r="AL240" s="143"/>
      <c r="AM240" s="143"/>
      <c r="AN240" s="143"/>
      <c r="AO240" s="143"/>
      <c r="AP240" s="143"/>
      <c r="AQ240" s="143"/>
      <c r="AR240" s="143"/>
      <c r="AS240" s="143"/>
      <c r="AT240" s="156"/>
      <c r="AU240" s="143"/>
      <c r="AV240" s="143"/>
      <c r="AW240" s="143"/>
      <c r="AX240" s="143"/>
      <c r="AY240" s="143"/>
      <c r="AZ240" s="143"/>
      <c r="BA240" s="143"/>
      <c r="BB240" s="143"/>
      <c r="BC240" s="143"/>
      <c r="BD240" s="143"/>
      <c r="BE240" s="143"/>
      <c r="BF240" s="143"/>
      <c r="BG240" s="143"/>
      <c r="BH240" s="143"/>
      <c r="BI240" s="149"/>
      <c r="BK240" s="22"/>
      <c r="BM240" s="140" t="s">
        <v>721</v>
      </c>
      <c r="BN240" s="140">
        <v>1.0</v>
      </c>
      <c r="BO240" s="6"/>
      <c r="BP240" s="6"/>
      <c r="BQ240" s="6"/>
      <c r="BR240" s="6"/>
      <c r="BS240" s="6"/>
      <c r="BT240" s="6"/>
      <c r="BU240" s="6"/>
      <c r="BV240" s="6"/>
      <c r="BW240" s="6"/>
      <c r="BX240" s="6"/>
      <c r="BY240" s="6"/>
      <c r="BZ240" s="6"/>
      <c r="CA240" s="140">
        <v>1.0</v>
      </c>
    </row>
    <row r="241">
      <c r="B241" s="135"/>
      <c r="C241" s="136"/>
      <c r="D241" s="137"/>
      <c r="E241" s="137"/>
      <c r="F241" s="137"/>
      <c r="G241" s="138"/>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c r="AG241" s="138"/>
      <c r="AH241" s="137"/>
      <c r="AI241" s="137"/>
      <c r="AJ241" s="137"/>
      <c r="AK241" s="137"/>
      <c r="AL241" s="137"/>
      <c r="AM241" s="137"/>
      <c r="AN241" s="137"/>
      <c r="AO241" s="137"/>
      <c r="AP241" s="137"/>
      <c r="AQ241" s="137"/>
      <c r="AR241" s="137"/>
      <c r="AS241" s="137"/>
      <c r="AT241" s="138"/>
      <c r="AU241" s="137"/>
      <c r="AV241" s="137"/>
      <c r="AW241" s="137"/>
      <c r="AX241" s="137"/>
      <c r="AY241" s="137"/>
      <c r="AZ241" s="137"/>
      <c r="BA241" s="137"/>
      <c r="BB241" s="137"/>
      <c r="BC241" s="137"/>
      <c r="BD241" s="137"/>
      <c r="BE241" s="137"/>
      <c r="BF241" s="137"/>
      <c r="BG241" s="137"/>
      <c r="BH241" s="137"/>
      <c r="BI241" s="139"/>
      <c r="BK241" s="22"/>
      <c r="BM241" s="140" t="s">
        <v>722</v>
      </c>
      <c r="BN241" s="6"/>
      <c r="BO241" s="6"/>
      <c r="BP241" s="6"/>
      <c r="BQ241" s="6"/>
      <c r="BR241" s="6"/>
      <c r="BS241" s="6"/>
      <c r="BT241" s="6"/>
      <c r="BU241" s="6"/>
      <c r="BV241" s="6"/>
      <c r="BW241" s="6"/>
      <c r="BX241" s="140">
        <v>1.0</v>
      </c>
      <c r="BY241" s="6"/>
      <c r="BZ241" s="6"/>
      <c r="CA241" s="140">
        <v>1.0</v>
      </c>
    </row>
    <row r="242">
      <c r="B242" s="31" t="s">
        <v>752</v>
      </c>
      <c r="C242" s="54"/>
      <c r="D242" s="45"/>
      <c r="E242" s="45"/>
      <c r="F242" s="47"/>
      <c r="G242" s="35"/>
      <c r="H242" s="55" t="s">
        <v>349</v>
      </c>
      <c r="I242" s="38">
        <f>VLOOKUP(H242,'Machine List'!$A$1:$I$300,9,FALSE)</f>
        <v>4000</v>
      </c>
      <c r="J242" s="38">
        <f>IF(VLOOKUP(H242,'Machine List'!$A$1:$I$300,5,FALSE)="Multi",IF(VLOOKUP(H242,'Machine List'!$A$1:$I$300,6,FALSE)="Yes",AI242*3*10^AB242,AI242*(2*3)*10^(AB242-1)),0)</f>
        <v>6</v>
      </c>
      <c r="K242" s="38">
        <f>J242+IF(ISNUMBER(I242),I242,
  SWITCH(
      I242,
      "1T",1*10^AB242,
      "2T",2*10^AB242,
      "3T",3*10^AB242,
      "4T",4*10^AB242,
      "4000+500(7O-5)",4000+500*(7*I243-5),
      "13500 + 16C",13500+16*VLOOKUP(J244,'Machine Helper Sheet'!$G$1:$K$16,5,FALSE),
      1
  )
)</f>
        <v>4006</v>
      </c>
      <c r="L242" s="38">
        <f>IF(VLOOKUP(H242,'Machine List'!$A$1:$I$300,5,FALSE)="Multi",IF(VLOOKUP(H242,'Machine List'!$A$1:$I$300,6,FALSE)="Yes",AW242*3*10^AV242,AW242*(2*3)*10^(AV242-1)),0)</f>
        <v>60000</v>
      </c>
      <c r="M242" s="38">
        <f>L242+IF(ISNUMBER(I242),I242,
  SWITCH(
      I242,
      "1T",1*10^AV242,
      "2T",2*10^AV242,
      "3T",3*10^AV242,
      "4T",4*10^AV242,
      "4000+500(7O-5)",4000+500*(7*I243-5),
      1
  )
)</f>
        <v>64000</v>
      </c>
      <c r="N242" s="38" t="str">
        <f>VLOOKUP(H242,'Machine List'!$A$1:$I$300,8,FALSE)</f>
        <v>Tier</v>
      </c>
      <c r="O242" s="38">
        <f>IF(ISNUMBER(N242),N242,10^AB242)</f>
        <v>10</v>
      </c>
      <c r="P242" s="38">
        <f>IF(ISNUMBER(N242),N242,10^AV242)</f>
        <v>100000</v>
      </c>
      <c r="Q242" s="38">
        <f>VLOOKUP(H242,'Machine List'!$A$1:$B$138,2,FALSE)</f>
        <v>1</v>
      </c>
      <c r="R242" s="38" t="s">
        <v>594</v>
      </c>
      <c r="S242" s="45">
        <f>IF(ISNUMBER(Q242),Q242,
  SWITCH(
      Q242,
      "1",1,
      "2T",AB242*2,
      "4T",AB242*4,
      "6T",AB242*6,
      "8T",AB242*8,
      "10T",AB242*10,
      "12T",AB242*12,
      "14T",AB242*14,
      "16T",AB242*16,
      "24T",AB242*24,
      "2(T+1)",2*(AB242+1),
      "1T*C",AB242*J244,
      "2*P",L244*2,
      1
  )
)</f>
        <v>1</v>
      </c>
      <c r="T242" s="38" t="s">
        <v>277</v>
      </c>
      <c r="U242" s="38">
        <f>IF(OR(T242="No",T242=""),S242,T242)</f>
        <v>1</v>
      </c>
      <c r="V242" s="38">
        <f>IF(ISNUMBER(Q242),Q242,
  SWITCH(
      Q242,
      "1",1,
      "2T",AV242*2,
      "4T",AV242*4,
      "6T",AV242*6,
      "8T",AV242*8,
      "10T",AV242*10,
      "12T",AV242*12,
      "14T",AV242*14,
      "16T",AV242*16,
      "24T",AV242*24,
      "2(T+1)",2*(AV242+1),
      "1T*C",AV242*J244,
      "2*P",L244*2,
      1
  )
)</f>
        <v>1</v>
      </c>
      <c r="W242" s="38" t="str">
        <f>T242</f>
        <v>No</v>
      </c>
      <c r="X242" s="38">
        <f>IF(OR(W242="No",W242=""),V242,W242)</f>
        <v>1</v>
      </c>
      <c r="Y242" s="38">
        <f>VLOOKUP(H242,'Machine List'!$A$1:$C$138,3,FALSE)</f>
        <v>1</v>
      </c>
      <c r="Z242" s="38">
        <f>VLOOKUP(H242,'Machine List'!$A$1:$D$138,4,FALSE)</f>
        <v>1</v>
      </c>
      <c r="AA242" s="147" t="s">
        <v>390</v>
      </c>
      <c r="AB242" s="38">
        <f>VLOOKUP(AA242,'Item Helper Sheet'!$A$2:$B$16,2,FALSE)</f>
        <v>1</v>
      </c>
      <c r="AC242" s="147">
        <v>30.0</v>
      </c>
      <c r="AD242" s="147">
        <f>300*20</f>
        <v>6000</v>
      </c>
      <c r="AE242" s="38">
        <f>AD242*I244</f>
        <v>48000</v>
      </c>
      <c r="AF242" s="38">
        <f>AC242*AE242</f>
        <v>1440000</v>
      </c>
      <c r="AG242" s="75"/>
      <c r="AH242" s="147" t="str">
        <f>AA242</f>
        <v>01 - LV</v>
      </c>
      <c r="AI242" s="38">
        <v>1.0</v>
      </c>
      <c r="AJ242" s="38">
        <v>1.0</v>
      </c>
      <c r="AK242" s="38">
        <f>AJ242*8*4^AB242</f>
        <v>32</v>
      </c>
      <c r="AL242" s="38">
        <f>MIN(ROUNDDOWN(AK242/AN242,0),U242)</f>
        <v>1</v>
      </c>
      <c r="AM242" s="38">
        <f>IF(OR(T242="No",T242=""),AI242*S242,AI242*T242)</f>
        <v>1</v>
      </c>
      <c r="AN242" s="38">
        <f>ROUNDUP(AC242*VLOOKUP(H242,'Machine List'!$A$2:$D$219,4,FALSE),0)</f>
        <v>30</v>
      </c>
      <c r="AO242" s="38">
        <f>AN242*AM242</f>
        <v>30</v>
      </c>
      <c r="AP242" s="38">
        <f>ROUNDUP(AD242*I244,0)</f>
        <v>48000</v>
      </c>
      <c r="AQ242" s="38">
        <f>IF(ISNUMBER(Y242),ROUNDUP(AP242/Y242,0),
  SWITCH(
      Y242,
      "1+0.5C",ROUNDUP(AP242/(1+0.5*VLOOKUP(J244,'Machine Helper Sheet'!$G$1:$K$16,2,FALSE)),0),
      ROUNDUP(AP242/1,0)
  )
)</f>
        <v>48000</v>
      </c>
      <c r="AR242" s="38">
        <f>ROUNDUP(AQ242/AM242,0)</f>
        <v>48000</v>
      </c>
      <c r="AS242" s="38">
        <f>AO242*AR242</f>
        <v>1440000</v>
      </c>
      <c r="AT242" s="75"/>
      <c r="AU242" s="38" t="s">
        <v>405</v>
      </c>
      <c r="AV242" s="38">
        <f>VLOOKUP(AU242,'Item Helper Sheet'!$A$2:$B$16,2,FALSE)</f>
        <v>5</v>
      </c>
      <c r="AW242" s="38">
        <f>AI242</f>
        <v>1</v>
      </c>
      <c r="AX242" s="38">
        <v>1.0</v>
      </c>
      <c r="AY242" s="38">
        <f>AX242*8*4^AV242</f>
        <v>8192</v>
      </c>
      <c r="AZ242" s="38">
        <f>MIN(ROUNDDOWN(AY242/AN242,0),X242)</f>
        <v>1</v>
      </c>
      <c r="BA242" s="38">
        <f>AZ242*AW242</f>
        <v>1</v>
      </c>
      <c r="BB242" s="38">
        <f>AN242</f>
        <v>30</v>
      </c>
      <c r="BC242" s="38">
        <f>MIN(AV242-AB242,IF(AY242&gt;=BB243*4,
IF(AY242&gt;=BB243*4^2,
IF(AY242&gt;=BB243*4^3,
IF(AY242&gt;=BB243*4^4,
IF(AY242&gt;=BB243*4^5,
IF(AY242&gt;=BB243*4^6,
IF(AY242&gt;=BB243*4^7,
IF(AY242&gt;=BB243*4^8,
IF(AY242&gt;=BB243*4^9,
IF(AY242&gt;=BB243*4^10,
9),
8),
7),
6),
5),
4),
3),
2),
1),
0))</f>
        <v>4</v>
      </c>
      <c r="BD242" s="38">
        <f>BB242*AZ242*4^BC242</f>
        <v>7680</v>
      </c>
      <c r="BE242" s="38">
        <f>BD242*AW242</f>
        <v>7680</v>
      </c>
      <c r="BF242" s="45">
        <f>ROUNDUP(IF(R242="Yes",AP242/(2^((BC242)*2)),AP242/(2^(BC242))),0)</f>
        <v>188</v>
      </c>
      <c r="BG242" s="45">
        <f>IF(ISNUMBER(Y242),ROUNDUP(BF242/Y242,0),
  SWITCH(
      Y242,
      "1+0.5C",ROUNDUP(BF242/(1+0.5*VLOOKUP(J244,'Machine Helper Sheet'!$G$1:$K$16,2,FALSE)),0),
      ROUNDUP(BF242/1,0)
  )
)</f>
        <v>188</v>
      </c>
      <c r="BH242" s="45">
        <f>ROUNDUP(BG242/BA242,0)</f>
        <v>188</v>
      </c>
      <c r="BI242" s="46">
        <f>BH242*BE242</f>
        <v>1443840</v>
      </c>
      <c r="BK242" s="22"/>
      <c r="BM242" s="140" t="s">
        <v>723</v>
      </c>
      <c r="BN242" s="6"/>
      <c r="BO242" s="6"/>
      <c r="BP242" s="6"/>
      <c r="BQ242" s="6"/>
      <c r="BR242" s="140">
        <v>1.0</v>
      </c>
      <c r="BS242" s="6"/>
      <c r="BT242" s="6"/>
      <c r="BU242" s="6"/>
      <c r="BV242" s="6"/>
      <c r="BW242" s="6"/>
      <c r="BX242" s="6"/>
      <c r="BY242" s="6"/>
      <c r="BZ242" s="6"/>
      <c r="CA242" s="140">
        <v>1.0</v>
      </c>
    </row>
    <row r="243">
      <c r="B243" s="40"/>
      <c r="C243" s="41" t="s">
        <v>114</v>
      </c>
      <c r="D243" s="38">
        <f>16*I244</f>
        <v>128</v>
      </c>
      <c r="E243" s="38" t="s">
        <v>111</v>
      </c>
      <c r="F243" s="42">
        <f>6912*I244</f>
        <v>55296</v>
      </c>
      <c r="G243" s="43"/>
      <c r="H243" s="99" t="s">
        <v>584</v>
      </c>
      <c r="I243" s="45">
        <f t="array" ref="I243">match(TRUE,ISBLANK(F243:F254),0)-1</f>
        <v>1</v>
      </c>
      <c r="J243" s="100" t="s">
        <v>420</v>
      </c>
      <c r="K243" s="100" t="s">
        <v>585</v>
      </c>
      <c r="L243" s="100" t="s">
        <v>704</v>
      </c>
      <c r="M243" s="38"/>
      <c r="N243" s="38"/>
      <c r="O243" s="38"/>
      <c r="P243" s="38"/>
      <c r="Q243" s="38"/>
      <c r="R243" s="101"/>
      <c r="S243" s="101"/>
      <c r="T243" s="101"/>
      <c r="U243" s="45"/>
      <c r="V243" s="45"/>
      <c r="W243" s="45"/>
      <c r="X243" s="45"/>
      <c r="Y243" s="45"/>
      <c r="Z243" s="45"/>
      <c r="AA243" s="45"/>
      <c r="AB243" s="45"/>
      <c r="AC243" s="45"/>
      <c r="AD243" s="45"/>
      <c r="AE243" s="45"/>
      <c r="AF243" s="45"/>
      <c r="AG243" s="79"/>
      <c r="AH243" s="45"/>
      <c r="AI243" s="45"/>
      <c r="AJ243" s="45"/>
      <c r="AK243" s="45"/>
      <c r="AL243" s="45"/>
      <c r="AM243" s="45"/>
      <c r="AN243" s="45"/>
      <c r="AO243" s="45"/>
      <c r="AP243" s="45"/>
      <c r="AQ243" s="45"/>
      <c r="AR243" s="45"/>
      <c r="AS243" s="45"/>
      <c r="AT243" s="79"/>
      <c r="AU243" s="45"/>
      <c r="AV243" s="45"/>
      <c r="AW243" s="45"/>
      <c r="AX243" s="45"/>
      <c r="AY243" s="45"/>
      <c r="AZ243" s="45"/>
      <c r="BA243" s="45"/>
      <c r="BB243" s="45">
        <f>BB242*AZ242</f>
        <v>30</v>
      </c>
      <c r="BC243" s="45"/>
      <c r="BD243" s="45"/>
      <c r="BE243" s="45"/>
      <c r="BF243" s="45"/>
      <c r="BG243" s="45"/>
      <c r="BH243" s="45"/>
      <c r="BI243" s="46"/>
      <c r="BK243" s="22"/>
      <c r="BM243" s="140" t="s">
        <v>724</v>
      </c>
      <c r="BN243" s="6"/>
      <c r="BO243" s="6"/>
      <c r="BP243" s="140">
        <v>1.0</v>
      </c>
      <c r="BQ243" s="6"/>
      <c r="BR243" s="6"/>
      <c r="BS243" s="6"/>
      <c r="BT243" s="6"/>
      <c r="BU243" s="6"/>
      <c r="BV243" s="6"/>
      <c r="BW243" s="6"/>
      <c r="BX243" s="6"/>
      <c r="BY243" s="6"/>
      <c r="BZ243" s="6"/>
      <c r="CA243" s="140">
        <v>1.0</v>
      </c>
    </row>
    <row r="244">
      <c r="B244" s="40"/>
      <c r="C244" s="41" t="s">
        <v>248</v>
      </c>
      <c r="D244" s="38">
        <f>8000*I244</f>
        <v>64000</v>
      </c>
      <c r="E244" s="38"/>
      <c r="F244" s="42"/>
      <c r="G244" s="43"/>
      <c r="H244" s="56" t="s">
        <v>502</v>
      </c>
      <c r="I244" s="49">
        <v>8.0</v>
      </c>
      <c r="J244" s="100" t="s">
        <v>424</v>
      </c>
      <c r="K244" s="100">
        <v>0.0</v>
      </c>
      <c r="L244" s="100">
        <v>0.0</v>
      </c>
      <c r="M244" s="45"/>
      <c r="N244" s="45"/>
      <c r="O244" s="45"/>
      <c r="P244" s="45"/>
      <c r="Q244" s="45"/>
      <c r="R244" s="45"/>
      <c r="S244" s="101"/>
      <c r="T244" s="101"/>
      <c r="U244" s="45"/>
      <c r="V244" s="45"/>
      <c r="W244" s="45"/>
      <c r="X244" s="45"/>
      <c r="Y244" s="45"/>
      <c r="Z244" s="45"/>
      <c r="AA244" s="45"/>
      <c r="AB244" s="45"/>
      <c r="AC244" s="45"/>
      <c r="AD244" s="45"/>
      <c r="AE244" s="45"/>
      <c r="AF244" s="45"/>
      <c r="AG244" s="79"/>
      <c r="AH244" s="45"/>
      <c r="AI244" s="45"/>
      <c r="AJ244" s="45"/>
      <c r="AK244" s="45"/>
      <c r="AL244" s="45"/>
      <c r="AM244" s="45"/>
      <c r="AN244" s="45"/>
      <c r="AO244" s="45"/>
      <c r="AP244" s="45"/>
      <c r="AQ244" s="45"/>
      <c r="AR244" s="45"/>
      <c r="AS244" s="45"/>
      <c r="AT244" s="79"/>
      <c r="AU244" s="45"/>
      <c r="AV244" s="45"/>
      <c r="AW244" s="45"/>
      <c r="AX244" s="45"/>
      <c r="AY244" s="45"/>
      <c r="AZ244" s="45"/>
      <c r="BA244" s="45"/>
      <c r="BB244" s="45"/>
      <c r="BC244" s="45"/>
      <c r="BD244" s="45"/>
      <c r="BE244" s="45"/>
      <c r="BF244" s="45"/>
      <c r="BG244" s="45"/>
      <c r="BH244" s="45"/>
      <c r="BI244" s="46"/>
      <c r="BK244" s="22"/>
      <c r="BM244" s="140" t="s">
        <v>725</v>
      </c>
      <c r="BN244" s="6"/>
      <c r="BO244" s="6"/>
      <c r="BP244" s="6"/>
      <c r="BQ244" s="6"/>
      <c r="BR244" s="6"/>
      <c r="BS244" s="140">
        <v>1.0</v>
      </c>
      <c r="BT244" s="6"/>
      <c r="BU244" s="6"/>
      <c r="BV244" s="6"/>
      <c r="BW244" s="6"/>
      <c r="BX244" s="6"/>
      <c r="BY244" s="6"/>
      <c r="BZ244" s="6"/>
      <c r="CA244" s="140">
        <v>1.0</v>
      </c>
    </row>
    <row r="245">
      <c r="B245" s="40"/>
      <c r="C245" s="41" t="s">
        <v>142</v>
      </c>
      <c r="D245" s="133">
        <f>8000*I244</f>
        <v>64000</v>
      </c>
      <c r="E245" s="38"/>
      <c r="F245" s="42"/>
      <c r="G245" s="43"/>
      <c r="H245" s="44"/>
      <c r="I245" s="45"/>
      <c r="J245" s="45"/>
      <c r="K245" s="45"/>
      <c r="L245" s="45"/>
      <c r="M245" s="45"/>
      <c r="N245" s="45"/>
      <c r="O245" s="45"/>
      <c r="P245" s="45"/>
      <c r="Q245" s="45"/>
      <c r="R245" s="45"/>
      <c r="S245" s="101"/>
      <c r="T245" s="101"/>
      <c r="U245" s="45"/>
      <c r="V245" s="45"/>
      <c r="W245" s="45"/>
      <c r="X245" s="45"/>
      <c r="Y245" s="45"/>
      <c r="Z245" s="45"/>
      <c r="AA245" s="45"/>
      <c r="AB245" s="45"/>
      <c r="AC245" s="45"/>
      <c r="AD245" s="45"/>
      <c r="AE245" s="45"/>
      <c r="AF245" s="45"/>
      <c r="AG245" s="79"/>
      <c r="AH245" s="45"/>
      <c r="AI245" s="45"/>
      <c r="AJ245" s="45"/>
      <c r="AK245" s="45"/>
      <c r="AL245" s="45"/>
      <c r="AM245" s="45"/>
      <c r="AN245" s="45"/>
      <c r="AO245" s="45"/>
      <c r="AP245" s="45"/>
      <c r="AQ245" s="45"/>
      <c r="AR245" s="45"/>
      <c r="AS245" s="45"/>
      <c r="AT245" s="79"/>
      <c r="AU245" s="45"/>
      <c r="AV245" s="45"/>
      <c r="AW245" s="45"/>
      <c r="AX245" s="45"/>
      <c r="AY245" s="45"/>
      <c r="AZ245" s="45"/>
      <c r="BA245" s="45"/>
      <c r="BB245" s="45"/>
      <c r="BC245" s="45"/>
      <c r="BD245" s="45"/>
      <c r="BE245" s="45"/>
      <c r="BF245" s="45"/>
      <c r="BG245" s="45"/>
      <c r="BH245" s="45"/>
      <c r="BI245" s="46"/>
      <c r="BK245" s="22"/>
      <c r="BM245" s="6" t="s">
        <v>746</v>
      </c>
      <c r="BN245" s="6"/>
      <c r="BO245" s="6"/>
      <c r="BP245" s="6"/>
      <c r="BQ245" s="6"/>
      <c r="BR245" s="6"/>
      <c r="BS245" s="6"/>
      <c r="BT245" s="6"/>
      <c r="BU245" s="6"/>
      <c r="BV245" s="6">
        <v>1.0</v>
      </c>
      <c r="BW245" s="6"/>
      <c r="BX245" s="6"/>
      <c r="BY245" s="6"/>
      <c r="BZ245" s="6"/>
      <c r="CA245" s="6">
        <v>1.0</v>
      </c>
    </row>
    <row r="246">
      <c r="B246" s="50"/>
      <c r="C246" s="51"/>
      <c r="D246" s="134"/>
      <c r="E246" s="52"/>
      <c r="F246" s="52"/>
      <c r="G246" s="112"/>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2"/>
      <c r="AH246" s="113"/>
      <c r="AI246" s="113"/>
      <c r="AJ246" s="113"/>
      <c r="AK246" s="113"/>
      <c r="AL246" s="113"/>
      <c r="AM246" s="113"/>
      <c r="AN246" s="113"/>
      <c r="AO246" s="113"/>
      <c r="AP246" s="113"/>
      <c r="AQ246" s="113"/>
      <c r="AR246" s="113"/>
      <c r="AS246" s="113"/>
      <c r="AT246" s="112"/>
      <c r="AU246" s="113"/>
      <c r="AV246" s="113"/>
      <c r="AW246" s="113"/>
      <c r="AX246" s="113"/>
      <c r="AY246" s="113"/>
      <c r="AZ246" s="113"/>
      <c r="BA246" s="113"/>
      <c r="BB246" s="113"/>
      <c r="BC246" s="113"/>
      <c r="BD246" s="113"/>
      <c r="BE246" s="113"/>
      <c r="BF246" s="113"/>
      <c r="BG246" s="113"/>
      <c r="BH246" s="113"/>
      <c r="BI246" s="114"/>
      <c r="BK246" s="22"/>
      <c r="BM246" s="140" t="s">
        <v>747</v>
      </c>
      <c r="BN246" s="6"/>
      <c r="BO246" s="6"/>
      <c r="BP246" s="140">
        <v>1.0</v>
      </c>
      <c r="BQ246" s="6"/>
      <c r="BR246" s="6"/>
      <c r="BS246" s="6"/>
      <c r="BT246" s="6"/>
      <c r="BU246" s="6"/>
      <c r="BV246" s="6"/>
      <c r="BW246" s="6"/>
      <c r="BX246" s="6"/>
      <c r="BY246" s="6"/>
      <c r="BZ246" s="6"/>
      <c r="CA246" s="140">
        <v>1.0</v>
      </c>
    </row>
    <row r="247">
      <c r="B247" s="141" t="s">
        <v>753</v>
      </c>
      <c r="C247" s="142"/>
      <c r="D247" s="143"/>
      <c r="E247" s="143"/>
      <c r="F247" s="144"/>
      <c r="G247" s="145"/>
      <c r="H247" s="146" t="s">
        <v>297</v>
      </c>
      <c r="I247" s="147" t="str">
        <f>VLOOKUP(H247,'Machine List'!$A$1:$I$300,9,FALSE)</f>
        <v>1T</v>
      </c>
      <c r="J247" s="147">
        <f>IF(VLOOKUP(H247,'Machine List'!$A$1:$I$300,5,FALSE)="Multi",IF(VLOOKUP(H247,'Machine List'!$A$1:$I$300,6,FALSE)="Yes",AI247*3*10^AB247,AI247*(2*3)*10^(AB247-1)),0)</f>
        <v>0</v>
      </c>
      <c r="K247" s="147">
        <f>J247+IF(ISNUMBER(I247),I247,
  SWITCH(
      I247,
      "1T",1*10^AB247,
      "2T",2*10^AB247,
      "3T",3*10^AB247,
      "4T",4*10^AB247,
      "4000+500(7O-5)",4000+500*(7*I248-5),
      "13500 + 16C",13500+16*VLOOKUP(J249,'Machine Helper Sheet'!$G$1:$K$16,5,FALSE),
      1
  )
)</f>
        <v>100</v>
      </c>
      <c r="L247" s="147">
        <f>IF(VLOOKUP(H247,'Machine List'!$A$1:$I$300,5,FALSE)="Multi",IF(VLOOKUP(H247,'Machine List'!$A$1:$I$300,6,FALSE)="Yes",AW247*3*10^AV247,AW247*(2*3)*10^(AV247-1)),0)</f>
        <v>0</v>
      </c>
      <c r="M247" s="147">
        <f>L247+IF(ISNUMBER(I247),I247,
  SWITCH(
      I247,
      "1T",1*10^AV247,
      "2T",2*10^AV247,
      "3T",3*10^AV247,
      "4T",4*10^AV247,
      "4000+500(7O-5)",4000+500*(7*I248-5),
      1
  )
)</f>
        <v>100000</v>
      </c>
      <c r="N247" s="147" t="str">
        <f>VLOOKUP(H247,'Machine List'!$A$1:$I$300,8,FALSE)</f>
        <v>Tier</v>
      </c>
      <c r="O247" s="147">
        <f>IF(ISNUMBER(N247),N247,10^AB247)</f>
        <v>100</v>
      </c>
      <c r="P247" s="147">
        <f>IF(ISNUMBER(N247),N247,10^AV247)</f>
        <v>100000</v>
      </c>
      <c r="Q247" s="147">
        <f>VLOOKUP(H247,'Machine List'!$A$1:$B$138,2,FALSE)</f>
        <v>1</v>
      </c>
      <c r="R247" s="147" t="s">
        <v>277</v>
      </c>
      <c r="S247" s="143">
        <f>IF(ISNUMBER(Q247),Q247,
  SWITCH(
      Q247,
      "1",1,
      "2T",AB247*2,
      "4T",AB247*4,
      "6T",AB247*6,
      "8T",AB247*8,
      "10T",AB247*10,
      "12T",AB247*12,
      "14T",AB247*14,
      "16T",AB247*16,
      "24T",AB247*24,
      "2(T+1)",2*(AB247+1),
      "1T*C",AB247*J249,
      "2*P",L249*2,
      1
  )
)</f>
        <v>1</v>
      </c>
      <c r="T247" s="38" t="s">
        <v>277</v>
      </c>
      <c r="U247" s="147">
        <f>IF(OR(T247="No",T247=""),S247,T247)</f>
        <v>1</v>
      </c>
      <c r="V247" s="147">
        <f>IF(ISNUMBER(Q247),Q247,
  SWITCH(
      Q247,
      "1",1,
      "2T",AV247*2,
      "4T",AV247*4,
      "6T",AV247*6,
      "8T",AV247*8,
      "10T",AV247*10,
      "12T",AV247*12,
      "14T",AV247*14,
      "16T",AV247*16,
      "24T",AV247*24,
      "2(T+1)",2*(AV247+1),
      "1T*C",AV247*J249,
      "2*P",L249*2,
      1
  )
)</f>
        <v>1</v>
      </c>
      <c r="W247" s="147" t="str">
        <f>T247</f>
        <v>No</v>
      </c>
      <c r="X247" s="147">
        <f>IF(OR(W247="No",W247=""),V247,W247)</f>
        <v>1</v>
      </c>
      <c r="Y247" s="38">
        <f>VLOOKUP(H247,'Machine List'!$A$1:$C$138,3,FALSE)</f>
        <v>1</v>
      </c>
      <c r="Z247" s="38">
        <f>VLOOKUP(H247,'Machine List'!$A$1:$D$138,4,FALSE)</f>
        <v>1</v>
      </c>
      <c r="AA247" s="147" t="s">
        <v>393</v>
      </c>
      <c r="AB247" s="147">
        <f>VLOOKUP(AA247,'Item Helper Sheet'!$A$2:$B$16,2,FALSE)</f>
        <v>2</v>
      </c>
      <c r="AC247" s="147">
        <v>64.0</v>
      </c>
      <c r="AD247" s="147">
        <f>1*20</f>
        <v>20</v>
      </c>
      <c r="AE247" s="147">
        <f>AD247*I249</f>
        <v>7860</v>
      </c>
      <c r="AF247" s="147">
        <f>AC247*AE247</f>
        <v>503040</v>
      </c>
      <c r="AG247" s="148"/>
      <c r="AH247" s="147" t="str">
        <f>AA247</f>
        <v>02 - MV</v>
      </c>
      <c r="AI247" s="147">
        <v>1.0</v>
      </c>
      <c r="AJ247" s="147">
        <v>1.0</v>
      </c>
      <c r="AK247" s="147">
        <f>AJ247*8*4^AB247</f>
        <v>128</v>
      </c>
      <c r="AL247" s="147">
        <f>MIN(ROUNDDOWN(AK247/AN247,0),U247)</f>
        <v>1</v>
      </c>
      <c r="AM247" s="147">
        <f>IF(OR(T247="No",T247=""),AI247*S247,AI247*T247)</f>
        <v>1</v>
      </c>
      <c r="AN247" s="147">
        <f>ROUNDUP(AC247*VLOOKUP(H247,'Machine List'!$A$2:$D$219,4,FALSE),0)</f>
        <v>64</v>
      </c>
      <c r="AO247" s="147">
        <f>AN247*AM247</f>
        <v>64</v>
      </c>
      <c r="AP247" s="147">
        <f>ROUNDUP(AD247*I249,0)</f>
        <v>7860</v>
      </c>
      <c r="AQ247" s="38">
        <f>IF(ISNUMBER(Y247),ROUNDUP(AP247/Y247,0),
  SWITCH(
      Y247,
      "1+0.5C",ROUNDUP(AP247/(1+0.5*VLOOKUP(J249,'Machine Helper Sheet'!$G$1:$K$16,2,FALSE)),0),
      ROUNDUP(AP247/1,0)
  )
)</f>
        <v>7860</v>
      </c>
      <c r="AR247" s="147">
        <f>ROUNDUP(AQ247/AM247,0)</f>
        <v>7860</v>
      </c>
      <c r="AS247" s="147">
        <f>AO247*AR247</f>
        <v>503040</v>
      </c>
      <c r="AT247" s="148"/>
      <c r="AU247" s="147" t="s">
        <v>405</v>
      </c>
      <c r="AV247" s="147">
        <f>VLOOKUP(AU247,'Item Helper Sheet'!$A$2:$B$16,2,FALSE)</f>
        <v>5</v>
      </c>
      <c r="AW247" s="147">
        <f>AI247</f>
        <v>1</v>
      </c>
      <c r="AX247" s="147">
        <v>1.0</v>
      </c>
      <c r="AY247" s="147">
        <f>AX247*8*4^AV247</f>
        <v>8192</v>
      </c>
      <c r="AZ247" s="147">
        <f>MIN(ROUNDDOWN(AY247/AN247,0),X247)</f>
        <v>1</v>
      </c>
      <c r="BA247" s="147">
        <f>AZ247*AW247</f>
        <v>1</v>
      </c>
      <c r="BB247" s="147">
        <f>AN247</f>
        <v>64</v>
      </c>
      <c r="BC247" s="147">
        <f>MIN(AV247-AB247,IF(AY247&gt;=BB248*4,
IF(AY247&gt;=BB248*4^2,
IF(AY247&gt;=BB248*4^3,
IF(AY247&gt;=BB248*4^4,
IF(AY247&gt;=BB248*4^5,
IF(AY247&gt;=BB248*4^6,
IF(AY247&gt;=BB248*4^7,
IF(AY247&gt;=BB248*4^8,
IF(AY247&gt;=BB248*4^9,
IF(AY247&gt;=BB248*4^10,
9),
8),
7),
6),
5),
4),
3),
2),
1),
0))</f>
        <v>3</v>
      </c>
      <c r="BD247" s="147">
        <f>BB247*AZ247*4^BC247</f>
        <v>4096</v>
      </c>
      <c r="BE247" s="147">
        <f>BD247*AW247</f>
        <v>4096</v>
      </c>
      <c r="BF247" s="143">
        <f>ROUNDUP(IF(R247="Yes",AP247/(2^((BC247)*2)),AP247/(2^(BC247))),0)</f>
        <v>983</v>
      </c>
      <c r="BG247" s="45">
        <f>IF(ISNUMBER(Y247),ROUNDUP(BF247/Y247,0),
  SWITCH(
      Y247,
      "1+0.5C",ROUNDUP(BF247/(1+0.5*VLOOKUP(J249,'Machine Helper Sheet'!$G$1:$K$16,2,FALSE)),0),
      ROUNDUP(BF247/1,0)
  )
)</f>
        <v>983</v>
      </c>
      <c r="BH247" s="143">
        <f>ROUNDUP(BG247/BA247,0)</f>
        <v>983</v>
      </c>
      <c r="BI247" s="149">
        <f>BH247*BE247</f>
        <v>4026368</v>
      </c>
      <c r="BK247" s="22"/>
      <c r="BM247" s="140" t="s">
        <v>748</v>
      </c>
      <c r="BN247" s="6"/>
      <c r="BO247" s="6"/>
      <c r="BP247" s="6"/>
      <c r="BQ247" s="6"/>
      <c r="BR247" s="6"/>
      <c r="BS247" s="6"/>
      <c r="BT247" s="6"/>
      <c r="BU247" s="6"/>
      <c r="BV247" s="140">
        <v>1.0</v>
      </c>
      <c r="BW247" s="6"/>
      <c r="BX247" s="6"/>
      <c r="BY247" s="6"/>
      <c r="BZ247" s="6"/>
      <c r="CA247" s="140">
        <v>1.0</v>
      </c>
    </row>
    <row r="248">
      <c r="B248" s="150"/>
      <c r="C248" s="151" t="s">
        <v>111</v>
      </c>
      <c r="D248" s="147">
        <f>144*I249</f>
        <v>56592</v>
      </c>
      <c r="E248" s="147" t="s">
        <v>110</v>
      </c>
      <c r="F248" s="152">
        <f>1*I249</f>
        <v>393</v>
      </c>
      <c r="G248" s="138"/>
      <c r="H248" s="153" t="s">
        <v>584</v>
      </c>
      <c r="I248" s="143">
        <f t="array" ref="I248">match(TRUE,ISBLANK(F248:F260),0)-1</f>
        <v>1</v>
      </c>
      <c r="J248" s="154" t="s">
        <v>420</v>
      </c>
      <c r="K248" s="154" t="s">
        <v>585</v>
      </c>
      <c r="L248" s="100" t="s">
        <v>704</v>
      </c>
      <c r="M248" s="147"/>
      <c r="N248" s="147"/>
      <c r="O248" s="147"/>
      <c r="P248" s="147"/>
      <c r="Q248" s="147"/>
      <c r="R248" s="155"/>
      <c r="S248" s="155"/>
      <c r="T248" s="155"/>
      <c r="U248" s="143"/>
      <c r="V248" s="143"/>
      <c r="W248" s="143"/>
      <c r="X248" s="143"/>
      <c r="Y248" s="143"/>
      <c r="Z248" s="143"/>
      <c r="AA248" s="143"/>
      <c r="AB248" s="143"/>
      <c r="AC248" s="143"/>
      <c r="AD248" s="143"/>
      <c r="AE248" s="143"/>
      <c r="AF248" s="143"/>
      <c r="AG248" s="156"/>
      <c r="AH248" s="143"/>
      <c r="AI248" s="143"/>
      <c r="AJ248" s="143"/>
      <c r="AK248" s="143"/>
      <c r="AL248" s="143"/>
      <c r="AM248" s="143"/>
      <c r="AN248" s="143"/>
      <c r="AO248" s="143"/>
      <c r="AP248" s="143"/>
      <c r="AQ248" s="143"/>
      <c r="AR248" s="143"/>
      <c r="AS248" s="143"/>
      <c r="AT248" s="156"/>
      <c r="AU248" s="143"/>
      <c r="AV248" s="143"/>
      <c r="AW248" s="143"/>
      <c r="AX248" s="143"/>
      <c r="AY248" s="143"/>
      <c r="AZ248" s="143"/>
      <c r="BA248" s="143"/>
      <c r="BB248" s="143">
        <f>BB247*AZ247</f>
        <v>64</v>
      </c>
      <c r="BC248" s="143"/>
      <c r="BD248" s="143"/>
      <c r="BE248" s="143"/>
      <c r="BF248" s="143"/>
      <c r="BG248" s="143"/>
      <c r="BH248" s="143"/>
      <c r="BI248" s="149"/>
      <c r="BK248" s="22"/>
      <c r="BM248" s="140" t="s">
        <v>749</v>
      </c>
      <c r="BN248" s="6"/>
      <c r="BO248" s="6"/>
      <c r="BP248" s="6"/>
      <c r="BQ248" s="6"/>
      <c r="BR248" s="6"/>
      <c r="BS248" s="6"/>
      <c r="BT248" s="6"/>
      <c r="BU248" s="6"/>
      <c r="BV248" s="140">
        <v>1.0</v>
      </c>
      <c r="BW248" s="6"/>
      <c r="BX248" s="6"/>
      <c r="BY248" s="6"/>
      <c r="BZ248" s="6"/>
      <c r="CA248" s="140">
        <v>1.0</v>
      </c>
    </row>
    <row r="249">
      <c r="B249" s="150"/>
      <c r="C249" s="151"/>
      <c r="D249" s="147"/>
      <c r="E249" s="147"/>
      <c r="F249" s="152"/>
      <c r="G249" s="138"/>
      <c r="H249" s="157" t="s">
        <v>502</v>
      </c>
      <c r="I249" s="158">
        <v>393.0</v>
      </c>
      <c r="J249" s="154" t="s">
        <v>424</v>
      </c>
      <c r="K249" s="154">
        <v>0.0</v>
      </c>
      <c r="L249" s="100">
        <v>0.0</v>
      </c>
      <c r="M249" s="143"/>
      <c r="N249" s="143"/>
      <c r="O249" s="143"/>
      <c r="P249" s="143"/>
      <c r="Q249" s="143"/>
      <c r="R249" s="143"/>
      <c r="S249" s="155"/>
      <c r="T249" s="155"/>
      <c r="U249" s="143"/>
      <c r="V249" s="143"/>
      <c r="W249" s="143"/>
      <c r="X249" s="143"/>
      <c r="Y249" s="143"/>
      <c r="Z249" s="143"/>
      <c r="AA249" s="143"/>
      <c r="AB249" s="143"/>
      <c r="AC249" s="143"/>
      <c r="AD249" s="143"/>
      <c r="AE249" s="143"/>
      <c r="AF249" s="143"/>
      <c r="AG249" s="156"/>
      <c r="AH249" s="143"/>
      <c r="AI249" s="143"/>
      <c r="AJ249" s="143"/>
      <c r="AK249" s="143"/>
      <c r="AL249" s="143"/>
      <c r="AM249" s="143"/>
      <c r="AN249" s="143"/>
      <c r="AO249" s="143"/>
      <c r="AP249" s="143"/>
      <c r="AQ249" s="143"/>
      <c r="AR249" s="143"/>
      <c r="AS249" s="143"/>
      <c r="AT249" s="156"/>
      <c r="AU249" s="143"/>
      <c r="AV249" s="143"/>
      <c r="AW249" s="143"/>
      <c r="AX249" s="143"/>
      <c r="AY249" s="143"/>
      <c r="AZ249" s="143"/>
      <c r="BA249" s="143"/>
      <c r="BB249" s="143"/>
      <c r="BC249" s="143"/>
      <c r="BD249" s="143"/>
      <c r="BE249" s="143"/>
      <c r="BF249" s="143"/>
      <c r="BG249" s="143"/>
      <c r="BH249" s="143"/>
      <c r="BI249" s="149"/>
      <c r="BK249" s="22"/>
      <c r="BM249" s="6" t="s">
        <v>750</v>
      </c>
      <c r="BN249" s="6"/>
      <c r="BO249" s="6"/>
      <c r="BP249" s="6"/>
      <c r="BQ249" s="6"/>
      <c r="BR249" s="6"/>
      <c r="BS249" s="6"/>
      <c r="BT249" s="6"/>
      <c r="BU249" s="6"/>
      <c r="BV249" s="6">
        <v>1.0</v>
      </c>
      <c r="BW249" s="6"/>
      <c r="BX249" s="6"/>
      <c r="BY249" s="6"/>
      <c r="BZ249" s="6"/>
      <c r="CA249" s="6">
        <v>1.0</v>
      </c>
    </row>
    <row r="250">
      <c r="B250" s="135"/>
      <c r="C250" s="136"/>
      <c r="D250" s="137"/>
      <c r="E250" s="137"/>
      <c r="F250" s="137"/>
      <c r="G250" s="138"/>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8"/>
      <c r="AH250" s="137"/>
      <c r="AI250" s="137"/>
      <c r="AJ250" s="137"/>
      <c r="AK250" s="137"/>
      <c r="AL250" s="137"/>
      <c r="AM250" s="137"/>
      <c r="AN250" s="137"/>
      <c r="AO250" s="137"/>
      <c r="AP250" s="137"/>
      <c r="AQ250" s="137"/>
      <c r="AR250" s="137"/>
      <c r="AS250" s="137"/>
      <c r="AT250" s="138"/>
      <c r="AU250" s="137"/>
      <c r="AV250" s="137"/>
      <c r="AW250" s="137"/>
      <c r="AX250" s="137"/>
      <c r="AY250" s="137"/>
      <c r="AZ250" s="137"/>
      <c r="BA250" s="137"/>
      <c r="BB250" s="137"/>
      <c r="BC250" s="137"/>
      <c r="BD250" s="137"/>
      <c r="BE250" s="137"/>
      <c r="BF250" s="137"/>
      <c r="BG250" s="137"/>
      <c r="BH250" s="137"/>
      <c r="BI250" s="139"/>
      <c r="BK250" s="22"/>
      <c r="BM250" s="140" t="s">
        <v>751</v>
      </c>
      <c r="BN250" s="6"/>
      <c r="BO250" s="6"/>
      <c r="BP250" s="6"/>
      <c r="BQ250" s="6"/>
      <c r="BR250" s="6"/>
      <c r="BS250" s="6"/>
      <c r="BT250" s="6"/>
      <c r="BU250" s="140">
        <v>1.0</v>
      </c>
      <c r="BV250" s="6"/>
      <c r="BW250" s="6"/>
      <c r="BX250" s="6"/>
      <c r="BY250" s="6"/>
      <c r="BZ250" s="6"/>
      <c r="CA250" s="140">
        <v>1.0</v>
      </c>
    </row>
    <row r="251">
      <c r="B251" s="141" t="s">
        <v>754</v>
      </c>
      <c r="C251" s="142"/>
      <c r="D251" s="143"/>
      <c r="E251" s="143"/>
      <c r="F251" s="144"/>
      <c r="G251" s="145"/>
      <c r="H251" s="146" t="s">
        <v>349</v>
      </c>
      <c r="I251" s="147">
        <f>VLOOKUP(H251,'Machine List'!$A$1:$I$300,9,FALSE)</f>
        <v>4000</v>
      </c>
      <c r="J251" s="147">
        <f>IF(VLOOKUP(H251,'Machine List'!$A$1:$I$300,5,FALSE)="Multi",IF(VLOOKUP(H251,'Machine List'!$A$1:$I$300,6,FALSE)="Yes",AI251*3*10^AB251,AI251*(2*3)*10^(AB251-1)),0)</f>
        <v>6</v>
      </c>
      <c r="K251" s="147">
        <f>J251+IF(ISNUMBER(I251),I251,
  SWITCH(
      I251,
      "1T",1*10^AB251,
      "2T",2*10^AB251,
      "3T",3*10^AB251,
      "4T",4*10^AB251,
      "4000+500(7O-5)",4000+500*(7*I252-5),
      "13500 + 16C",13500+16*VLOOKUP(J253,'Machine Helper Sheet'!$G$1:$K$16,5,FALSE),
      1
  )
)</f>
        <v>4006</v>
      </c>
      <c r="L251" s="147">
        <f>IF(VLOOKUP(H251,'Machine List'!$A$1:$I$300,5,FALSE)="Multi",IF(VLOOKUP(H251,'Machine List'!$A$1:$I$300,6,FALSE)="Yes",AW251*3*10^AV251,AW251*(2*3)*10^(AV251-1)),0)</f>
        <v>60000</v>
      </c>
      <c r="M251" s="147">
        <f>L251+IF(ISNUMBER(I251),I251,
  SWITCH(
      I251,
      "1T",1*10^AV251,
      "2T",2*10^AV251,
      "3T",3*10^AV251,
      "4T",4*10^AV251,
      "4000+500(7O-5)",4000+500*(7*I252-5),
      1
  )
)</f>
        <v>64000</v>
      </c>
      <c r="N251" s="147" t="str">
        <f>VLOOKUP(H251,'Machine List'!$A$1:$I$300,8,FALSE)</f>
        <v>Tier</v>
      </c>
      <c r="O251" s="147">
        <f>IF(ISNUMBER(N251),N251,10^AB251)</f>
        <v>10</v>
      </c>
      <c r="P251" s="147">
        <f>IF(ISNUMBER(N251),N251,10^AV251)</f>
        <v>100000</v>
      </c>
      <c r="Q251" s="147">
        <f>VLOOKUP(H251,'Machine List'!$A$1:$B$138,2,FALSE)</f>
        <v>1</v>
      </c>
      <c r="R251" s="147" t="s">
        <v>594</v>
      </c>
      <c r="S251" s="143">
        <f>IF(ISNUMBER(Q251),Q251,
  SWITCH(
      Q251,
      "1",1,
      "2T",AB251*2,
      "4T",AB251*4,
      "6T",AB251*6,
      "8T",AB251*8,
      "10T",AB251*10,
      "12T",AB251*12,
      "14T",AB251*14,
      "16T",AB251*16,
      "24T",AB251*24,
      "2(T+1)",2*(AB251+1),
      "1T*C",AB251*J253,
      "2*P",L253*2,
      1
  )
)</f>
        <v>1</v>
      </c>
      <c r="T251" s="38" t="s">
        <v>277</v>
      </c>
      <c r="U251" s="147">
        <f>IF(OR(T251="No",T251=""),S251,T251)</f>
        <v>1</v>
      </c>
      <c r="V251" s="147">
        <f>IF(ISNUMBER(Q251),Q251,
  SWITCH(
      Q251,
      "1",1,
      "2T",AV251*2,
      "4T",AV251*4,
      "6T",AV251*6,
      "8T",AV251*8,
      "10T",AV251*10,
      "12T",AV251*12,
      "14T",AV251*14,
      "16T",AV251*16,
      "24T",AV251*24,
      "2(T+1)",2*(AV251+1),
      "1T*C",AV251*J253,
      "2*P",L253*2,
      1
  )
)</f>
        <v>1</v>
      </c>
      <c r="W251" s="147" t="str">
        <f>T251</f>
        <v>No</v>
      </c>
      <c r="X251" s="147">
        <f>IF(OR(W251="No",W251=""),V251,W251)</f>
        <v>1</v>
      </c>
      <c r="Y251" s="38">
        <f>VLOOKUP(H251,'Machine List'!$A$1:$C$138,3,FALSE)</f>
        <v>1</v>
      </c>
      <c r="Z251" s="38">
        <f>VLOOKUP(H251,'Machine List'!$A$1:$D$138,4,FALSE)</f>
        <v>1</v>
      </c>
      <c r="AA251" s="147" t="s">
        <v>390</v>
      </c>
      <c r="AB251" s="147">
        <f>VLOOKUP(AA251,'Item Helper Sheet'!$A$2:$B$16,2,FALSE)</f>
        <v>1</v>
      </c>
      <c r="AC251" s="147">
        <v>30.0</v>
      </c>
      <c r="AD251" s="147">
        <f>120*20</f>
        <v>2400</v>
      </c>
      <c r="AE251" s="147">
        <f>AD251*I253</f>
        <v>314400</v>
      </c>
      <c r="AF251" s="147">
        <f>AC251*AE251</f>
        <v>9432000</v>
      </c>
      <c r="AG251" s="148"/>
      <c r="AH251" s="147" t="str">
        <f>AA251</f>
        <v>01 - LV</v>
      </c>
      <c r="AI251" s="147">
        <v>1.0</v>
      </c>
      <c r="AJ251" s="147">
        <v>1.0</v>
      </c>
      <c r="AK251" s="147">
        <f>AJ251*8*4^AB251</f>
        <v>32</v>
      </c>
      <c r="AL251" s="147">
        <f>MIN(ROUNDDOWN(AK251/AN251,0),U251)</f>
        <v>1</v>
      </c>
      <c r="AM251" s="147">
        <f>IF(OR(T251="No",T251=""),AI251*S251,AI251*T251)</f>
        <v>1</v>
      </c>
      <c r="AN251" s="147">
        <f>ROUNDUP(AC251*VLOOKUP(H251,'Machine List'!$A$2:$D$219,4,FALSE),0)</f>
        <v>30</v>
      </c>
      <c r="AO251" s="147">
        <f>AN251*AM251</f>
        <v>30</v>
      </c>
      <c r="AP251" s="147">
        <f>ROUNDUP(AD251*I253,0)</f>
        <v>314400</v>
      </c>
      <c r="AQ251" s="38">
        <f>IF(ISNUMBER(Y251),ROUNDUP(AP251/Y251,0),
  SWITCH(
      Y251,
      "1+0.5C",ROUNDUP(AP251/(1+0.5*VLOOKUP(J253,'Machine Helper Sheet'!$G$1:$K$16,2,FALSE)),0),
      ROUNDUP(AP251/1,0)
  )
)</f>
        <v>314400</v>
      </c>
      <c r="AR251" s="147">
        <f>ROUNDUP(AQ251/AM251,0)</f>
        <v>314400</v>
      </c>
      <c r="AS251" s="147">
        <f>AO251*AR251</f>
        <v>9432000</v>
      </c>
      <c r="AT251" s="148"/>
      <c r="AU251" s="147" t="s">
        <v>405</v>
      </c>
      <c r="AV251" s="147">
        <f>VLOOKUP(AU251,'Item Helper Sheet'!$A$2:$B$16,2,FALSE)</f>
        <v>5</v>
      </c>
      <c r="AW251" s="147">
        <f>AI251</f>
        <v>1</v>
      </c>
      <c r="AX251" s="147">
        <v>1.0</v>
      </c>
      <c r="AY251" s="147">
        <f>AX251*8*4^AV251</f>
        <v>8192</v>
      </c>
      <c r="AZ251" s="147">
        <f>MIN(ROUNDDOWN(AY251/AN251,0),X251)</f>
        <v>1</v>
      </c>
      <c r="BA251" s="147">
        <f>AZ251*AW251</f>
        <v>1</v>
      </c>
      <c r="BB251" s="147">
        <f>AN251</f>
        <v>30</v>
      </c>
      <c r="BC251" s="147">
        <f>MIN(AV251-AB251,IF(AY251&gt;=BB252*4,
IF(AY251&gt;=BB252*4^2,
IF(AY251&gt;=BB252*4^3,
IF(AY251&gt;=BB252*4^4,
IF(AY251&gt;=BB252*4^5,
IF(AY251&gt;=BB252*4^6,
IF(AY251&gt;=BB252*4^7,
IF(AY251&gt;=BB252*4^8,
IF(AY251&gt;=BB252*4^9,
IF(AY251&gt;=BB252*4^10,
9),
8),
7),
6),
5),
4),
3),
2),
1),
0))</f>
        <v>4</v>
      </c>
      <c r="BD251" s="147">
        <f>BB251*AZ251*4^BC251</f>
        <v>7680</v>
      </c>
      <c r="BE251" s="147">
        <f>BD251*AW251</f>
        <v>7680</v>
      </c>
      <c r="BF251" s="143">
        <f>ROUNDUP(IF(R251="Yes",AP251/(2^((BC251)*2)),AP251/(2^(BC251))),0)</f>
        <v>1229</v>
      </c>
      <c r="BG251" s="45">
        <f>IF(ISNUMBER(Y251),ROUNDUP(BF251/Y251,0),
  SWITCH(
      Y251,
      "1+0.5C",ROUNDUP(BF251/(1+0.5*VLOOKUP(J253,'Machine Helper Sheet'!$G$1:$K$16,2,FALSE)),0),
      ROUNDUP(BF251/1,0)
  )
)</f>
        <v>1229</v>
      </c>
      <c r="BH251" s="143">
        <f>ROUNDUP(BG251/BA251,0)</f>
        <v>1229</v>
      </c>
      <c r="BI251" s="149">
        <f>BH251*BE251</f>
        <v>9438720</v>
      </c>
      <c r="BK251" s="22"/>
      <c r="BM251" s="6" t="s">
        <v>752</v>
      </c>
      <c r="BN251" s="6"/>
      <c r="BO251" s="6"/>
      <c r="BP251" s="6"/>
      <c r="BQ251" s="6"/>
      <c r="BR251" s="6"/>
      <c r="BS251" s="6"/>
      <c r="BT251" s="6"/>
      <c r="BU251" s="6"/>
      <c r="BV251" s="6">
        <v>1.0</v>
      </c>
      <c r="BW251" s="6"/>
      <c r="BX251" s="6"/>
      <c r="BY251" s="6"/>
      <c r="BZ251" s="6"/>
      <c r="CA251" s="6">
        <v>1.0</v>
      </c>
    </row>
    <row r="252">
      <c r="B252" s="150"/>
      <c r="C252" s="151" t="s">
        <v>110</v>
      </c>
      <c r="D252" s="147">
        <f>3*I253</f>
        <v>393</v>
      </c>
      <c r="E252" s="147" t="s">
        <v>108</v>
      </c>
      <c r="F252" s="152">
        <f>2*I253</f>
        <v>262</v>
      </c>
      <c r="G252" s="138"/>
      <c r="H252" s="153" t="s">
        <v>584</v>
      </c>
      <c r="I252" s="143">
        <f t="array" ref="I252">match(TRUE,ISBLANK(F252:F264),0)-1</f>
        <v>2</v>
      </c>
      <c r="J252" s="154" t="s">
        <v>420</v>
      </c>
      <c r="K252" s="154" t="s">
        <v>585</v>
      </c>
      <c r="L252" s="100" t="s">
        <v>704</v>
      </c>
      <c r="M252" s="147"/>
      <c r="N252" s="147"/>
      <c r="O252" s="147"/>
      <c r="P252" s="147"/>
      <c r="Q252" s="147"/>
      <c r="R252" s="155"/>
      <c r="S252" s="155"/>
      <c r="T252" s="155"/>
      <c r="U252" s="143"/>
      <c r="V252" s="143"/>
      <c r="W252" s="143"/>
      <c r="X252" s="143"/>
      <c r="Y252" s="143"/>
      <c r="Z252" s="143"/>
      <c r="AA252" s="143"/>
      <c r="AB252" s="143"/>
      <c r="AC252" s="143"/>
      <c r="AD252" s="143"/>
      <c r="AE252" s="143"/>
      <c r="AF252" s="143"/>
      <c r="AG252" s="156"/>
      <c r="AH252" s="143"/>
      <c r="AI252" s="143"/>
      <c r="AJ252" s="143"/>
      <c r="AK252" s="143"/>
      <c r="AL252" s="143"/>
      <c r="AM252" s="143"/>
      <c r="AN252" s="143"/>
      <c r="AO252" s="143"/>
      <c r="AP252" s="143"/>
      <c r="AQ252" s="143"/>
      <c r="AR252" s="143"/>
      <c r="AS252" s="143"/>
      <c r="AT252" s="156"/>
      <c r="AU252" s="143"/>
      <c r="AV252" s="143"/>
      <c r="AW252" s="143"/>
      <c r="AX252" s="143"/>
      <c r="AY252" s="143"/>
      <c r="AZ252" s="143"/>
      <c r="BA252" s="143"/>
      <c r="BB252" s="143">
        <f>BB251*AZ251</f>
        <v>30</v>
      </c>
      <c r="BC252" s="143"/>
      <c r="BD252" s="143"/>
      <c r="BE252" s="143"/>
      <c r="BF252" s="143"/>
      <c r="BG252" s="143"/>
      <c r="BH252" s="143"/>
      <c r="BI252" s="149"/>
      <c r="BK252" s="22"/>
      <c r="BM252" s="140" t="s">
        <v>753</v>
      </c>
      <c r="BN252" s="6"/>
      <c r="BO252" s="6"/>
      <c r="BP252" s="140">
        <v>1.0</v>
      </c>
      <c r="BQ252" s="6"/>
      <c r="BR252" s="6"/>
      <c r="BS252" s="6"/>
      <c r="BT252" s="6"/>
      <c r="BU252" s="6"/>
      <c r="BV252" s="6"/>
      <c r="BW252" s="6"/>
      <c r="BX252" s="6"/>
      <c r="BY252" s="6"/>
      <c r="BZ252" s="6"/>
      <c r="CA252" s="140">
        <v>1.0</v>
      </c>
    </row>
    <row r="253">
      <c r="B253" s="150"/>
      <c r="C253" s="151" t="s">
        <v>91</v>
      </c>
      <c r="D253" s="147">
        <f>500*I253</f>
        <v>65500</v>
      </c>
      <c r="E253" s="147" t="s">
        <v>248</v>
      </c>
      <c r="F253" s="152">
        <f>1000*I253</f>
        <v>131000</v>
      </c>
      <c r="G253" s="138"/>
      <c r="H253" s="157" t="s">
        <v>502</v>
      </c>
      <c r="I253" s="158">
        <v>131.0</v>
      </c>
      <c r="J253" s="154" t="s">
        <v>424</v>
      </c>
      <c r="K253" s="154">
        <v>0.0</v>
      </c>
      <c r="L253" s="100">
        <v>0.0</v>
      </c>
      <c r="M253" s="143"/>
      <c r="N253" s="143"/>
      <c r="O253" s="143"/>
      <c r="P253" s="143"/>
      <c r="Q253" s="143"/>
      <c r="R253" s="143"/>
      <c r="S253" s="155"/>
      <c r="T253" s="155"/>
      <c r="U253" s="143"/>
      <c r="V253" s="143"/>
      <c r="W253" s="143"/>
      <c r="X253" s="143"/>
      <c r="Y253" s="143"/>
      <c r="Z253" s="143"/>
      <c r="AA253" s="143"/>
      <c r="AB253" s="143"/>
      <c r="AC253" s="143"/>
      <c r="AD253" s="143"/>
      <c r="AE253" s="143"/>
      <c r="AF253" s="143"/>
      <c r="AG253" s="156"/>
      <c r="AH253" s="143"/>
      <c r="AI253" s="143"/>
      <c r="AJ253" s="143"/>
      <c r="AK253" s="143"/>
      <c r="AL253" s="143"/>
      <c r="AM253" s="143"/>
      <c r="AN253" s="143"/>
      <c r="AO253" s="143"/>
      <c r="AP253" s="143"/>
      <c r="AQ253" s="143"/>
      <c r="AR253" s="143"/>
      <c r="AS253" s="143"/>
      <c r="AT253" s="156"/>
      <c r="AU253" s="143"/>
      <c r="AV253" s="143"/>
      <c r="AW253" s="143"/>
      <c r="AX253" s="143"/>
      <c r="AY253" s="143"/>
      <c r="AZ253" s="143"/>
      <c r="BA253" s="143"/>
      <c r="BB253" s="143"/>
      <c r="BC253" s="143"/>
      <c r="BD253" s="143"/>
      <c r="BE253" s="143"/>
      <c r="BF253" s="143"/>
      <c r="BG253" s="143"/>
      <c r="BH253" s="143"/>
      <c r="BI253" s="149"/>
      <c r="BK253" s="22"/>
      <c r="BM253" s="140" t="s">
        <v>754</v>
      </c>
      <c r="BN253" s="6"/>
      <c r="BO253" s="6"/>
      <c r="BP253" s="6"/>
      <c r="BQ253" s="6"/>
      <c r="BR253" s="6"/>
      <c r="BS253" s="6"/>
      <c r="BT253" s="6"/>
      <c r="BU253" s="6"/>
      <c r="BV253" s="140">
        <v>1.0</v>
      </c>
      <c r="BW253" s="6"/>
      <c r="BX253" s="6"/>
      <c r="BY253" s="6"/>
      <c r="BZ253" s="6"/>
      <c r="CA253" s="140">
        <v>1.0</v>
      </c>
    </row>
    <row r="254">
      <c r="B254" s="135"/>
      <c r="C254" s="136"/>
      <c r="D254" s="137"/>
      <c r="E254" s="137"/>
      <c r="F254" s="137"/>
      <c r="G254" s="138"/>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8"/>
      <c r="AH254" s="137"/>
      <c r="AI254" s="137"/>
      <c r="AJ254" s="137"/>
      <c r="AK254" s="137"/>
      <c r="AL254" s="137"/>
      <c r="AM254" s="137"/>
      <c r="AN254" s="137"/>
      <c r="AO254" s="137"/>
      <c r="AP254" s="137"/>
      <c r="AQ254" s="137"/>
      <c r="AR254" s="137"/>
      <c r="AS254" s="137"/>
      <c r="AT254" s="138"/>
      <c r="AU254" s="137"/>
      <c r="AV254" s="137"/>
      <c r="AW254" s="137"/>
      <c r="AX254" s="137"/>
      <c r="AY254" s="137"/>
      <c r="AZ254" s="137"/>
      <c r="BA254" s="137"/>
      <c r="BB254" s="137"/>
      <c r="BC254" s="137"/>
      <c r="BD254" s="137"/>
      <c r="BE254" s="137"/>
      <c r="BF254" s="137"/>
      <c r="BG254" s="137"/>
      <c r="BH254" s="137"/>
      <c r="BI254" s="139"/>
      <c r="BK254" s="22"/>
      <c r="BM254" s="140" t="s">
        <v>755</v>
      </c>
      <c r="BN254" s="6"/>
      <c r="BO254" s="6"/>
      <c r="BP254" s="6"/>
      <c r="BQ254" s="6"/>
      <c r="BR254" s="140">
        <v>1.0</v>
      </c>
      <c r="BS254" s="6"/>
      <c r="BT254" s="6"/>
      <c r="BU254" s="6"/>
      <c r="BV254" s="6"/>
      <c r="BW254" s="6"/>
      <c r="BX254" s="6"/>
      <c r="BY254" s="6"/>
      <c r="BZ254" s="6"/>
      <c r="CA254" s="140">
        <v>1.0</v>
      </c>
    </row>
    <row r="255">
      <c r="B255" s="141" t="s">
        <v>755</v>
      </c>
      <c r="C255" s="142"/>
      <c r="D255" s="143"/>
      <c r="E255" s="143"/>
      <c r="F255" s="144"/>
      <c r="G255" s="145"/>
      <c r="H255" s="146" t="s">
        <v>301</v>
      </c>
      <c r="I255" s="147">
        <f>VLOOKUP(H255,'Machine List'!$A$1:$I$300,9,FALSE)</f>
        <v>1000</v>
      </c>
      <c r="J255" s="147">
        <f>IF(VLOOKUP(H255,'Machine List'!$A$1:$I$300,5,FALSE)="Multi",IF(VLOOKUP(H255,'Machine List'!$A$1:$I$300,6,FALSE)="Yes",AI255*3*10^AB255,AI255*(2*3)*10^(AB255-1)),0)</f>
        <v>6000</v>
      </c>
      <c r="K255" s="147">
        <f>J255+IF(ISNUMBER(I255),I255,
  SWITCH(
      I255,
      "1T",1*10^AB255,
      "2T",2*10^AB255,
      "3T",3*10^AB255,
      "4T",4*10^AB255,
      "4000+500(7O-5)",4000+500*(7*I256-5),
      "13500 + 16C",13500+16*VLOOKUP(J257,'Machine Helper Sheet'!$G$1:$K$16,5,FALSE),
      1
  )
)</f>
        <v>7000</v>
      </c>
      <c r="L255" s="147">
        <f>IF(VLOOKUP(H255,'Machine List'!$A$1:$I$300,5,FALSE)="Multi",IF(VLOOKUP(H255,'Machine List'!$A$1:$I$300,6,FALSE)="Yes",AW255*3*10^AV255,AW255*(2*3)*10^(AV255-1)),0)</f>
        <v>60000</v>
      </c>
      <c r="M255" s="147">
        <f>L255+IF(ISNUMBER(I255),I255,
  SWITCH(
      I255,
      "1T",1*10^AV255,
      "2T",2*10^AV255,
      "3T",3*10^AV255,
      "4T",4*10^AV255,
      "4000+500(7O-5)",4000+500*(7*I256-5),
      1
  )
)</f>
        <v>61000</v>
      </c>
      <c r="N255" s="147" t="str">
        <f>VLOOKUP(H255,'Machine List'!$A$1:$I$300,8,FALSE)</f>
        <v>Tier</v>
      </c>
      <c r="O255" s="147">
        <f>IF(ISNUMBER(N255),N255,10^AB255)</f>
        <v>10000</v>
      </c>
      <c r="P255" s="147">
        <f>IF(ISNUMBER(N255),N255,10^AV255)</f>
        <v>100000</v>
      </c>
      <c r="Q255" s="147">
        <f>VLOOKUP(H255,'Machine List'!$A$1:$B$138,2,FALSE)</f>
        <v>1</v>
      </c>
      <c r="R255" s="147" t="s">
        <v>277</v>
      </c>
      <c r="S255" s="143">
        <f>IF(ISNUMBER(Q255),Q255,
  SWITCH(
      Q255,
      "1",1,
      "2T",AB255*2,
      "4T",AB255*4,
      "6T",AB255*6,
      "8T",AB255*8,
      "10T",AB255*10,
      "12T",AB255*12,
      "14T",AB255*14,
      "16T",AB255*16,
      "24T",AB255*24,
      "2(T+1)",2*(AB255+1),
      "1T*C",AB255*J257,
      "2*P",L257*2,
      1
  )
)</f>
        <v>1</v>
      </c>
      <c r="T255" s="38" t="s">
        <v>277</v>
      </c>
      <c r="U255" s="147">
        <f>IF(OR(T255="No",T255=""),S255,T255)</f>
        <v>1</v>
      </c>
      <c r="V255" s="147">
        <f>IF(ISNUMBER(Q255),Q255,
  SWITCH(
      Q255,
      "1",1,
      "2T",AV255*2,
      "4T",AV255*4,
      "6T",AV255*6,
      "8T",AV255*8,
      "10T",AV255*10,
      "12T",AV255*12,
      "14T",AV255*14,
      "16T",AV255*16,
      "24T",AV255*24,
      "2(T+1)",2*(AV255+1),
      "1T*C",AV255*J257,
      "2*P",L257*2,
      1
  )
)</f>
        <v>1</v>
      </c>
      <c r="W255" s="147" t="str">
        <f>T255</f>
        <v>No</v>
      </c>
      <c r="X255" s="147">
        <f>IF(OR(W255="No",W255=""),V255,W255)</f>
        <v>1</v>
      </c>
      <c r="Y255" s="38">
        <f>VLOOKUP(H255,'Machine List'!$A$1:$C$138,3,FALSE)</f>
        <v>1</v>
      </c>
      <c r="Z255" s="38">
        <f>VLOOKUP(H255,'Machine List'!$A$1:$D$138,4,FALSE)</f>
        <v>1</v>
      </c>
      <c r="AA255" s="147" t="s">
        <v>401</v>
      </c>
      <c r="AB255" s="147">
        <f>VLOOKUP(AA255,'Item Helper Sheet'!$A$2:$B$16,2,FALSE)</f>
        <v>4</v>
      </c>
      <c r="AC255" s="147">
        <v>1920.0</v>
      </c>
      <c r="AD255" s="147">
        <f>140*20</f>
        <v>2800</v>
      </c>
      <c r="AE255" s="147">
        <f>AD255*I257</f>
        <v>156800</v>
      </c>
      <c r="AF255" s="147">
        <f>AC255*AE255</f>
        <v>301056000</v>
      </c>
      <c r="AG255" s="148"/>
      <c r="AH255" s="147" t="str">
        <f>AA255</f>
        <v>04 - EV</v>
      </c>
      <c r="AI255" s="147">
        <v>1.0</v>
      </c>
      <c r="AJ255" s="147">
        <v>1.0</v>
      </c>
      <c r="AK255" s="147">
        <f>AJ255*8*4^AB255</f>
        <v>2048</v>
      </c>
      <c r="AL255" s="147">
        <f>MIN(ROUNDDOWN(AK255/AN255,0),U255)</f>
        <v>1</v>
      </c>
      <c r="AM255" s="147">
        <f>IF(OR(T255="No",T255=""),AI255*S255,AI255*T255)</f>
        <v>1</v>
      </c>
      <c r="AN255" s="147">
        <f>ROUNDUP(AC255*VLOOKUP(H255,'Machine List'!$A$2:$D$219,4,FALSE),0)</f>
        <v>1920</v>
      </c>
      <c r="AO255" s="147">
        <f>AN255*AM255</f>
        <v>1920</v>
      </c>
      <c r="AP255" s="147">
        <f>ROUNDUP(AD255*I257,0)</f>
        <v>156800</v>
      </c>
      <c r="AQ255" s="38">
        <f>IF(ISNUMBER(Y255),ROUNDUP(AP255/Y255,0),
  SWITCH(
      Y255,
      "1+0.5C",ROUNDUP(AP255/(1+0.5*VLOOKUP(J257,'Machine Helper Sheet'!$G$1:$K$16,2,FALSE)),0),
      ROUNDUP(AP255/1,0)
  )
)</f>
        <v>156800</v>
      </c>
      <c r="AR255" s="147">
        <f>ROUNDUP(AQ255/AM255,0)</f>
        <v>156800</v>
      </c>
      <c r="AS255" s="147">
        <f>AO255*AR255</f>
        <v>301056000</v>
      </c>
      <c r="AT255" s="148"/>
      <c r="AU255" s="147" t="s">
        <v>405</v>
      </c>
      <c r="AV255" s="147">
        <f>VLOOKUP(AU255,'Item Helper Sheet'!$A$2:$B$16,2,FALSE)</f>
        <v>5</v>
      </c>
      <c r="AW255" s="147">
        <f>AI255</f>
        <v>1</v>
      </c>
      <c r="AX255" s="147">
        <v>1.0</v>
      </c>
      <c r="AY255" s="147">
        <f>AX255*8*4^AV255</f>
        <v>8192</v>
      </c>
      <c r="AZ255" s="147">
        <f>MIN(ROUNDDOWN(AY255/AN255,0),X255)</f>
        <v>1</v>
      </c>
      <c r="BA255" s="147">
        <f>AZ255*AW255</f>
        <v>1</v>
      </c>
      <c r="BB255" s="147">
        <f>AN255</f>
        <v>1920</v>
      </c>
      <c r="BC255" s="147">
        <f>MIN(AV255-AB255,IF(AY255&gt;=BB256*4,
IF(AY255&gt;=BB256*4^2,
IF(AY255&gt;=BB256*4^3,
IF(AY255&gt;=BB256*4^4,
IF(AY255&gt;=BB256*4^5,
IF(AY255&gt;=BB256*4^6,
IF(AY255&gt;=BB256*4^7,
IF(AY255&gt;=BB256*4^8,
IF(AY255&gt;=BB256*4^9,
IF(AY255&gt;=BB256*4^10,
9),
8),
7),
6),
5),
4),
3),
2),
1),
0))</f>
        <v>1</v>
      </c>
      <c r="BD255" s="147">
        <f>BB255*AZ255*4^BC255</f>
        <v>7680</v>
      </c>
      <c r="BE255" s="147">
        <f>BD255*AW255</f>
        <v>7680</v>
      </c>
      <c r="BF255" s="143">
        <f>ROUNDUP(IF(R255="Yes",AP255/(2^((BC255)*2)),AP255/(2^(BC255))),0)</f>
        <v>78400</v>
      </c>
      <c r="BG255" s="45">
        <f>IF(ISNUMBER(Y255),ROUNDUP(BF255/Y255,0),
  SWITCH(
      Y255,
      "1+0.5C",ROUNDUP(BF255/(1+0.5*VLOOKUP(J257,'Machine Helper Sheet'!$G$1:$K$16,2,FALSE)),0),
      ROUNDUP(BF255/1,0)
  )
)</f>
        <v>78400</v>
      </c>
      <c r="BH255" s="143">
        <f>ROUNDUP(BG255/BA255,0)</f>
        <v>78400</v>
      </c>
      <c r="BI255" s="149">
        <f>BH255*BE255</f>
        <v>602112000</v>
      </c>
      <c r="BK255" s="22"/>
      <c r="BM255" s="140" t="s">
        <v>756</v>
      </c>
      <c r="BN255" s="6"/>
      <c r="BO255" s="6"/>
      <c r="BP255" s="6"/>
      <c r="BQ255" s="6"/>
      <c r="BR255" s="6"/>
      <c r="BS255" s="140">
        <v>1.0</v>
      </c>
      <c r="BT255" s="6"/>
      <c r="BU255" s="6"/>
      <c r="BV255" s="6"/>
      <c r="BW255" s="6"/>
      <c r="BX255" s="6"/>
      <c r="BY255" s="6"/>
      <c r="BZ255" s="6"/>
      <c r="CA255" s="140">
        <v>1.0</v>
      </c>
    </row>
    <row r="256">
      <c r="B256" s="150"/>
      <c r="C256" s="151" t="s">
        <v>108</v>
      </c>
      <c r="D256" s="147">
        <f>4*I257</f>
        <v>224</v>
      </c>
      <c r="E256" s="147" t="s">
        <v>112</v>
      </c>
      <c r="F256" s="152">
        <f>7*I257</f>
        <v>392</v>
      </c>
      <c r="G256" s="138"/>
      <c r="H256" s="153" t="s">
        <v>584</v>
      </c>
      <c r="I256" s="143">
        <f t="array" ref="I256">match(TRUE,ISBLANK(F256:F268),0)-1</f>
        <v>1</v>
      </c>
      <c r="J256" s="154" t="s">
        <v>420</v>
      </c>
      <c r="K256" s="154" t="s">
        <v>585</v>
      </c>
      <c r="L256" s="100" t="s">
        <v>704</v>
      </c>
      <c r="M256" s="147"/>
      <c r="N256" s="147"/>
      <c r="O256" s="147"/>
      <c r="P256" s="147"/>
      <c r="Q256" s="147"/>
      <c r="R256" s="155"/>
      <c r="S256" s="155"/>
      <c r="T256" s="155"/>
      <c r="U256" s="143"/>
      <c r="V256" s="143"/>
      <c r="W256" s="143"/>
      <c r="X256" s="143"/>
      <c r="Y256" s="143"/>
      <c r="Z256" s="143"/>
      <c r="AA256" s="143"/>
      <c r="AB256" s="143"/>
      <c r="AC256" s="143"/>
      <c r="AD256" s="143"/>
      <c r="AE256" s="143"/>
      <c r="AF256" s="143"/>
      <c r="AG256" s="156"/>
      <c r="AH256" s="143"/>
      <c r="AI256" s="143"/>
      <c r="AJ256" s="143"/>
      <c r="AK256" s="143"/>
      <c r="AL256" s="143"/>
      <c r="AM256" s="143"/>
      <c r="AN256" s="143"/>
      <c r="AO256" s="143"/>
      <c r="AP256" s="143"/>
      <c r="AQ256" s="143"/>
      <c r="AR256" s="143"/>
      <c r="AS256" s="143"/>
      <c r="AT256" s="156"/>
      <c r="AU256" s="143"/>
      <c r="AV256" s="143"/>
      <c r="AW256" s="143"/>
      <c r="AX256" s="143"/>
      <c r="AY256" s="143"/>
      <c r="AZ256" s="143"/>
      <c r="BA256" s="143"/>
      <c r="BB256" s="143">
        <f>BB255*AZ255</f>
        <v>1920</v>
      </c>
      <c r="BC256" s="143"/>
      <c r="BD256" s="143"/>
      <c r="BE256" s="143"/>
      <c r="BF256" s="143"/>
      <c r="BG256" s="143"/>
      <c r="BH256" s="143"/>
      <c r="BI256" s="149"/>
      <c r="BK256" s="22"/>
      <c r="BM256" s="140" t="s">
        <v>757</v>
      </c>
      <c r="BN256" s="6"/>
      <c r="BO256" s="6"/>
      <c r="BP256" s="140">
        <v>1.0</v>
      </c>
      <c r="BQ256" s="6"/>
      <c r="BR256" s="6"/>
      <c r="BS256" s="6"/>
      <c r="BT256" s="6"/>
      <c r="BU256" s="6"/>
      <c r="BV256" s="6"/>
      <c r="BW256" s="6"/>
      <c r="BX256" s="6"/>
      <c r="BY256" s="6"/>
      <c r="BZ256" s="6"/>
      <c r="CA256" s="140">
        <v>1.0</v>
      </c>
    </row>
    <row r="257">
      <c r="B257" s="150"/>
      <c r="C257" s="151" t="s">
        <v>32</v>
      </c>
      <c r="D257" s="147">
        <f>3*I257</f>
        <v>168</v>
      </c>
      <c r="E257" s="147"/>
      <c r="F257" s="152"/>
      <c r="G257" s="138"/>
      <c r="H257" s="157" t="s">
        <v>502</v>
      </c>
      <c r="I257" s="158">
        <v>56.0</v>
      </c>
      <c r="J257" s="154" t="s">
        <v>432</v>
      </c>
      <c r="K257" s="154">
        <v>0.0</v>
      </c>
      <c r="L257" s="100">
        <v>0.0</v>
      </c>
      <c r="M257" s="143"/>
      <c r="N257" s="143"/>
      <c r="O257" s="143"/>
      <c r="P257" s="143"/>
      <c r="Q257" s="143"/>
      <c r="R257" s="143"/>
      <c r="S257" s="155"/>
      <c r="T257" s="155"/>
      <c r="U257" s="143"/>
      <c r="V257" s="143"/>
      <c r="W257" s="143"/>
      <c r="X257" s="143"/>
      <c r="Y257" s="143"/>
      <c r="Z257" s="143"/>
      <c r="AA257" s="143"/>
      <c r="AB257" s="143"/>
      <c r="AC257" s="143"/>
      <c r="AD257" s="143"/>
      <c r="AE257" s="143"/>
      <c r="AF257" s="143"/>
      <c r="AG257" s="156"/>
      <c r="AH257" s="143"/>
      <c r="AI257" s="143"/>
      <c r="AJ257" s="143"/>
      <c r="AK257" s="143"/>
      <c r="AL257" s="143"/>
      <c r="AM257" s="143"/>
      <c r="AN257" s="143"/>
      <c r="AO257" s="143"/>
      <c r="AP257" s="143"/>
      <c r="AQ257" s="143"/>
      <c r="AR257" s="143"/>
      <c r="AS257" s="143"/>
      <c r="AT257" s="156"/>
      <c r="AU257" s="143"/>
      <c r="AV257" s="143"/>
      <c r="AW257" s="143"/>
      <c r="AX257" s="143"/>
      <c r="AY257" s="143"/>
      <c r="AZ257" s="143"/>
      <c r="BA257" s="143"/>
      <c r="BB257" s="143"/>
      <c r="BC257" s="143"/>
      <c r="BD257" s="143"/>
      <c r="BE257" s="143"/>
      <c r="BF257" s="143"/>
      <c r="BG257" s="143"/>
      <c r="BH257" s="143"/>
      <c r="BI257" s="149"/>
      <c r="BK257" s="22"/>
      <c r="BM257" s="140" t="s">
        <v>758</v>
      </c>
      <c r="BN257" s="6"/>
      <c r="BO257" s="6"/>
      <c r="BP257" s="140">
        <v>1.0</v>
      </c>
      <c r="BQ257" s="6"/>
      <c r="BR257" s="6"/>
      <c r="BS257" s="6"/>
      <c r="BT257" s="6"/>
      <c r="BU257" s="6"/>
      <c r="BV257" s="6"/>
      <c r="BW257" s="6"/>
      <c r="BX257" s="6"/>
      <c r="BY257" s="6"/>
      <c r="BZ257" s="6"/>
      <c r="CA257" s="140">
        <v>1.0</v>
      </c>
    </row>
    <row r="258">
      <c r="B258" s="135"/>
      <c r="C258" s="136"/>
      <c r="D258" s="137"/>
      <c r="E258" s="137"/>
      <c r="F258" s="137"/>
      <c r="G258" s="138"/>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c r="AG258" s="138"/>
      <c r="AH258" s="137"/>
      <c r="AI258" s="137"/>
      <c r="AJ258" s="137"/>
      <c r="AK258" s="137"/>
      <c r="AL258" s="137"/>
      <c r="AM258" s="137"/>
      <c r="AN258" s="137"/>
      <c r="AO258" s="137"/>
      <c r="AP258" s="137"/>
      <c r="AQ258" s="137"/>
      <c r="AR258" s="137"/>
      <c r="AS258" s="137"/>
      <c r="AT258" s="138"/>
      <c r="AU258" s="137"/>
      <c r="AV258" s="137"/>
      <c r="AW258" s="137"/>
      <c r="AX258" s="137"/>
      <c r="AY258" s="137"/>
      <c r="AZ258" s="137"/>
      <c r="BA258" s="137"/>
      <c r="BB258" s="137"/>
      <c r="BC258" s="137"/>
      <c r="BD258" s="137"/>
      <c r="BE258" s="137"/>
      <c r="BF258" s="137"/>
      <c r="BG258" s="137"/>
      <c r="BH258" s="137"/>
      <c r="BI258" s="139"/>
      <c r="BK258" s="22"/>
      <c r="BM258" s="6" t="s">
        <v>759</v>
      </c>
      <c r="BN258" s="6"/>
      <c r="BO258" s="6"/>
      <c r="BP258" s="6"/>
      <c r="BQ258" s="6"/>
      <c r="BR258" s="6"/>
      <c r="BS258" s="6"/>
      <c r="BT258" s="6"/>
      <c r="BU258" s="6"/>
      <c r="BV258" s="6"/>
      <c r="BW258" s="6"/>
      <c r="BX258" s="6"/>
      <c r="BY258" s="6"/>
      <c r="BZ258" s="6">
        <v>1.0</v>
      </c>
      <c r="CA258" s="6">
        <v>1.0</v>
      </c>
    </row>
    <row r="259">
      <c r="B259" s="141" t="s">
        <v>756</v>
      </c>
      <c r="C259" s="142"/>
      <c r="D259" s="143"/>
      <c r="E259" s="143"/>
      <c r="F259" s="144"/>
      <c r="G259" s="145"/>
      <c r="H259" s="146" t="s">
        <v>309</v>
      </c>
      <c r="I259" s="147" t="str">
        <f>VLOOKUP(H259,'Machine List'!$A$1:$I$300,9,FALSE)</f>
        <v>1T</v>
      </c>
      <c r="J259" s="147">
        <f>IF(VLOOKUP(H259,'Machine List'!$A$1:$I$300,5,FALSE)="Multi",IF(VLOOKUP(H259,'Machine List'!$A$1:$I$300,6,FALSE)="Yes",AI259*3*10^AB259,AI259*(2*3)*10^(AB259-1)),0)</f>
        <v>0</v>
      </c>
      <c r="K259" s="147">
        <f>J259+IF(ISNUMBER(I259),I259,
  SWITCH(
      I259,
      "1T",1*10^AB259,
      "2T",2*10^AB259,
      "3T",3*10^AB259,
      "4T",4*10^AB259,
      "4000+500(7O-5)",4000+500*(7*I260-5),
      "13500 + 16C",13500+16*VLOOKUP(J261,'Machine Helper Sheet'!$G$1:$K$16,5,FALSE),
      1
  )
)</f>
        <v>1000</v>
      </c>
      <c r="L259" s="147">
        <f>IF(VLOOKUP(H259,'Machine List'!$A$1:$I$300,5,FALSE)="Multi",IF(VLOOKUP(H259,'Machine List'!$A$1:$I$300,6,FALSE)="Yes",AW259*3*10^AV259,AW259*(2*3)*10^(AV259-1)),0)</f>
        <v>0</v>
      </c>
      <c r="M259" s="147">
        <f>L259+IF(ISNUMBER(I259),I259,
  SWITCH(
      I259,
      "1T",1*10^AV259,
      "2T",2*10^AV259,
      "3T",3*10^AV259,
      "4T",4*10^AV259,
      "4000+500(7O-5)",4000+500*(7*I260-5),
      1
  )
)</f>
        <v>100000</v>
      </c>
      <c r="N259" s="147" t="str">
        <f>VLOOKUP(H259,'Machine List'!$A$1:$I$300,8,FALSE)</f>
        <v>Tier</v>
      </c>
      <c r="O259" s="147">
        <f>IF(ISNUMBER(N259),N259,10^AB259)</f>
        <v>1000</v>
      </c>
      <c r="P259" s="147">
        <f>IF(ISNUMBER(N259),N259,10^AV259)</f>
        <v>100000</v>
      </c>
      <c r="Q259" s="147">
        <f>VLOOKUP(H259,'Machine List'!$A$1:$B$138,2,FALSE)</f>
        <v>1</v>
      </c>
      <c r="R259" s="147" t="s">
        <v>277</v>
      </c>
      <c r="S259" s="143">
        <f>IF(ISNUMBER(Q259),Q259,
  SWITCH(
      Q259,
      "1",1,
      "2T",AB259*2,
      "4T",AB259*4,
      "6T",AB259*6,
      "8T",AB259*8,
      "10T",AB259*10,
      "12T",AB259*12,
      "14T",AB259*14,
      "16T",AB259*16,
      "24T",AB259*24,
      "2(T+1)",2*(AB259+1),
      "1T*C",AB259*J261,
      "2*P",L261*2,
      1
  )
)</f>
        <v>1</v>
      </c>
      <c r="T259" s="38" t="s">
        <v>277</v>
      </c>
      <c r="U259" s="147">
        <f>IF(OR(T259="No",T259=""),S259,T259)</f>
        <v>1</v>
      </c>
      <c r="V259" s="147">
        <f>IF(ISNUMBER(Q259),Q259,
  SWITCH(
      Q259,
      "1",1,
      "2T",AV259*2,
      "4T",AV259*4,
      "6T",AV259*6,
      "8T",AV259*8,
      "10T",AV259*10,
      "12T",AV259*12,
      "14T",AV259*14,
      "16T",AV259*16,
      "24T",AV259*24,
      "2(T+1)",2*(AV259+1),
      "1T*C",AV259*J261,
      "2*P",L261*2,
      1
  )
)</f>
        <v>1</v>
      </c>
      <c r="W259" s="147" t="str">
        <f>T259</f>
        <v>No</v>
      </c>
      <c r="X259" s="147">
        <f>IF(OR(W259="No",W259=""),V259,W259)</f>
        <v>1</v>
      </c>
      <c r="Y259" s="38">
        <f>VLOOKUP(H259,'Machine List'!$A$1:$C$138,3,FALSE)</f>
        <v>1</v>
      </c>
      <c r="Z259" s="38">
        <f>VLOOKUP(H259,'Machine List'!$A$1:$D$138,4,FALSE)</f>
        <v>1</v>
      </c>
      <c r="AA259" s="147" t="s">
        <v>397</v>
      </c>
      <c r="AB259" s="147">
        <f>VLOOKUP(AA259,'Item Helper Sheet'!$A$2:$B$16,2,FALSE)</f>
        <v>3</v>
      </c>
      <c r="AC259" s="147">
        <v>480.0</v>
      </c>
      <c r="AD259" s="147">
        <f>5*20</f>
        <v>100</v>
      </c>
      <c r="AE259" s="147">
        <f>AD259*I261</f>
        <v>38900</v>
      </c>
      <c r="AF259" s="147">
        <f>AC259*AE259</f>
        <v>18672000</v>
      </c>
      <c r="AG259" s="148"/>
      <c r="AH259" s="147" t="str">
        <f>AA259</f>
        <v>03 - HV</v>
      </c>
      <c r="AI259" s="147">
        <v>1.0</v>
      </c>
      <c r="AJ259" s="147">
        <v>1.0</v>
      </c>
      <c r="AK259" s="147">
        <f>AJ259*8*4^AB259</f>
        <v>512</v>
      </c>
      <c r="AL259" s="147">
        <f>MIN(ROUNDDOWN(AK259/AN259,0),U259)</f>
        <v>1</v>
      </c>
      <c r="AM259" s="147">
        <f>IF(OR(T259="No",T259=""),AI259*S259,AI259*T259)</f>
        <v>1</v>
      </c>
      <c r="AN259" s="147">
        <f>ROUNDUP(AC259*VLOOKUP(H259,'Machine List'!$A$2:$D$219,4,FALSE),0)</f>
        <v>480</v>
      </c>
      <c r="AO259" s="147">
        <f>AN259*AM259</f>
        <v>480</v>
      </c>
      <c r="AP259" s="147">
        <f>ROUNDUP(AD259*I261,0)</f>
        <v>38900</v>
      </c>
      <c r="AQ259" s="38">
        <f>IF(ISNUMBER(Y259),ROUNDUP(AP259/Y259,0),
  SWITCH(
      Y259,
      "1+0.5C",ROUNDUP(AP259/(1+0.5*VLOOKUP(J261,'Machine Helper Sheet'!$G$1:$K$16,2,FALSE)),0),
      ROUNDUP(AP259/1,0)
  )
)</f>
        <v>38900</v>
      </c>
      <c r="AR259" s="147">
        <f>ROUNDUP(AQ259/AM259,0)</f>
        <v>38900</v>
      </c>
      <c r="AS259" s="147">
        <f>AO259*AR259</f>
        <v>18672000</v>
      </c>
      <c r="AT259" s="148"/>
      <c r="AU259" s="147" t="s">
        <v>405</v>
      </c>
      <c r="AV259" s="147">
        <f>VLOOKUP(AU259,'Item Helper Sheet'!$A$2:$B$16,2,FALSE)</f>
        <v>5</v>
      </c>
      <c r="AW259" s="147">
        <f>AI259</f>
        <v>1</v>
      </c>
      <c r="AX259" s="147">
        <v>1.0</v>
      </c>
      <c r="AY259" s="147">
        <f>AX259*8*4^AV259</f>
        <v>8192</v>
      </c>
      <c r="AZ259" s="147">
        <f>MIN(ROUNDDOWN(AY259/AN259,0),X259)</f>
        <v>1</v>
      </c>
      <c r="BA259" s="147">
        <f>AZ259*AW259</f>
        <v>1</v>
      </c>
      <c r="BB259" s="147">
        <f>AN259</f>
        <v>480</v>
      </c>
      <c r="BC259" s="147">
        <f>MIN(AV259-AB259,IF(AY259&gt;=BB260*4,
IF(AY259&gt;=BB260*4^2,
IF(AY259&gt;=BB260*4^3,
IF(AY259&gt;=BB260*4^4,
IF(AY259&gt;=BB260*4^5,
IF(AY259&gt;=BB260*4^6,
IF(AY259&gt;=BB260*4^7,
IF(AY259&gt;=BB260*4^8,
IF(AY259&gt;=BB260*4^9,
IF(AY259&gt;=BB260*4^10,
9),
8),
7),
6),
5),
4),
3),
2),
1),
0))</f>
        <v>2</v>
      </c>
      <c r="BD259" s="147">
        <f>BB259*AZ259*4^BC259</f>
        <v>7680</v>
      </c>
      <c r="BE259" s="147">
        <f>BD259*AW259</f>
        <v>7680</v>
      </c>
      <c r="BF259" s="143">
        <f>ROUNDUP(IF(R259="Yes",AP259/(2^((BC259)*2)),AP259/(2^(BC259))),0)</f>
        <v>9725</v>
      </c>
      <c r="BG259" s="45">
        <f>IF(ISNUMBER(Y259),ROUNDUP(BF259/Y259,0),
  SWITCH(
      Y259,
      "1+0.5C",ROUNDUP(BF259/(1+0.5*VLOOKUP(J261,'Machine Helper Sheet'!$G$1:$K$16,2,FALSE)),0),
      ROUNDUP(BF259/1,0)
  )
)</f>
        <v>9725</v>
      </c>
      <c r="BH259" s="143">
        <f>ROUNDUP(BG259/BA259,0)</f>
        <v>9725</v>
      </c>
      <c r="BI259" s="149">
        <f>BH259*BE259</f>
        <v>74688000</v>
      </c>
      <c r="BK259" s="22"/>
      <c r="BM259" s="140" t="s">
        <v>760</v>
      </c>
      <c r="BN259" s="6"/>
      <c r="BO259" s="6"/>
      <c r="BP259" s="6"/>
      <c r="BQ259" s="6"/>
      <c r="BR259" s="6"/>
      <c r="BS259" s="140">
        <v>1.0</v>
      </c>
      <c r="BT259" s="6"/>
      <c r="BU259" s="6"/>
      <c r="BV259" s="6"/>
      <c r="BW259" s="6"/>
      <c r="BX259" s="6"/>
      <c r="BY259" s="6"/>
      <c r="BZ259" s="6"/>
      <c r="CA259" s="140">
        <v>1.0</v>
      </c>
    </row>
    <row r="260">
      <c r="B260" s="150"/>
      <c r="C260" s="151" t="s">
        <v>112</v>
      </c>
      <c r="D260" s="147">
        <f>1*I261</f>
        <v>389</v>
      </c>
      <c r="E260" s="147" t="s">
        <v>113</v>
      </c>
      <c r="F260" s="152">
        <f>144*I261</f>
        <v>56016</v>
      </c>
      <c r="G260" s="138"/>
      <c r="H260" s="153" t="s">
        <v>584</v>
      </c>
      <c r="I260" s="143">
        <f t="array" ref="I260">match(TRUE,ISBLANK(F260:F272),0)-1</f>
        <v>1</v>
      </c>
      <c r="J260" s="154" t="s">
        <v>420</v>
      </c>
      <c r="K260" s="154" t="s">
        <v>585</v>
      </c>
      <c r="L260" s="100" t="s">
        <v>704</v>
      </c>
      <c r="M260" s="147"/>
      <c r="N260" s="147"/>
      <c r="O260" s="147"/>
      <c r="P260" s="147"/>
      <c r="Q260" s="147"/>
      <c r="R260" s="155"/>
      <c r="S260" s="155"/>
      <c r="T260" s="155"/>
      <c r="U260" s="143"/>
      <c r="V260" s="143"/>
      <c r="W260" s="143"/>
      <c r="X260" s="143"/>
      <c r="Y260" s="143"/>
      <c r="Z260" s="143"/>
      <c r="AA260" s="143"/>
      <c r="AB260" s="143"/>
      <c r="AC260" s="143"/>
      <c r="AD260" s="143"/>
      <c r="AE260" s="143"/>
      <c r="AF260" s="143"/>
      <c r="AG260" s="156"/>
      <c r="AH260" s="143"/>
      <c r="AI260" s="143"/>
      <c r="AJ260" s="143"/>
      <c r="AK260" s="143"/>
      <c r="AL260" s="143"/>
      <c r="AM260" s="143"/>
      <c r="AN260" s="143"/>
      <c r="AO260" s="143"/>
      <c r="AP260" s="143"/>
      <c r="AQ260" s="143"/>
      <c r="AR260" s="143"/>
      <c r="AS260" s="143"/>
      <c r="AT260" s="156"/>
      <c r="AU260" s="143"/>
      <c r="AV260" s="143"/>
      <c r="AW260" s="143"/>
      <c r="AX260" s="143"/>
      <c r="AY260" s="143"/>
      <c r="AZ260" s="143"/>
      <c r="BA260" s="143"/>
      <c r="BB260" s="143">
        <f>BB259*AZ259</f>
        <v>480</v>
      </c>
      <c r="BC260" s="143"/>
      <c r="BD260" s="143"/>
      <c r="BE260" s="143"/>
      <c r="BF260" s="143"/>
      <c r="BG260" s="143"/>
      <c r="BH260" s="143"/>
      <c r="BI260" s="149"/>
      <c r="BK260" s="22"/>
      <c r="BM260" s="140" t="s">
        <v>761</v>
      </c>
      <c r="BN260" s="6"/>
      <c r="BO260" s="6"/>
      <c r="BP260" s="6"/>
      <c r="BQ260" s="6"/>
      <c r="BR260" s="6"/>
      <c r="BS260" s="140">
        <v>1.0</v>
      </c>
      <c r="BT260" s="6"/>
      <c r="BU260" s="6"/>
      <c r="BV260" s="6"/>
      <c r="BW260" s="6"/>
      <c r="BX260" s="6"/>
      <c r="BY260" s="6"/>
      <c r="BZ260" s="6"/>
      <c r="CA260" s="140">
        <v>1.0</v>
      </c>
    </row>
    <row r="261">
      <c r="B261" s="150"/>
      <c r="C261" s="151"/>
      <c r="D261" s="147"/>
      <c r="E261" s="147"/>
      <c r="F261" s="152"/>
      <c r="G261" s="138"/>
      <c r="H261" s="157" t="s">
        <v>502</v>
      </c>
      <c r="I261" s="158">
        <v>389.0</v>
      </c>
      <c r="J261" s="154" t="s">
        <v>424</v>
      </c>
      <c r="K261" s="154">
        <v>0.0</v>
      </c>
      <c r="L261" s="100">
        <v>0.0</v>
      </c>
      <c r="M261" s="143"/>
      <c r="N261" s="143"/>
      <c r="O261" s="143"/>
      <c r="P261" s="143"/>
      <c r="Q261" s="143"/>
      <c r="R261" s="143"/>
      <c r="S261" s="155"/>
      <c r="T261" s="155"/>
      <c r="U261" s="143"/>
      <c r="V261" s="143"/>
      <c r="W261" s="143"/>
      <c r="X261" s="143"/>
      <c r="Y261" s="143"/>
      <c r="Z261" s="143"/>
      <c r="AA261" s="143"/>
      <c r="AB261" s="143"/>
      <c r="AC261" s="143"/>
      <c r="AD261" s="143"/>
      <c r="AE261" s="143"/>
      <c r="AF261" s="143"/>
      <c r="AG261" s="156"/>
      <c r="AH261" s="143"/>
      <c r="AI261" s="143"/>
      <c r="AJ261" s="143"/>
      <c r="AK261" s="143"/>
      <c r="AL261" s="143"/>
      <c r="AM261" s="143"/>
      <c r="AN261" s="143"/>
      <c r="AO261" s="143"/>
      <c r="AP261" s="143"/>
      <c r="AQ261" s="143"/>
      <c r="AR261" s="143"/>
      <c r="AS261" s="143"/>
      <c r="AT261" s="156"/>
      <c r="AU261" s="143"/>
      <c r="AV261" s="143"/>
      <c r="AW261" s="143"/>
      <c r="AX261" s="143"/>
      <c r="AY261" s="143"/>
      <c r="AZ261" s="143"/>
      <c r="BA261" s="143"/>
      <c r="BB261" s="143"/>
      <c r="BC261" s="143"/>
      <c r="BD261" s="143"/>
      <c r="BE261" s="143"/>
      <c r="BF261" s="143"/>
      <c r="BG261" s="143"/>
      <c r="BH261" s="143"/>
      <c r="BI261" s="149"/>
      <c r="BK261" s="22"/>
      <c r="BM261" s="6" t="s">
        <v>762</v>
      </c>
      <c r="BN261" s="6"/>
      <c r="BO261" s="6"/>
      <c r="BP261" s="6"/>
      <c r="BQ261" s="6"/>
      <c r="BR261" s="6"/>
      <c r="BS261" s="6"/>
      <c r="BT261" s="6"/>
      <c r="BU261" s="6"/>
      <c r="BV261" s="6">
        <v>1.0</v>
      </c>
      <c r="BW261" s="6"/>
      <c r="BX261" s="6"/>
      <c r="BY261" s="6"/>
      <c r="BZ261" s="6"/>
      <c r="CA261" s="6">
        <v>1.0</v>
      </c>
    </row>
    <row r="262">
      <c r="B262" s="135"/>
      <c r="C262" s="136"/>
      <c r="D262" s="137"/>
      <c r="E262" s="137"/>
      <c r="F262" s="137"/>
      <c r="G262" s="138"/>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8"/>
      <c r="AH262" s="137"/>
      <c r="AI262" s="137"/>
      <c r="AJ262" s="137"/>
      <c r="AK262" s="137"/>
      <c r="AL262" s="137"/>
      <c r="AM262" s="137"/>
      <c r="AN262" s="137"/>
      <c r="AO262" s="137"/>
      <c r="AP262" s="137"/>
      <c r="AQ262" s="137"/>
      <c r="AR262" s="137"/>
      <c r="AS262" s="137"/>
      <c r="AT262" s="138"/>
      <c r="AU262" s="137"/>
      <c r="AV262" s="137"/>
      <c r="AW262" s="137"/>
      <c r="AX262" s="137"/>
      <c r="AY262" s="137"/>
      <c r="AZ262" s="137"/>
      <c r="BA262" s="137"/>
      <c r="BB262" s="137"/>
      <c r="BC262" s="137"/>
      <c r="BD262" s="137"/>
      <c r="BE262" s="137"/>
      <c r="BF262" s="137"/>
      <c r="BG262" s="137"/>
      <c r="BH262" s="137"/>
      <c r="BI262" s="139"/>
      <c r="BK262" s="22"/>
      <c r="BM262" s="6" t="s">
        <v>487</v>
      </c>
      <c r="BN262" s="140">
        <v>1.0</v>
      </c>
      <c r="BO262" s="140">
        <v>2.0</v>
      </c>
      <c r="BP262" s="140">
        <v>5.0</v>
      </c>
      <c r="BQ262" s="140">
        <v>1.0</v>
      </c>
      <c r="BR262" s="140">
        <v>2.0</v>
      </c>
      <c r="BS262" s="140">
        <v>4.0</v>
      </c>
      <c r="BT262" s="140">
        <v>1.0</v>
      </c>
      <c r="BU262" s="140">
        <v>1.0</v>
      </c>
      <c r="BV262" s="140">
        <v>10.0</v>
      </c>
      <c r="BW262" s="6">
        <v>1.0</v>
      </c>
      <c r="BX262" s="140">
        <v>1.0</v>
      </c>
      <c r="BY262" s="140">
        <v>2.0</v>
      </c>
      <c r="BZ262" s="6">
        <v>4.0</v>
      </c>
      <c r="CA262" s="6">
        <v>35.0</v>
      </c>
    </row>
    <row r="263">
      <c r="B263" s="141" t="s">
        <v>757</v>
      </c>
      <c r="C263" s="142"/>
      <c r="D263" s="143"/>
      <c r="E263" s="143"/>
      <c r="F263" s="144"/>
      <c r="G263" s="145"/>
      <c r="H263" s="146" t="s">
        <v>297</v>
      </c>
      <c r="I263" s="147" t="str">
        <f>VLOOKUP(H263,'Machine List'!$A$1:$I$300,9,FALSE)</f>
        <v>1T</v>
      </c>
      <c r="J263" s="147">
        <f>IF(VLOOKUP(H263,'Machine List'!$A$1:$I$300,5,FALSE)="Multi",IF(VLOOKUP(H263,'Machine List'!$A$1:$I$300,6,FALSE)="Yes",AI263*3*10^AB263,AI263*(2*3)*10^(AB263-1)),0)</f>
        <v>0</v>
      </c>
      <c r="K263" s="147">
        <f>J263+IF(ISNUMBER(I263),I263,
  SWITCH(
      I263,
      "1T",1*10^AB263,
      "2T",2*10^AB263,
      "3T",3*10^AB263,
      "4T",4*10^AB263,
      "4000+500(7O-5)",4000+500*(7*I264-5),
      "13500 + 16C",13500+16*VLOOKUP(J265,'Machine Helper Sheet'!$G$1:$K$16,5,FALSE),
      1
  )
)</f>
        <v>10</v>
      </c>
      <c r="L263" s="147">
        <f>IF(VLOOKUP(H263,'Machine List'!$A$1:$I$300,5,FALSE)="Multi",IF(VLOOKUP(H263,'Machine List'!$A$1:$I$300,6,FALSE)="Yes",AW263*3*10^AV263,AW263*(2*3)*10^(AV263-1)),0)</f>
        <v>0</v>
      </c>
      <c r="M263" s="147">
        <f>L263+IF(ISNUMBER(I263),I263,
  SWITCH(
      I263,
      "1T",1*10^AV263,
      "2T",2*10^AV263,
      "3T",3*10^AV263,
      "4T",4*10^AV263,
      "4000+500(7O-5)",4000+500*(7*I264-5),
      1
  )
)</f>
        <v>100000</v>
      </c>
      <c r="N263" s="147" t="str">
        <f>VLOOKUP(H263,'Machine List'!$A$1:$I$300,8,FALSE)</f>
        <v>Tier</v>
      </c>
      <c r="O263" s="147">
        <f>IF(ISNUMBER(N263),N263,10^AB263)</f>
        <v>10</v>
      </c>
      <c r="P263" s="147">
        <f>IF(ISNUMBER(N263),N263,10^AV263)</f>
        <v>100000</v>
      </c>
      <c r="Q263" s="147">
        <f>VLOOKUP(H263,'Machine List'!$A$1:$B$138,2,FALSE)</f>
        <v>1</v>
      </c>
      <c r="R263" s="147" t="s">
        <v>277</v>
      </c>
      <c r="S263" s="143">
        <f>IF(ISNUMBER(Q263),Q263,
  SWITCH(
      Q263,
      "1",1,
      "2T",AB263*2,
      "4T",AB263*4,
      "6T",AB263*6,
      "8T",AB263*8,
      "10T",AB263*10,
      "12T",AB263*12,
      "14T",AB263*14,
      "16T",AB263*16,
      "24T",AB263*24,
      "2(T+1)",2*(AB263+1),
      "1T*C",AB263*J265,
      "2*P",L265*2,
      1
  )
)</f>
        <v>1</v>
      </c>
      <c r="T263" s="38" t="s">
        <v>277</v>
      </c>
      <c r="U263" s="147">
        <f>IF(OR(T263="No",T263=""),S263,T263)</f>
        <v>1</v>
      </c>
      <c r="V263" s="147">
        <f>IF(ISNUMBER(Q263),Q263,
  SWITCH(
      Q263,
      "1",1,
      "2T",AV263*2,
      "4T",AV263*4,
      "6T",AV263*6,
      "8T",AV263*8,
      "10T",AV263*10,
      "12T",AV263*12,
      "14T",AV263*14,
      "16T",AV263*16,
      "24T",AV263*24,
      "2(T+1)",2*(AV263+1),
      "1T*C",AV263*J265,
      "2*P",L265*2,
      1
  )
)</f>
        <v>1</v>
      </c>
      <c r="W263" s="147" t="str">
        <f>T263</f>
        <v>No</v>
      </c>
      <c r="X263" s="147">
        <f>IF(OR(W263="No",W263=""),V263,W263)</f>
        <v>1</v>
      </c>
      <c r="Y263" s="38">
        <f>VLOOKUP(H263,'Machine List'!$A$1:$C$138,3,FALSE)</f>
        <v>1</v>
      </c>
      <c r="Z263" s="38">
        <f>VLOOKUP(H263,'Machine List'!$A$1:$D$138,4,FALSE)</f>
        <v>1</v>
      </c>
      <c r="AA263" s="147" t="s">
        <v>390</v>
      </c>
      <c r="AB263" s="147">
        <f>VLOOKUP(AA263,'Item Helper Sheet'!$A$2:$B$16,2,FALSE)</f>
        <v>1</v>
      </c>
      <c r="AC263" s="147">
        <v>16.0</v>
      </c>
      <c r="AD263" s="147">
        <f>480*20</f>
        <v>9600</v>
      </c>
      <c r="AE263" s="147">
        <f>AD263*I265</f>
        <v>201600</v>
      </c>
      <c r="AF263" s="147">
        <f>AC263*AE263</f>
        <v>3225600</v>
      </c>
      <c r="AG263" s="148"/>
      <c r="AH263" s="147" t="str">
        <f>AA263</f>
        <v>01 - LV</v>
      </c>
      <c r="AI263" s="147">
        <v>1.0</v>
      </c>
      <c r="AJ263" s="147">
        <v>1.0</v>
      </c>
      <c r="AK263" s="147">
        <f>AJ263*8*4^AB263</f>
        <v>32</v>
      </c>
      <c r="AL263" s="147">
        <f>MIN(ROUNDDOWN(AK263/AN263,0),U263)</f>
        <v>1</v>
      </c>
      <c r="AM263" s="147">
        <f>IF(OR(T263="No",T263=""),AI263*S263,AI263*T263)</f>
        <v>1</v>
      </c>
      <c r="AN263" s="147">
        <f>ROUNDUP(AC263*VLOOKUP(H263,'Machine List'!$A$2:$D$219,4,FALSE),0)</f>
        <v>16</v>
      </c>
      <c r="AO263" s="147">
        <f>AN263*AM263</f>
        <v>16</v>
      </c>
      <c r="AP263" s="147">
        <f>ROUNDUP(AD263*I265,0)</f>
        <v>201600</v>
      </c>
      <c r="AQ263" s="38">
        <f>IF(ISNUMBER(Y263),ROUNDUP(AP263/Y263,0),
  SWITCH(
      Y263,
      "1+0.5C",ROUNDUP(AP263/(1+0.5*VLOOKUP(J265,'Machine Helper Sheet'!$G$1:$K$16,2,FALSE)),0),
      ROUNDUP(AP263/1,0)
  )
)</f>
        <v>201600</v>
      </c>
      <c r="AR263" s="147">
        <f>ROUNDUP(AQ263/AM263,0)</f>
        <v>201600</v>
      </c>
      <c r="AS263" s="147">
        <f>AO263*AR263</f>
        <v>3225600</v>
      </c>
      <c r="AT263" s="148"/>
      <c r="AU263" s="147" t="s">
        <v>405</v>
      </c>
      <c r="AV263" s="147">
        <f>VLOOKUP(AU263,'Item Helper Sheet'!$A$2:$B$16,2,FALSE)</f>
        <v>5</v>
      </c>
      <c r="AW263" s="147">
        <f>AI263</f>
        <v>1</v>
      </c>
      <c r="AX263" s="147">
        <v>1.0</v>
      </c>
      <c r="AY263" s="147">
        <f>AX263*8*4^AV263</f>
        <v>8192</v>
      </c>
      <c r="AZ263" s="147">
        <f>MIN(ROUNDDOWN(AY263/AN263,0),X263)</f>
        <v>1</v>
      </c>
      <c r="BA263" s="147">
        <f>AZ263*AW263</f>
        <v>1</v>
      </c>
      <c r="BB263" s="147">
        <f>AN263</f>
        <v>16</v>
      </c>
      <c r="BC263" s="147">
        <f>MIN(AV263-AB263,IF(AY263&gt;=BB264*4,
IF(AY263&gt;=BB264*4^2,
IF(AY263&gt;=BB264*4^3,
IF(AY263&gt;=BB264*4^4,
IF(AY263&gt;=BB264*4^5,
IF(AY263&gt;=BB264*4^6,
IF(AY263&gt;=BB264*4^7,
IF(AY263&gt;=BB264*4^8,
IF(AY263&gt;=BB264*4^9,
IF(AY263&gt;=BB264*4^10,
9),
8),
7),
6),
5),
4),
3),
2),
1),
0))</f>
        <v>4</v>
      </c>
      <c r="BD263" s="147">
        <f>BB263*AZ263*4^BC263</f>
        <v>4096</v>
      </c>
      <c r="BE263" s="147">
        <f>BD263*AW263</f>
        <v>4096</v>
      </c>
      <c r="BF263" s="143">
        <f>ROUNDUP(IF(R263="Yes",AP263/(2^((BC263)*2)),AP263/(2^(BC263))),0)</f>
        <v>12600</v>
      </c>
      <c r="BG263" s="45">
        <f>IF(ISNUMBER(Y263),ROUNDUP(BF263/Y263,0),
  SWITCH(
      Y263,
      "1+0.5C",ROUNDUP(BF263/(1+0.5*VLOOKUP(J265,'Machine Helper Sheet'!$G$1:$K$16,2,FALSE)),0),
      ROUNDUP(BF263/1,0)
  )
)</f>
        <v>12600</v>
      </c>
      <c r="BH263" s="143">
        <f>ROUNDUP(BG263/BA263,0)</f>
        <v>12600</v>
      </c>
      <c r="BI263" s="149">
        <f>BH263*BE263</f>
        <v>51609600</v>
      </c>
      <c r="BK263" s="22"/>
    </row>
    <row r="264">
      <c r="B264" s="150"/>
      <c r="C264" s="151" t="s">
        <v>33</v>
      </c>
      <c r="D264" s="147">
        <f>144*I265</f>
        <v>3024</v>
      </c>
      <c r="E264" s="147" t="s">
        <v>32</v>
      </c>
      <c r="F264" s="152">
        <f>1*I265</f>
        <v>21</v>
      </c>
      <c r="G264" s="138"/>
      <c r="H264" s="153" t="s">
        <v>584</v>
      </c>
      <c r="I264" s="143">
        <f t="array" ref="I264">match(TRUE,ISBLANK(F264:F276),0)-1</f>
        <v>1</v>
      </c>
      <c r="J264" s="154" t="s">
        <v>420</v>
      </c>
      <c r="K264" s="154" t="s">
        <v>585</v>
      </c>
      <c r="L264" s="100" t="s">
        <v>704</v>
      </c>
      <c r="M264" s="147"/>
      <c r="N264" s="147"/>
      <c r="O264" s="147"/>
      <c r="P264" s="147"/>
      <c r="Q264" s="147"/>
      <c r="R264" s="155"/>
      <c r="S264" s="155"/>
      <c r="T264" s="155"/>
      <c r="U264" s="143"/>
      <c r="V264" s="143"/>
      <c r="W264" s="143"/>
      <c r="X264" s="143"/>
      <c r="Y264" s="143"/>
      <c r="Z264" s="143"/>
      <c r="AA264" s="143"/>
      <c r="AB264" s="143"/>
      <c r="AC264" s="143"/>
      <c r="AD264" s="143"/>
      <c r="AE264" s="143"/>
      <c r="AF264" s="143"/>
      <c r="AG264" s="156"/>
      <c r="AH264" s="143"/>
      <c r="AI264" s="143"/>
      <c r="AJ264" s="143"/>
      <c r="AK264" s="143"/>
      <c r="AL264" s="143"/>
      <c r="AM264" s="143"/>
      <c r="AN264" s="143"/>
      <c r="AO264" s="143"/>
      <c r="AP264" s="143"/>
      <c r="AQ264" s="143"/>
      <c r="AR264" s="143"/>
      <c r="AS264" s="143"/>
      <c r="AT264" s="156"/>
      <c r="AU264" s="143"/>
      <c r="AV264" s="143"/>
      <c r="AW264" s="143"/>
      <c r="AX264" s="143"/>
      <c r="AY264" s="143"/>
      <c r="AZ264" s="143"/>
      <c r="BA264" s="143"/>
      <c r="BB264" s="143">
        <f>BB263*AZ263</f>
        <v>16</v>
      </c>
      <c r="BC264" s="143"/>
      <c r="BD264" s="143"/>
      <c r="BE264" s="143"/>
      <c r="BF264" s="143"/>
      <c r="BG264" s="143"/>
      <c r="BH264" s="143"/>
      <c r="BI264" s="149"/>
      <c r="BK264" s="22"/>
      <c r="BM264" s="6" t="s">
        <v>622</v>
      </c>
      <c r="BN264" s="6" t="s">
        <v>462</v>
      </c>
      <c r="BO264" s="6"/>
      <c r="BP264" s="6"/>
      <c r="BQ264" s="6"/>
      <c r="BR264" s="6"/>
      <c r="BS264" s="6"/>
      <c r="BT264" s="6"/>
      <c r="BU264" s="6"/>
      <c r="BV264" s="6"/>
      <c r="BW264" s="6"/>
      <c r="BX264" s="6"/>
      <c r="BY264" s="6"/>
      <c r="BZ264" s="6"/>
      <c r="CA264" s="6"/>
    </row>
    <row r="265">
      <c r="B265" s="150"/>
      <c r="C265" s="151"/>
      <c r="D265" s="147"/>
      <c r="E265" s="147"/>
      <c r="F265" s="152"/>
      <c r="G265" s="138"/>
      <c r="H265" s="157" t="s">
        <v>502</v>
      </c>
      <c r="I265" s="158">
        <v>21.0</v>
      </c>
      <c r="J265" s="154" t="s">
        <v>424</v>
      </c>
      <c r="K265" s="154">
        <v>0.0</v>
      </c>
      <c r="L265" s="100">
        <v>0.0</v>
      </c>
      <c r="M265" s="143"/>
      <c r="N265" s="143"/>
      <c r="O265" s="143"/>
      <c r="P265" s="143"/>
      <c r="Q265" s="143"/>
      <c r="R265" s="143"/>
      <c r="S265" s="155"/>
      <c r="T265" s="155"/>
      <c r="U265" s="143"/>
      <c r="V265" s="143"/>
      <c r="W265" s="143"/>
      <c r="X265" s="143"/>
      <c r="Y265" s="143"/>
      <c r="Z265" s="143"/>
      <c r="AA265" s="143"/>
      <c r="AB265" s="143"/>
      <c r="AC265" s="143"/>
      <c r="AD265" s="143"/>
      <c r="AE265" s="143"/>
      <c r="AF265" s="143"/>
      <c r="AG265" s="156"/>
      <c r="AH265" s="143"/>
      <c r="AI265" s="143"/>
      <c r="AJ265" s="143"/>
      <c r="AK265" s="143"/>
      <c r="AL265" s="143"/>
      <c r="AM265" s="143"/>
      <c r="AN265" s="143"/>
      <c r="AO265" s="143"/>
      <c r="AP265" s="143"/>
      <c r="AQ265" s="143"/>
      <c r="AR265" s="143"/>
      <c r="AS265" s="143"/>
      <c r="AT265" s="156"/>
      <c r="AU265" s="143"/>
      <c r="AV265" s="143"/>
      <c r="AW265" s="143"/>
      <c r="AX265" s="143"/>
      <c r="AY265" s="143"/>
      <c r="AZ265" s="143"/>
      <c r="BA265" s="143"/>
      <c r="BB265" s="143"/>
      <c r="BC265" s="143"/>
      <c r="BD265" s="143"/>
      <c r="BE265" s="143"/>
      <c r="BF265" s="143"/>
      <c r="BG265" s="143"/>
      <c r="BH265" s="143"/>
      <c r="BI265" s="149"/>
      <c r="BK265" s="22"/>
      <c r="BM265" s="6" t="s">
        <v>457</v>
      </c>
      <c r="BN265" s="140" t="s">
        <v>287</v>
      </c>
      <c r="BO265" s="140" t="s">
        <v>376</v>
      </c>
      <c r="BP265" s="140" t="s">
        <v>297</v>
      </c>
      <c r="BQ265" s="140" t="s">
        <v>298</v>
      </c>
      <c r="BR265" s="140" t="s">
        <v>301</v>
      </c>
      <c r="BS265" s="140" t="s">
        <v>309</v>
      </c>
      <c r="BT265" s="140" t="s">
        <v>310</v>
      </c>
      <c r="BU265" s="140" t="s">
        <v>379</v>
      </c>
      <c r="BV265" s="140" t="s">
        <v>349</v>
      </c>
      <c r="BW265" s="6" t="s">
        <v>350</v>
      </c>
      <c r="BX265" s="140" t="s">
        <v>351</v>
      </c>
      <c r="BY265" s="140" t="s">
        <v>356</v>
      </c>
      <c r="BZ265" s="6" t="s">
        <v>363</v>
      </c>
      <c r="CA265" s="6" t="s">
        <v>487</v>
      </c>
    </row>
    <row r="266">
      <c r="B266" s="135"/>
      <c r="C266" s="136"/>
      <c r="D266" s="137"/>
      <c r="E266" s="137"/>
      <c r="F266" s="137"/>
      <c r="G266" s="138"/>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c r="AD266" s="137"/>
      <c r="AE266" s="137"/>
      <c r="AF266" s="137"/>
      <c r="AG266" s="138"/>
      <c r="AH266" s="137"/>
      <c r="AI266" s="137"/>
      <c r="AJ266" s="137"/>
      <c r="AK266" s="137"/>
      <c r="AL266" s="137"/>
      <c r="AM266" s="137"/>
      <c r="AN266" s="137"/>
      <c r="AO266" s="137"/>
      <c r="AP266" s="137"/>
      <c r="AQ266" s="137"/>
      <c r="AR266" s="137"/>
      <c r="AS266" s="137"/>
      <c r="AT266" s="138"/>
      <c r="AU266" s="137"/>
      <c r="AV266" s="137"/>
      <c r="AW266" s="137"/>
      <c r="AX266" s="137"/>
      <c r="AY266" s="137"/>
      <c r="AZ266" s="137"/>
      <c r="BA266" s="137"/>
      <c r="BB266" s="137"/>
      <c r="BC266" s="137"/>
      <c r="BD266" s="137"/>
      <c r="BE266" s="137"/>
      <c r="BF266" s="137"/>
      <c r="BG266" s="137"/>
      <c r="BH266" s="137"/>
      <c r="BI266" s="139"/>
      <c r="BK266" s="22"/>
      <c r="BM266" s="6" t="s">
        <v>730</v>
      </c>
      <c r="BN266" s="6"/>
      <c r="BO266" s="6"/>
      <c r="BP266" s="6"/>
      <c r="BQ266" s="6"/>
      <c r="BR266" s="6"/>
      <c r="BS266" s="6"/>
      <c r="BT266" s="6"/>
      <c r="BU266" s="6"/>
      <c r="BV266" s="6"/>
      <c r="BW266" s="6"/>
      <c r="BX266" s="6"/>
      <c r="BY266" s="6"/>
      <c r="BZ266" s="6">
        <v>2.0</v>
      </c>
      <c r="CA266" s="6">
        <v>2.0</v>
      </c>
    </row>
    <row r="267">
      <c r="B267" s="141" t="s">
        <v>758</v>
      </c>
      <c r="C267" s="142"/>
      <c r="D267" s="143"/>
      <c r="E267" s="143"/>
      <c r="F267" s="144"/>
      <c r="G267" s="145"/>
      <c r="H267" s="146" t="s">
        <v>297</v>
      </c>
      <c r="I267" s="147" t="str">
        <f>VLOOKUP(H267,'Machine List'!$A$1:$I$300,9,FALSE)</f>
        <v>1T</v>
      </c>
      <c r="J267" s="147">
        <f>IF(VLOOKUP(H267,'Machine List'!$A$1:$I$300,5,FALSE)="Multi",IF(VLOOKUP(H267,'Machine List'!$A$1:$I$300,6,FALSE)="Yes",AI267*3*10^AB267,AI267*(2*3)*10^(AB267-1)),0)</f>
        <v>0</v>
      </c>
      <c r="K267" s="147">
        <f>J267+IF(ISNUMBER(I267),I267,
  SWITCH(
      I267,
      "1T",1*10^AB267,
      "2T",2*10^AB267,
      "3T",3*10^AB267,
      "4T",4*10^AB267,
      "4000+500(7O-5)",4000+500*(7*I268-5),
      "13500 + 16C",13500+16*VLOOKUP(J269,'Machine Helper Sheet'!$G$1:$K$16,5,FALSE),
      1
  )
)</f>
        <v>10</v>
      </c>
      <c r="L267" s="147">
        <f>IF(VLOOKUP(H267,'Machine List'!$A$1:$I$300,5,FALSE)="Multi",IF(VLOOKUP(H267,'Machine List'!$A$1:$I$300,6,FALSE)="Yes",AW267*3*10^AV267,AW267*(2*3)*10^(AV267-1)),0)</f>
        <v>0</v>
      </c>
      <c r="M267" s="147">
        <f>L267+IF(ISNUMBER(I267),I267,
  SWITCH(
      I267,
      "1T",1*10^AV267,
      "2T",2*10^AV267,
      "3T",3*10^AV267,
      "4T",4*10^AV267,
      "4000+500(7O-5)",4000+500*(7*I268-5),
      1
  )
)</f>
        <v>100000</v>
      </c>
      <c r="N267" s="147" t="str">
        <f>VLOOKUP(H267,'Machine List'!$A$1:$I$300,8,FALSE)</f>
        <v>Tier</v>
      </c>
      <c r="O267" s="147">
        <f>IF(ISNUMBER(N267),N267,10^AB267)</f>
        <v>10</v>
      </c>
      <c r="P267" s="147">
        <f>IF(ISNUMBER(N267),N267,10^AV267)</f>
        <v>100000</v>
      </c>
      <c r="Q267" s="147">
        <f>VLOOKUP(H267,'Machine List'!$A$1:$B$138,2,FALSE)</f>
        <v>1</v>
      </c>
      <c r="R267" s="147" t="s">
        <v>277</v>
      </c>
      <c r="S267" s="143">
        <f>IF(ISNUMBER(Q267),Q267,
  SWITCH(
      Q267,
      "1",1,
      "2T",AB267*2,
      "4T",AB267*4,
      "6T",AB267*6,
      "8T",AB267*8,
      "10T",AB267*10,
      "12T",AB267*12,
      "14T",AB267*14,
      "16T",AB267*16,
      "24T",AB267*24,
      "2(T+1)",2*(AB267+1),
      "1T*C",AB267*J269,
      "2*P",L269*2,
      1
  )
)</f>
        <v>1</v>
      </c>
      <c r="T267" s="38" t="s">
        <v>277</v>
      </c>
      <c r="U267" s="147">
        <f>IF(OR(T267="No",T267=""),S267,T267)</f>
        <v>1</v>
      </c>
      <c r="V267" s="147">
        <f>IF(ISNUMBER(Q267),Q267,
  SWITCH(
      Q267,
      "1",1,
      "2T",AV267*2,
      "4T",AV267*4,
      "6T",AV267*6,
      "8T",AV267*8,
      "10T",AV267*10,
      "12T",AV267*12,
      "14T",AV267*14,
      "16T",AV267*16,
      "24T",AV267*24,
      "2(T+1)",2*(AV267+1),
      "1T*C",AV267*J269,
      "2*P",L269*2,
      1
  )
)</f>
        <v>1</v>
      </c>
      <c r="W267" s="147" t="str">
        <f>T267</f>
        <v>No</v>
      </c>
      <c r="X267" s="147">
        <f>IF(OR(W267="No",W267=""),V267,W267)</f>
        <v>1</v>
      </c>
      <c r="Y267" s="38">
        <f>VLOOKUP(H267,'Machine List'!$A$1:$C$138,3,FALSE)</f>
        <v>1</v>
      </c>
      <c r="Z267" s="38">
        <f>VLOOKUP(H267,'Machine List'!$A$1:$D$138,4,FALSE)</f>
        <v>1</v>
      </c>
      <c r="AA267" s="147" t="s">
        <v>390</v>
      </c>
      <c r="AB267" s="147">
        <f>VLOOKUP(AA267,'Item Helper Sheet'!$A$2:$B$16,2,FALSE)</f>
        <v>1</v>
      </c>
      <c r="AC267" s="147">
        <v>16.0</v>
      </c>
      <c r="AD267" s="147">
        <f>480*20</f>
        <v>9600</v>
      </c>
      <c r="AE267" s="147">
        <f>AD267*I269</f>
        <v>201600</v>
      </c>
      <c r="AF267" s="147">
        <f>AC267*AE267</f>
        <v>3225600</v>
      </c>
      <c r="AG267" s="148"/>
      <c r="AH267" s="147" t="str">
        <f>AA267</f>
        <v>01 - LV</v>
      </c>
      <c r="AI267" s="147">
        <v>1.0</v>
      </c>
      <c r="AJ267" s="147">
        <v>1.0</v>
      </c>
      <c r="AK267" s="147">
        <f>AJ267*8*4^AB267</f>
        <v>32</v>
      </c>
      <c r="AL267" s="147">
        <f>MIN(ROUNDDOWN(AK267/AN267,0),U267)</f>
        <v>1</v>
      </c>
      <c r="AM267" s="147">
        <f>IF(OR(T267="No",T267=""),AI267*S267,AI267*T267)</f>
        <v>1</v>
      </c>
      <c r="AN267" s="147">
        <f>ROUNDUP(AC267*VLOOKUP(H267,'Machine List'!$A$2:$D$219,4,FALSE),0)</f>
        <v>16</v>
      </c>
      <c r="AO267" s="147">
        <f>AN267*AM267</f>
        <v>16</v>
      </c>
      <c r="AP267" s="147">
        <f>ROUNDUP(AD267*I269,0)</f>
        <v>201600</v>
      </c>
      <c r="AQ267" s="38">
        <f>IF(ISNUMBER(Y267),ROUNDUP(AP267/Y267,0),
  SWITCH(
      Y267,
      "1+0.5C",ROUNDUP(AP267/(1+0.5*VLOOKUP(J269,'Machine Helper Sheet'!$G$1:$K$16,2,FALSE)),0),
      ROUNDUP(AP267/1,0)
  )
)</f>
        <v>201600</v>
      </c>
      <c r="AR267" s="147">
        <f>ROUNDUP(AQ267/AM267,0)</f>
        <v>201600</v>
      </c>
      <c r="AS267" s="147">
        <f>AO267*AR267</f>
        <v>3225600</v>
      </c>
      <c r="AT267" s="148"/>
      <c r="AU267" s="147" t="s">
        <v>405</v>
      </c>
      <c r="AV267" s="147">
        <f>VLOOKUP(AU267,'Item Helper Sheet'!$A$2:$B$16,2,FALSE)</f>
        <v>5</v>
      </c>
      <c r="AW267" s="147">
        <f>AI267</f>
        <v>1</v>
      </c>
      <c r="AX267" s="147">
        <v>1.0</v>
      </c>
      <c r="AY267" s="147">
        <f>AX267*8*4^AV267</f>
        <v>8192</v>
      </c>
      <c r="AZ267" s="147">
        <f>MIN(ROUNDDOWN(AY267/AN267,0),X267)</f>
        <v>1</v>
      </c>
      <c r="BA267" s="147">
        <f>AZ267*AW267</f>
        <v>1</v>
      </c>
      <c r="BB267" s="147">
        <f>AN267</f>
        <v>16</v>
      </c>
      <c r="BC267" s="147">
        <f>MIN(AV267-AB267,IF(AY267&gt;=BB268*4,
IF(AY267&gt;=BB268*4^2,
IF(AY267&gt;=BB268*4^3,
IF(AY267&gt;=BB268*4^4,
IF(AY267&gt;=BB268*4^5,
IF(AY267&gt;=BB268*4^6,
IF(AY267&gt;=BB268*4^7,
IF(AY267&gt;=BB268*4^8,
IF(AY267&gt;=BB268*4^9,
IF(AY267&gt;=BB268*4^10,
9),
8),
7),
6),
5),
4),
3),
2),
1),
0))</f>
        <v>4</v>
      </c>
      <c r="BD267" s="147">
        <f>BB267*AZ267*4^BC267</f>
        <v>4096</v>
      </c>
      <c r="BE267" s="147">
        <f>BD267*AW267</f>
        <v>4096</v>
      </c>
      <c r="BF267" s="143">
        <f>ROUNDUP(IF(R267="Yes",AP267/(2^((BC267)*2)),AP267/(2^(BC267))),0)</f>
        <v>12600</v>
      </c>
      <c r="BG267" s="45">
        <f>IF(ISNUMBER(Y267),ROUNDUP(BF267/Y267,0),
  SWITCH(
      Y267,
      "1+0.5C",ROUNDUP(BF267/(1+0.5*VLOOKUP(J269,'Machine Helper Sheet'!$G$1:$K$16,2,FALSE)),0),
      ROUNDUP(BF267/1,0)
  )
)</f>
        <v>12600</v>
      </c>
      <c r="BH267" s="143">
        <f>ROUNDUP(BG267/BA267,0)</f>
        <v>12600</v>
      </c>
      <c r="BI267" s="149">
        <f>BH267*BE267</f>
        <v>51609600</v>
      </c>
      <c r="BK267" s="22"/>
      <c r="BM267" s="6" t="s">
        <v>731</v>
      </c>
      <c r="BN267" s="6"/>
      <c r="BO267" s="6"/>
      <c r="BP267" s="6"/>
      <c r="BQ267" s="6"/>
      <c r="BR267" s="6"/>
      <c r="BS267" s="6"/>
      <c r="BT267" s="6"/>
      <c r="BU267" s="6"/>
      <c r="BV267" s="6"/>
      <c r="BW267" s="6">
        <v>4.0</v>
      </c>
      <c r="BX267" s="6"/>
      <c r="BY267" s="6"/>
      <c r="BZ267" s="6"/>
      <c r="CA267" s="6">
        <v>4.0</v>
      </c>
    </row>
    <row r="268">
      <c r="B268" s="150"/>
      <c r="C268" s="151" t="s">
        <v>109</v>
      </c>
      <c r="D268" s="147">
        <f>144*I269</f>
        <v>3024</v>
      </c>
      <c r="E268" s="147" t="s">
        <v>108</v>
      </c>
      <c r="F268" s="152">
        <f>1*I269</f>
        <v>21</v>
      </c>
      <c r="G268" s="138"/>
      <c r="H268" s="153" t="s">
        <v>584</v>
      </c>
      <c r="I268" s="143">
        <f t="array" ref="I268">match(TRUE,ISBLANK(F268:F280),0)-1</f>
        <v>1</v>
      </c>
      <c r="J268" s="154" t="s">
        <v>420</v>
      </c>
      <c r="K268" s="154" t="s">
        <v>585</v>
      </c>
      <c r="L268" s="100" t="s">
        <v>704</v>
      </c>
      <c r="M268" s="147"/>
      <c r="N268" s="147"/>
      <c r="O268" s="147"/>
      <c r="P268" s="147"/>
      <c r="Q268" s="147"/>
      <c r="R268" s="155"/>
      <c r="S268" s="155"/>
      <c r="T268" s="155"/>
      <c r="U268" s="143"/>
      <c r="V268" s="143"/>
      <c r="W268" s="143"/>
      <c r="X268" s="143"/>
      <c r="Y268" s="143"/>
      <c r="Z268" s="143"/>
      <c r="AA268" s="143"/>
      <c r="AB268" s="143"/>
      <c r="AC268" s="143"/>
      <c r="AD268" s="143"/>
      <c r="AE268" s="143"/>
      <c r="AF268" s="143"/>
      <c r="AG268" s="156"/>
      <c r="AH268" s="143"/>
      <c r="AI268" s="143"/>
      <c r="AJ268" s="143"/>
      <c r="AK268" s="143"/>
      <c r="AL268" s="143"/>
      <c r="AM268" s="143"/>
      <c r="AN268" s="143"/>
      <c r="AO268" s="143"/>
      <c r="AP268" s="143"/>
      <c r="AQ268" s="143"/>
      <c r="AR268" s="143"/>
      <c r="AS268" s="143"/>
      <c r="AT268" s="156"/>
      <c r="AU268" s="143"/>
      <c r="AV268" s="143"/>
      <c r="AW268" s="143"/>
      <c r="AX268" s="143"/>
      <c r="AY268" s="143"/>
      <c r="AZ268" s="143"/>
      <c r="BA268" s="143"/>
      <c r="BB268" s="143">
        <f>BB267*AZ267</f>
        <v>16</v>
      </c>
      <c r="BC268" s="143"/>
      <c r="BD268" s="143"/>
      <c r="BE268" s="143"/>
      <c r="BF268" s="143"/>
      <c r="BG268" s="143"/>
      <c r="BH268" s="143"/>
      <c r="BI268" s="149"/>
      <c r="BK268" s="22"/>
      <c r="BM268" s="140" t="s">
        <v>733</v>
      </c>
      <c r="BN268" s="6"/>
      <c r="BO268" s="6"/>
      <c r="BP268" s="6"/>
      <c r="BQ268" s="6"/>
      <c r="BR268" s="6"/>
      <c r="BS268" s="6"/>
      <c r="BT268" s="6"/>
      <c r="BU268" s="6"/>
      <c r="BV268" s="6"/>
      <c r="BW268" s="6"/>
      <c r="BX268" s="6"/>
      <c r="BY268" s="140">
        <v>1.0</v>
      </c>
      <c r="BZ268" s="6"/>
      <c r="CA268" s="140">
        <v>1.0</v>
      </c>
    </row>
    <row r="269">
      <c r="B269" s="150"/>
      <c r="C269" s="151"/>
      <c r="D269" s="147"/>
      <c r="E269" s="147"/>
      <c r="F269" s="152"/>
      <c r="G269" s="138"/>
      <c r="H269" s="157" t="s">
        <v>502</v>
      </c>
      <c r="I269" s="158">
        <v>21.0</v>
      </c>
      <c r="J269" s="154" t="s">
        <v>424</v>
      </c>
      <c r="K269" s="154">
        <v>0.0</v>
      </c>
      <c r="L269" s="100">
        <v>0.0</v>
      </c>
      <c r="M269" s="143"/>
      <c r="N269" s="143"/>
      <c r="O269" s="143"/>
      <c r="P269" s="143"/>
      <c r="Q269" s="143"/>
      <c r="R269" s="143"/>
      <c r="S269" s="155"/>
      <c r="T269" s="155"/>
      <c r="U269" s="143"/>
      <c r="V269" s="143"/>
      <c r="W269" s="143"/>
      <c r="X269" s="143"/>
      <c r="Y269" s="143"/>
      <c r="Z269" s="143"/>
      <c r="AA269" s="143"/>
      <c r="AB269" s="143"/>
      <c r="AC269" s="143"/>
      <c r="AD269" s="143"/>
      <c r="AE269" s="143"/>
      <c r="AF269" s="143"/>
      <c r="AG269" s="156"/>
      <c r="AH269" s="143"/>
      <c r="AI269" s="143"/>
      <c r="AJ269" s="143"/>
      <c r="AK269" s="143"/>
      <c r="AL269" s="143"/>
      <c r="AM269" s="143"/>
      <c r="AN269" s="143"/>
      <c r="AO269" s="143"/>
      <c r="AP269" s="143"/>
      <c r="AQ269" s="143"/>
      <c r="AR269" s="143"/>
      <c r="AS269" s="143"/>
      <c r="AT269" s="156"/>
      <c r="AU269" s="143"/>
      <c r="AV269" s="143"/>
      <c r="AW269" s="143"/>
      <c r="AX269" s="143"/>
      <c r="AY269" s="143"/>
      <c r="AZ269" s="143"/>
      <c r="BA269" s="143"/>
      <c r="BB269" s="143"/>
      <c r="BC269" s="143"/>
      <c r="BD269" s="143"/>
      <c r="BE269" s="143"/>
      <c r="BF269" s="143"/>
      <c r="BG269" s="143"/>
      <c r="BH269" s="143"/>
      <c r="BI269" s="149"/>
      <c r="BK269" s="22"/>
      <c r="BM269" s="6" t="s">
        <v>734</v>
      </c>
      <c r="BN269" s="6"/>
      <c r="BO269" s="6"/>
      <c r="BP269" s="6"/>
      <c r="BQ269" s="6"/>
      <c r="BR269" s="6"/>
      <c r="BS269" s="6"/>
      <c r="BT269" s="6"/>
      <c r="BU269" s="6"/>
      <c r="BV269" s="6"/>
      <c r="BW269" s="6"/>
      <c r="BX269" s="6"/>
      <c r="BY269" s="6"/>
      <c r="BZ269" s="6">
        <v>2.0</v>
      </c>
      <c r="CA269" s="6">
        <v>2.0</v>
      </c>
    </row>
    <row r="270">
      <c r="B270" s="135"/>
      <c r="C270" s="136"/>
      <c r="D270" s="137"/>
      <c r="E270" s="137"/>
      <c r="F270" s="137"/>
      <c r="G270" s="138"/>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c r="AD270" s="137"/>
      <c r="AE270" s="137"/>
      <c r="AF270" s="137"/>
      <c r="AG270" s="138"/>
      <c r="AH270" s="137"/>
      <c r="AI270" s="137"/>
      <c r="AJ270" s="137"/>
      <c r="AK270" s="137"/>
      <c r="AL270" s="137"/>
      <c r="AM270" s="137"/>
      <c r="AN270" s="137"/>
      <c r="AO270" s="137"/>
      <c r="AP270" s="137"/>
      <c r="AQ270" s="137"/>
      <c r="AR270" s="137"/>
      <c r="AS270" s="137"/>
      <c r="AT270" s="138"/>
      <c r="AU270" s="137"/>
      <c r="AV270" s="137"/>
      <c r="AW270" s="137"/>
      <c r="AX270" s="137"/>
      <c r="AY270" s="137"/>
      <c r="AZ270" s="137"/>
      <c r="BA270" s="137"/>
      <c r="BB270" s="137"/>
      <c r="BC270" s="137"/>
      <c r="BD270" s="137"/>
      <c r="BE270" s="137"/>
      <c r="BF270" s="137"/>
      <c r="BG270" s="137"/>
      <c r="BH270" s="137"/>
      <c r="BI270" s="139"/>
      <c r="BK270" s="22"/>
      <c r="BM270" s="140" t="s">
        <v>735</v>
      </c>
      <c r="BN270" s="6"/>
      <c r="BO270" s="6"/>
      <c r="BP270" s="6"/>
      <c r="BQ270" s="6"/>
      <c r="BR270" s="6"/>
      <c r="BS270" s="6"/>
      <c r="BT270" s="6"/>
      <c r="BU270" s="6"/>
      <c r="BV270" s="140">
        <v>1.0</v>
      </c>
      <c r="BW270" s="6"/>
      <c r="BX270" s="6"/>
      <c r="BY270" s="6"/>
      <c r="BZ270" s="6"/>
      <c r="CA270" s="140">
        <v>1.0</v>
      </c>
    </row>
    <row r="271">
      <c r="B271" s="31" t="s">
        <v>759</v>
      </c>
      <c r="C271" s="54"/>
      <c r="D271" s="45"/>
      <c r="E271" s="45"/>
      <c r="F271" s="47"/>
      <c r="G271" s="35"/>
      <c r="H271" s="55" t="s">
        <v>363</v>
      </c>
      <c r="I271" s="38" t="str">
        <f>VLOOKUP(H271,'Machine List'!$A$1:$I$300,9,FALSE)</f>
        <v>1T</v>
      </c>
      <c r="J271" s="38">
        <f>IF(VLOOKUP(H271,'Machine List'!$A$1:$I$300,5,FALSE)="Multi",IF(VLOOKUP(H271,'Machine List'!$A$1:$I$300,6,FALSE)="Yes",AI271*3*10^AB271,AI271*(2*3)*10^(AB271-1)),0)</f>
        <v>60000</v>
      </c>
      <c r="K271" s="38">
        <f>J271+IF(ISNUMBER(I271),I271,
  SWITCH(
      I271,
      "1T",1*10^AB271,
      "2T",2*10^AB271,
      "3T",3*10^AB271,
      "4T",4*10^AB271,
      "4000+500(7O-5)",4000+500*(7*I272-5),
      "13500 + 16C",13500+16*VLOOKUP(J273,'Machine Helper Sheet'!$G$1:$K$16,5,FALSE),
      1
  )
)</f>
        <v>160000</v>
      </c>
      <c r="L271" s="38">
        <f>IF(VLOOKUP(H271,'Machine List'!$A$1:$I$300,5,FALSE)="Multi",IF(VLOOKUP(H271,'Machine List'!$A$1:$I$300,6,FALSE)="Yes",AW271*3*10^AV271,AW271*(2*3)*10^(AV271-1)),0)</f>
        <v>240000</v>
      </c>
      <c r="M271" s="38">
        <f>L271+IF(ISNUMBER(I271),I271,
  SWITCH(
      I271,
      "1T",1*10^AV271,
      "2T",2*10^AV271,
      "3T",3*10^AV271,
      "4T",4*10^AV271,
      "4000+500(7O-5)",4000+500*(7*I272-5),
      1
  )
)</f>
        <v>340000</v>
      </c>
      <c r="N271" s="38" t="str">
        <f>VLOOKUP(H271,'Machine List'!$A$1:$I$300,8,FALSE)</f>
        <v>Tier</v>
      </c>
      <c r="O271" s="38">
        <f>IF(ISNUMBER(N271),N271,10^AB271)</f>
        <v>100000</v>
      </c>
      <c r="P271" s="38">
        <f>IF(ISNUMBER(N271),N271,10^AV271)</f>
        <v>100000</v>
      </c>
      <c r="Q271" s="38">
        <f>VLOOKUP(H271,'Machine List'!$A$1:$B$138,2,FALSE)</f>
        <v>1</v>
      </c>
      <c r="R271" s="38" t="s">
        <v>277</v>
      </c>
      <c r="S271" s="45">
        <f>IF(ISNUMBER(Q271),Q271,
  SWITCH(
      Q271,
      "1",1,
      "2T",AB271*2,
      "4T",AB271*4,
      "6T",AB271*6,
      "8T",AB271*8,
      "10T",AB271*10,
      "12T",AB271*12,
      "14T",AB271*14,
      "16T",AB271*16,
      "24T",AB271*24,
      "2(T+1)",2*(AB271+1),
      "1T*C",AB271*J273,
      "2*P",L273*2,
      1
  )
)</f>
        <v>1</v>
      </c>
      <c r="T271" s="38" t="s">
        <v>277</v>
      </c>
      <c r="U271" s="38">
        <f>IF(OR(T271="No",T271=""),S271,T271)</f>
        <v>1</v>
      </c>
      <c r="V271" s="38">
        <f>IF(ISNUMBER(Q271),Q271,
  SWITCH(
      Q271,
      "1",1,
      "2T",AV271*2,
      "4T",AV271*4,
      "6T",AV271*6,
      "8T",AV271*8,
      "10T",AV271*10,
      "12T",AV271*12,
      "14T",AV271*14,
      "16T",AV271*16,
      "24T",AV271*24,
      "2(T+1)",2*(AV271+1),
      "1T*C",AV271*J273,
      "2*P",L273*2,
      1
  )
)</f>
        <v>1</v>
      </c>
      <c r="W271" s="38" t="str">
        <f>T271</f>
        <v>No</v>
      </c>
      <c r="X271" s="38">
        <f>IF(OR(W271="No",W271=""),V271,W271)</f>
        <v>1</v>
      </c>
      <c r="Y271" s="38">
        <f>VLOOKUP(H271,'Machine List'!$A$1:$C$138,3,FALSE)</f>
        <v>1</v>
      </c>
      <c r="Z271" s="38">
        <f>VLOOKUP(H271,'Machine List'!$A$1:$D$138,4,FALSE)</f>
        <v>1</v>
      </c>
      <c r="AA271" s="147" t="s">
        <v>405</v>
      </c>
      <c r="AB271" s="38">
        <f>VLOOKUP(AA271,'Item Helper Sheet'!$A$2:$B$16,2,FALSE)</f>
        <v>5</v>
      </c>
      <c r="AC271" s="147">
        <v>7680.0</v>
      </c>
      <c r="AD271" s="147">
        <f>2000*20</f>
        <v>40000</v>
      </c>
      <c r="AE271" s="38">
        <f>AD271*I273</f>
        <v>560000</v>
      </c>
      <c r="AF271" s="38">
        <f>AC271*AE271</f>
        <v>4300800000</v>
      </c>
      <c r="AG271" s="75"/>
      <c r="AH271" s="147" t="str">
        <f>AA271</f>
        <v>05 - IV</v>
      </c>
      <c r="AI271" s="38">
        <v>1.0</v>
      </c>
      <c r="AJ271" s="38">
        <v>1.0</v>
      </c>
      <c r="AK271" s="38">
        <f>AJ271*8*4^AB271</f>
        <v>8192</v>
      </c>
      <c r="AL271" s="38">
        <f>MIN(ROUNDDOWN(AK271/AN271,0),U271)</f>
        <v>1</v>
      </c>
      <c r="AM271" s="38">
        <f>IF(OR(T271="No",T271=""),AI271*S271,AI271*T271)</f>
        <v>1</v>
      </c>
      <c r="AN271" s="38">
        <f>ROUNDUP(AC271*VLOOKUP(H271,'Machine List'!$A$2:$D$219,4,FALSE),0)</f>
        <v>7680</v>
      </c>
      <c r="AO271" s="38">
        <f>AN271*AM271</f>
        <v>7680</v>
      </c>
      <c r="AP271" s="38">
        <f>ROUNDUP(AD271*I273,0)</f>
        <v>560000</v>
      </c>
      <c r="AQ271" s="38">
        <f>IF(ISNUMBER(Y271),ROUNDUP(AP271/Y271,0),
  SWITCH(
      Y271,
      "1+0.5C",ROUNDUP(AP271/(1+0.5*VLOOKUP(J273,'Machine Helper Sheet'!$G$1:$K$16,2,FALSE)),0),
      ROUNDUP(AP271/1,0)
  )
)</f>
        <v>560000</v>
      </c>
      <c r="AR271" s="38">
        <f>ROUNDUP(AQ271/AM271,0)</f>
        <v>560000</v>
      </c>
      <c r="AS271" s="38">
        <f>AO271*AR271</f>
        <v>4300800000</v>
      </c>
      <c r="AT271" s="75"/>
      <c r="AU271" s="38" t="s">
        <v>405</v>
      </c>
      <c r="AV271" s="38">
        <f>VLOOKUP(AU271,'Item Helper Sheet'!$A$2:$B$16,2,FALSE)</f>
        <v>5</v>
      </c>
      <c r="AW271" s="38">
        <v>4.0</v>
      </c>
      <c r="AX271" s="38">
        <v>1.0</v>
      </c>
      <c r="AY271" s="38">
        <f>AX271*8*4^AV271</f>
        <v>8192</v>
      </c>
      <c r="AZ271" s="38">
        <f>MIN(ROUNDDOWN(AY271/AN271,0),X271)</f>
        <v>1</v>
      </c>
      <c r="BA271" s="38">
        <f>AZ271*AW271</f>
        <v>4</v>
      </c>
      <c r="BB271" s="38">
        <f>AN271</f>
        <v>7680</v>
      </c>
      <c r="BC271" s="38">
        <f>MIN(AV271-AB271,IF(AY271&gt;=BB272*4,
IF(AY271&gt;=BB272*4^2,
IF(AY271&gt;=BB272*4^3,
IF(AY271&gt;=BB272*4^4,
IF(AY271&gt;=BB272*4^5,
IF(AY271&gt;=BB272*4^6,
IF(AY271&gt;=BB272*4^7,
IF(AY271&gt;=BB272*4^8,
IF(AY271&gt;=BB272*4^9,
IF(AY271&gt;=BB272*4^10,
9),
8),
7),
6),
5),
4),
3),
2),
1),
0))</f>
        <v>0</v>
      </c>
      <c r="BD271" s="38">
        <f>BB271*AZ271*4^BC271</f>
        <v>7680</v>
      </c>
      <c r="BE271" s="38">
        <f>BD271*AW271</f>
        <v>30720</v>
      </c>
      <c r="BF271" s="45">
        <f>ROUNDUP(IF(R271="Yes",AP271/(2^((BC271)*2)),AP271/(2^(BC271))),0)</f>
        <v>560000</v>
      </c>
      <c r="BG271" s="45">
        <f>IF(ISNUMBER(Y271),ROUNDUP(BF271/Y271,0),
  SWITCH(
      Y271,
      "1+0.5C",ROUNDUP(BF271/(1+0.5*VLOOKUP(J273,'Machine Helper Sheet'!$G$1:$K$16,2,FALSE)),0),
      ROUNDUP(BF271/1,0)
  )
)</f>
        <v>560000</v>
      </c>
      <c r="BH271" s="45">
        <f>ROUNDUP(BG271/BA271,0)</f>
        <v>140000</v>
      </c>
      <c r="BI271" s="46">
        <f>BH271*BE271</f>
        <v>4300800000</v>
      </c>
      <c r="BK271" s="22"/>
      <c r="BM271" s="140" t="s">
        <v>738</v>
      </c>
      <c r="BN271" s="6"/>
      <c r="BO271" s="6"/>
      <c r="BP271" s="6"/>
      <c r="BQ271" s="6"/>
      <c r="BR271" s="6"/>
      <c r="BS271" s="6"/>
      <c r="BT271" s="6"/>
      <c r="BU271" s="6"/>
      <c r="BV271" s="140">
        <v>1.0</v>
      </c>
      <c r="BW271" s="6"/>
      <c r="BX271" s="6"/>
      <c r="BY271" s="6"/>
      <c r="BZ271" s="6"/>
      <c r="CA271" s="140">
        <v>1.0</v>
      </c>
    </row>
    <row r="272">
      <c r="B272" s="40"/>
      <c r="C272" s="41" t="s">
        <v>109</v>
      </c>
      <c r="D272" s="38">
        <f>600*I273</f>
        <v>8400</v>
      </c>
      <c r="E272" s="38" t="s">
        <v>101</v>
      </c>
      <c r="F272" s="42">
        <f>1000*I273</f>
        <v>14000</v>
      </c>
      <c r="G272" s="43"/>
      <c r="H272" s="99" t="s">
        <v>584</v>
      </c>
      <c r="I272" s="45">
        <f t="array" ref="I272">match(TRUE,ISBLANK(F272:F283),0)-1</f>
        <v>1</v>
      </c>
      <c r="J272" s="100" t="s">
        <v>420</v>
      </c>
      <c r="K272" s="100" t="s">
        <v>585</v>
      </c>
      <c r="L272" s="100" t="s">
        <v>704</v>
      </c>
      <c r="M272" s="38"/>
      <c r="N272" s="38"/>
      <c r="O272" s="38"/>
      <c r="P272" s="38"/>
      <c r="Q272" s="38"/>
      <c r="R272" s="101"/>
      <c r="S272" s="101"/>
      <c r="T272" s="101"/>
      <c r="U272" s="45"/>
      <c r="V272" s="45"/>
      <c r="W272" s="45"/>
      <c r="X272" s="45"/>
      <c r="Y272" s="45"/>
      <c r="Z272" s="45"/>
      <c r="AA272" s="45"/>
      <c r="AB272" s="45"/>
      <c r="AC272" s="45"/>
      <c r="AD272" s="45"/>
      <c r="AE272" s="45"/>
      <c r="AF272" s="45"/>
      <c r="AG272" s="79"/>
      <c r="AH272" s="45"/>
      <c r="AI272" s="45"/>
      <c r="AJ272" s="45"/>
      <c r="AK272" s="45"/>
      <c r="AL272" s="45"/>
      <c r="AM272" s="45"/>
      <c r="AN272" s="45"/>
      <c r="AO272" s="45"/>
      <c r="AP272" s="45"/>
      <c r="AQ272" s="45"/>
      <c r="AR272" s="45"/>
      <c r="AS272" s="45"/>
      <c r="AT272" s="79"/>
      <c r="AU272" s="45"/>
      <c r="AV272" s="45"/>
      <c r="AW272" s="45"/>
      <c r="AX272" s="45"/>
      <c r="AY272" s="45"/>
      <c r="AZ272" s="45"/>
      <c r="BA272" s="45"/>
      <c r="BB272" s="45">
        <f>BB271*AZ271</f>
        <v>7680</v>
      </c>
      <c r="BC272" s="45"/>
      <c r="BD272" s="45"/>
      <c r="BE272" s="45"/>
      <c r="BF272" s="45"/>
      <c r="BG272" s="45"/>
      <c r="BH272" s="45"/>
      <c r="BI272" s="46"/>
      <c r="BK272" s="22"/>
      <c r="BM272" s="140" t="s">
        <v>739</v>
      </c>
      <c r="BN272" s="6"/>
      <c r="BO272" s="6"/>
      <c r="BP272" s="6"/>
      <c r="BQ272" s="6"/>
      <c r="BR272" s="6"/>
      <c r="BS272" s="6"/>
      <c r="BT272" s="140">
        <v>1.0</v>
      </c>
      <c r="BU272" s="6"/>
      <c r="BV272" s="6"/>
      <c r="BW272" s="6"/>
      <c r="BX272" s="6"/>
      <c r="BY272" s="6"/>
      <c r="BZ272" s="6"/>
      <c r="CA272" s="140">
        <v>1.0</v>
      </c>
    </row>
    <row r="273">
      <c r="B273" s="40"/>
      <c r="C273" s="41" t="s">
        <v>33</v>
      </c>
      <c r="D273" s="38">
        <f>250*I273</f>
        <v>3500</v>
      </c>
      <c r="E273" s="38"/>
      <c r="F273" s="42"/>
      <c r="G273" s="43"/>
      <c r="H273" s="56" t="s">
        <v>502</v>
      </c>
      <c r="I273" s="49">
        <v>14.0</v>
      </c>
      <c r="J273" s="100" t="s">
        <v>424</v>
      </c>
      <c r="K273" s="100">
        <v>0.0</v>
      </c>
      <c r="L273" s="100">
        <v>0.0</v>
      </c>
      <c r="M273" s="45"/>
      <c r="N273" s="45"/>
      <c r="O273" s="45"/>
      <c r="P273" s="45"/>
      <c r="Q273" s="45"/>
      <c r="R273" s="45"/>
      <c r="S273" s="101"/>
      <c r="T273" s="101"/>
      <c r="U273" s="45"/>
      <c r="V273" s="45"/>
      <c r="W273" s="45"/>
      <c r="X273" s="45"/>
      <c r="Y273" s="45"/>
      <c r="Z273" s="45"/>
      <c r="AA273" s="45"/>
      <c r="AB273" s="45"/>
      <c r="AC273" s="45"/>
      <c r="AD273" s="45"/>
      <c r="AE273" s="45"/>
      <c r="AF273" s="45"/>
      <c r="AG273" s="79"/>
      <c r="AH273" s="45"/>
      <c r="AI273" s="45"/>
      <c r="AJ273" s="45"/>
      <c r="AK273" s="45"/>
      <c r="AL273" s="45"/>
      <c r="AM273" s="45"/>
      <c r="AN273" s="45"/>
      <c r="AO273" s="45"/>
      <c r="AP273" s="45"/>
      <c r="AQ273" s="45"/>
      <c r="AR273" s="45"/>
      <c r="AS273" s="45"/>
      <c r="AT273" s="79"/>
      <c r="AU273" s="45"/>
      <c r="AV273" s="45"/>
      <c r="AW273" s="45"/>
      <c r="AX273" s="45"/>
      <c r="AY273" s="45"/>
      <c r="AZ273" s="45"/>
      <c r="BA273" s="45"/>
      <c r="BB273" s="45"/>
      <c r="BC273" s="45"/>
      <c r="BD273" s="45"/>
      <c r="BE273" s="45"/>
      <c r="BF273" s="45"/>
      <c r="BG273" s="45"/>
      <c r="BH273" s="45"/>
      <c r="BI273" s="46"/>
      <c r="BK273" s="22"/>
      <c r="BM273" s="140" t="s">
        <v>740</v>
      </c>
      <c r="BN273" s="6"/>
      <c r="BO273" s="6"/>
      <c r="BP273" s="6"/>
      <c r="BQ273" s="6"/>
      <c r="BR273" s="6"/>
      <c r="BS273" s="6"/>
      <c r="BT273" s="6"/>
      <c r="BU273" s="6"/>
      <c r="BV273" s="6"/>
      <c r="BW273" s="6"/>
      <c r="BX273" s="6"/>
      <c r="BY273" s="140">
        <v>1.0</v>
      </c>
      <c r="BZ273" s="6"/>
      <c r="CA273" s="140">
        <v>1.0</v>
      </c>
    </row>
    <row r="274">
      <c r="B274" s="40"/>
      <c r="C274" s="41" t="s">
        <v>260</v>
      </c>
      <c r="D274" s="38">
        <f>80*I273</f>
        <v>1120</v>
      </c>
      <c r="E274" s="38"/>
      <c r="F274" s="42"/>
      <c r="G274" s="43"/>
      <c r="H274" s="44"/>
      <c r="I274" s="45"/>
      <c r="J274" s="45"/>
      <c r="K274" s="45"/>
      <c r="L274" s="45"/>
      <c r="M274" s="45"/>
      <c r="N274" s="45"/>
      <c r="O274" s="45"/>
      <c r="P274" s="45"/>
      <c r="Q274" s="45"/>
      <c r="R274" s="45"/>
      <c r="S274" s="101"/>
      <c r="T274" s="101"/>
      <c r="U274" s="45"/>
      <c r="V274" s="45"/>
      <c r="W274" s="45"/>
      <c r="X274" s="45"/>
      <c r="Y274" s="45"/>
      <c r="Z274" s="45"/>
      <c r="AA274" s="45"/>
      <c r="AB274" s="45"/>
      <c r="AC274" s="45"/>
      <c r="AD274" s="45"/>
      <c r="AE274" s="45"/>
      <c r="AF274" s="45"/>
      <c r="AG274" s="79"/>
      <c r="AH274" s="45"/>
      <c r="AI274" s="45"/>
      <c r="AJ274" s="45"/>
      <c r="AK274" s="45"/>
      <c r="AL274" s="45"/>
      <c r="AM274" s="45"/>
      <c r="AN274" s="45"/>
      <c r="AO274" s="45"/>
      <c r="AP274" s="45"/>
      <c r="AQ274" s="45"/>
      <c r="AR274" s="45"/>
      <c r="AS274" s="45"/>
      <c r="AT274" s="79"/>
      <c r="AU274" s="45"/>
      <c r="AV274" s="45"/>
      <c r="AW274" s="45"/>
      <c r="AX274" s="45"/>
      <c r="AY274" s="45"/>
      <c r="AZ274" s="45"/>
      <c r="BA274" s="45"/>
      <c r="BB274" s="45"/>
      <c r="BC274" s="45"/>
      <c r="BD274" s="45"/>
      <c r="BE274" s="45"/>
      <c r="BF274" s="45"/>
      <c r="BG274" s="45"/>
      <c r="BH274" s="45"/>
      <c r="BI274" s="46"/>
      <c r="BK274" s="22"/>
      <c r="BM274" s="6" t="s">
        <v>741</v>
      </c>
      <c r="BN274" s="6"/>
      <c r="BO274" s="6"/>
      <c r="BP274" s="6"/>
      <c r="BQ274" s="6"/>
      <c r="BR274" s="6"/>
      <c r="BS274" s="6"/>
      <c r="BT274" s="6"/>
      <c r="BU274" s="6"/>
      <c r="BV274" s="6"/>
      <c r="BW274" s="6"/>
      <c r="BX274" s="6"/>
      <c r="BY274" s="6"/>
      <c r="BZ274" s="6">
        <v>2.0</v>
      </c>
      <c r="CA274" s="6">
        <v>2.0</v>
      </c>
    </row>
    <row r="275">
      <c r="B275" s="40"/>
      <c r="C275" s="41" t="s">
        <v>242</v>
      </c>
      <c r="D275" s="133">
        <f>70*I273</f>
        <v>980</v>
      </c>
      <c r="E275" s="38"/>
      <c r="F275" s="42"/>
      <c r="G275" s="43"/>
      <c r="H275" s="44"/>
      <c r="I275" s="45"/>
      <c r="J275" s="45"/>
      <c r="K275" s="45"/>
      <c r="L275" s="45"/>
      <c r="M275" s="45"/>
      <c r="N275" s="45"/>
      <c r="O275" s="45"/>
      <c r="P275" s="45"/>
      <c r="Q275" s="45"/>
      <c r="R275" s="45"/>
      <c r="S275" s="101"/>
      <c r="T275" s="101"/>
      <c r="U275" s="45"/>
      <c r="V275" s="45"/>
      <c r="W275" s="45"/>
      <c r="X275" s="45"/>
      <c r="Y275" s="45"/>
      <c r="Z275" s="45"/>
      <c r="AA275" s="45"/>
      <c r="AB275" s="45"/>
      <c r="AC275" s="45"/>
      <c r="AD275" s="45"/>
      <c r="AE275" s="45"/>
      <c r="AF275" s="45"/>
      <c r="AG275" s="79"/>
      <c r="AH275" s="45"/>
      <c r="AI275" s="45"/>
      <c r="AJ275" s="45"/>
      <c r="AK275" s="45"/>
      <c r="AL275" s="45"/>
      <c r="AM275" s="45"/>
      <c r="AN275" s="45"/>
      <c r="AO275" s="45"/>
      <c r="AP275" s="45"/>
      <c r="AQ275" s="45"/>
      <c r="AR275" s="45"/>
      <c r="AS275" s="45"/>
      <c r="AT275" s="79"/>
      <c r="AU275" s="45"/>
      <c r="AV275" s="45"/>
      <c r="AW275" s="45"/>
      <c r="AX275" s="45"/>
      <c r="AY275" s="45"/>
      <c r="AZ275" s="45"/>
      <c r="BA275" s="45"/>
      <c r="BB275" s="45"/>
      <c r="BC275" s="45"/>
      <c r="BD275" s="45"/>
      <c r="BE275" s="45"/>
      <c r="BF275" s="45"/>
      <c r="BG275" s="45"/>
      <c r="BH275" s="45"/>
      <c r="BI275" s="46"/>
      <c r="BK275" s="22"/>
      <c r="BM275" s="140" t="s">
        <v>742</v>
      </c>
      <c r="BN275" s="6"/>
      <c r="BO275" s="6"/>
      <c r="BP275" s="6"/>
      <c r="BQ275" s="6"/>
      <c r="BR275" s="6"/>
      <c r="BS275" s="6"/>
      <c r="BT275" s="6"/>
      <c r="BU275" s="6"/>
      <c r="BV275" s="140">
        <v>1.0</v>
      </c>
      <c r="BW275" s="6"/>
      <c r="BX275" s="6"/>
      <c r="BY275" s="6"/>
      <c r="BZ275" s="6"/>
      <c r="CA275" s="140">
        <v>1.0</v>
      </c>
    </row>
    <row r="276">
      <c r="B276" s="135"/>
      <c r="C276" s="136"/>
      <c r="D276" s="137"/>
      <c r="E276" s="137"/>
      <c r="F276" s="137"/>
      <c r="G276" s="138"/>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c r="AD276" s="137"/>
      <c r="AE276" s="137"/>
      <c r="AF276" s="137"/>
      <c r="AG276" s="138"/>
      <c r="AH276" s="137"/>
      <c r="AI276" s="137"/>
      <c r="AJ276" s="137"/>
      <c r="AK276" s="137"/>
      <c r="AL276" s="137"/>
      <c r="AM276" s="137"/>
      <c r="AN276" s="137"/>
      <c r="AO276" s="137"/>
      <c r="AP276" s="137"/>
      <c r="AQ276" s="137"/>
      <c r="AR276" s="137"/>
      <c r="AS276" s="137"/>
      <c r="AT276" s="138"/>
      <c r="AU276" s="137"/>
      <c r="AV276" s="137"/>
      <c r="AW276" s="137"/>
      <c r="AX276" s="137"/>
      <c r="AY276" s="137"/>
      <c r="AZ276" s="137"/>
      <c r="BA276" s="137"/>
      <c r="BB276" s="137"/>
      <c r="BC276" s="137"/>
      <c r="BD276" s="137"/>
      <c r="BE276" s="137"/>
      <c r="BF276" s="137"/>
      <c r="BG276" s="137"/>
      <c r="BH276" s="137"/>
      <c r="BI276" s="139"/>
      <c r="BK276" s="22"/>
      <c r="BM276" s="140" t="s">
        <v>743</v>
      </c>
      <c r="BN276" s="6"/>
      <c r="BO276" s="140">
        <v>1.0</v>
      </c>
      <c r="BP276" s="6"/>
      <c r="BQ276" s="6"/>
      <c r="BR276" s="6"/>
      <c r="BS276" s="6"/>
      <c r="BT276" s="6"/>
      <c r="BU276" s="6"/>
      <c r="BV276" s="6"/>
      <c r="BW276" s="6"/>
      <c r="BX276" s="6"/>
      <c r="BY276" s="6"/>
      <c r="BZ276" s="6"/>
      <c r="CA276" s="140">
        <v>1.0</v>
      </c>
    </row>
    <row r="277">
      <c r="B277" s="141" t="s">
        <v>760</v>
      </c>
      <c r="C277" s="142"/>
      <c r="D277" s="143"/>
      <c r="E277" s="143"/>
      <c r="F277" s="144"/>
      <c r="G277" s="145"/>
      <c r="H277" s="146" t="s">
        <v>309</v>
      </c>
      <c r="I277" s="147" t="str">
        <f>VLOOKUP(H277,'Machine List'!$A$1:$I$300,9,FALSE)</f>
        <v>1T</v>
      </c>
      <c r="J277" s="147">
        <f>IF(VLOOKUP(H277,'Machine List'!$A$1:$I$300,5,FALSE)="Multi",IF(VLOOKUP(H277,'Machine List'!$A$1:$I$300,6,FALSE)="Yes",AI277*3*10^AB277,AI277*(2*3)*10^(AB277-1)),0)</f>
        <v>0</v>
      </c>
      <c r="K277" s="147">
        <f>J277+IF(ISNUMBER(I277),I277,
  SWITCH(
      I277,
      "1T",1*10^AB277,
      "2T",2*10^AB277,
      "3T",3*10^AB277,
      "4T",4*10^AB277,
      "4000+500(7O-5)",4000+500*(7*I278-5),
      "13500 + 16C",13500+16*VLOOKUP(J279,'Machine Helper Sheet'!$G$1:$K$16,5,FALSE),
      1
  )
)</f>
        <v>1000</v>
      </c>
      <c r="L277" s="147">
        <f>IF(VLOOKUP(H277,'Machine List'!$A$1:$I$300,5,FALSE)="Multi",IF(VLOOKUP(H277,'Machine List'!$A$1:$I$300,6,FALSE)="Yes",AW277*3*10^AV277,AW277*(2*3)*10^(AV277-1)),0)</f>
        <v>0</v>
      </c>
      <c r="M277" s="147">
        <f>L277+IF(ISNUMBER(I277),I277,
  SWITCH(
      I277,
      "1T",1*10^AV277,
      "2T",2*10^AV277,
      "3T",3*10^AV277,
      "4T",4*10^AV277,
      "4000+500(7O-5)",4000+500*(7*I278-5),
      1
  )
)</f>
        <v>100000</v>
      </c>
      <c r="N277" s="147" t="str">
        <f>VLOOKUP(H277,'Machine List'!$A$1:$I$300,8,FALSE)</f>
        <v>Tier</v>
      </c>
      <c r="O277" s="147">
        <f>IF(ISNUMBER(N277),N277,10^AB277)</f>
        <v>1000</v>
      </c>
      <c r="P277" s="147">
        <f>IF(ISNUMBER(N277),N277,10^AV277)</f>
        <v>100000</v>
      </c>
      <c r="Q277" s="147">
        <f>VLOOKUP(H277,'Machine List'!$A$1:$B$138,2,FALSE)</f>
        <v>1</v>
      </c>
      <c r="R277" s="147" t="s">
        <v>277</v>
      </c>
      <c r="S277" s="143">
        <f>IF(ISNUMBER(Q277),Q277,
  SWITCH(
      Q277,
      "1",1,
      "2T",AB277*2,
      "4T",AB277*4,
      "6T",AB277*6,
      "8T",AB277*8,
      "10T",AB277*10,
      "12T",AB277*12,
      "14T",AB277*14,
      "16T",AB277*16,
      "24T",AB277*24,
      "2(T+1)",2*(AB277+1),
      "1T*C",AB277*J279,
      "2*P",L279*2,
      1
  )
)</f>
        <v>1</v>
      </c>
      <c r="T277" s="38" t="s">
        <v>277</v>
      </c>
      <c r="U277" s="147">
        <f>IF(OR(T277="No",T277=""),S277,T277)</f>
        <v>1</v>
      </c>
      <c r="V277" s="147">
        <f>IF(ISNUMBER(Q277),Q277,
  SWITCH(
      Q277,
      "1",1,
      "2T",AV277*2,
      "4T",AV277*4,
      "6T",AV277*6,
      "8T",AV277*8,
      "10T",AV277*10,
      "12T",AV277*12,
      "14T",AV277*14,
      "16T",AV277*16,
      "24T",AV277*24,
      "2(T+1)",2*(AV277+1),
      "1T*C",AV277*J279,
      "2*P",L279*2,
      1
  )
)</f>
        <v>1</v>
      </c>
      <c r="W277" s="147" t="str">
        <f>T277</f>
        <v>No</v>
      </c>
      <c r="X277" s="147">
        <f>IF(OR(W277="No",W277=""),V277,W277)</f>
        <v>1</v>
      </c>
      <c r="Y277" s="38">
        <f>VLOOKUP(H277,'Machine List'!$A$1:$C$138,3,FALSE)</f>
        <v>1</v>
      </c>
      <c r="Z277" s="38">
        <f>VLOOKUP(H277,'Machine List'!$A$1:$D$138,4,FALSE)</f>
        <v>1</v>
      </c>
      <c r="AA277" s="147" t="s">
        <v>397</v>
      </c>
      <c r="AB277" s="147">
        <f>VLOOKUP(AA277,'Item Helper Sheet'!$A$2:$B$16,2,FALSE)</f>
        <v>3</v>
      </c>
      <c r="AC277" s="147">
        <v>480.0</v>
      </c>
      <c r="AD277" s="147">
        <f>5*20</f>
        <v>100</v>
      </c>
      <c r="AE277" s="147">
        <f>AD277*I279</f>
        <v>5800</v>
      </c>
      <c r="AF277" s="147">
        <f>AC277*AE277</f>
        <v>2784000</v>
      </c>
      <c r="AG277" s="148"/>
      <c r="AH277" s="147" t="str">
        <f>AA277</f>
        <v>03 - HV</v>
      </c>
      <c r="AI277" s="147">
        <v>1.0</v>
      </c>
      <c r="AJ277" s="147">
        <v>1.0</v>
      </c>
      <c r="AK277" s="147">
        <f>AJ277*8*4^AB277</f>
        <v>512</v>
      </c>
      <c r="AL277" s="147">
        <f>MIN(ROUNDDOWN(AK277/AN277,0),U277)</f>
        <v>1</v>
      </c>
      <c r="AM277" s="147">
        <f>IF(OR(T277="No",T277=""),AI277*S277,AI277*T277)</f>
        <v>1</v>
      </c>
      <c r="AN277" s="147">
        <f>ROUNDUP(AC277*VLOOKUP(H277,'Machine List'!$A$2:$D$219,4,FALSE),0)</f>
        <v>480</v>
      </c>
      <c r="AO277" s="147">
        <f>AN277*AM277</f>
        <v>480</v>
      </c>
      <c r="AP277" s="147">
        <f>ROUNDUP(AD277*I279,0)</f>
        <v>5800</v>
      </c>
      <c r="AQ277" s="38">
        <f>IF(ISNUMBER(Y277),ROUNDUP(AP277/Y277,0),
  SWITCH(
      Y277,
      "1+0.5C",ROUNDUP(AP277/(1+0.5*VLOOKUP(J279,'Machine Helper Sheet'!$G$1:$K$16,2,FALSE)),0),
      ROUNDUP(AP277/1,0)
  )
)</f>
        <v>5800</v>
      </c>
      <c r="AR277" s="147">
        <f>ROUNDUP(AQ277/AM277,0)</f>
        <v>5800</v>
      </c>
      <c r="AS277" s="147">
        <f>AO277*AR277</f>
        <v>2784000</v>
      </c>
      <c r="AT277" s="148"/>
      <c r="AU277" s="147" t="s">
        <v>405</v>
      </c>
      <c r="AV277" s="147">
        <f>VLOOKUP(AU277,'Item Helper Sheet'!$A$2:$B$16,2,FALSE)</f>
        <v>5</v>
      </c>
      <c r="AW277" s="147">
        <f>AI277</f>
        <v>1</v>
      </c>
      <c r="AX277" s="147">
        <v>1.0</v>
      </c>
      <c r="AY277" s="147">
        <f>AX277*8*4^AV277</f>
        <v>8192</v>
      </c>
      <c r="AZ277" s="147">
        <f>MIN(ROUNDDOWN(AY277/AN277,0),X277)</f>
        <v>1</v>
      </c>
      <c r="BA277" s="147">
        <f>AZ277*AW277</f>
        <v>1</v>
      </c>
      <c r="BB277" s="147">
        <f>AN277</f>
        <v>480</v>
      </c>
      <c r="BC277" s="147">
        <f>MIN(AV277-AB277,IF(AY277&gt;=BB278*4,
IF(AY277&gt;=BB278*4^2,
IF(AY277&gt;=BB278*4^3,
IF(AY277&gt;=BB278*4^4,
IF(AY277&gt;=BB278*4^5,
IF(AY277&gt;=BB278*4^6,
IF(AY277&gt;=BB278*4^7,
IF(AY277&gt;=BB278*4^8,
IF(AY277&gt;=BB278*4^9,
IF(AY277&gt;=BB278*4^10,
9),
8),
7),
6),
5),
4),
3),
2),
1),
0))</f>
        <v>2</v>
      </c>
      <c r="BD277" s="147">
        <f>BB277*AZ277*4^BC277</f>
        <v>7680</v>
      </c>
      <c r="BE277" s="147">
        <f>BD277*AW277</f>
        <v>7680</v>
      </c>
      <c r="BF277" s="143">
        <f>ROUNDUP(IF(R277="Yes",AP277/(2^((BC277)*2)),AP277/(2^(BC277))),0)</f>
        <v>1450</v>
      </c>
      <c r="BG277" s="45">
        <f>IF(ISNUMBER(Y277),ROUNDUP(BF277/Y277,0),
  SWITCH(
      Y277,
      "1+0.5C",ROUNDUP(BF277/(1+0.5*VLOOKUP(J279,'Machine Helper Sheet'!$G$1:$K$16,2,FALSE)),0),
      ROUNDUP(BF277/1,0)
  )
)</f>
        <v>1450</v>
      </c>
      <c r="BH277" s="143">
        <f>ROUNDUP(BG277/BA277,0)</f>
        <v>1450</v>
      </c>
      <c r="BI277" s="149">
        <f>BH277*BE277</f>
        <v>11136000</v>
      </c>
      <c r="BK277" s="22"/>
      <c r="BM277" s="140" t="s">
        <v>744</v>
      </c>
      <c r="BN277" s="6"/>
      <c r="BO277" s="6"/>
      <c r="BP277" s="6"/>
      <c r="BQ277" s="140">
        <v>1.0</v>
      </c>
      <c r="BR277" s="6"/>
      <c r="BS277" s="6"/>
      <c r="BT277" s="6"/>
      <c r="BU277" s="6"/>
      <c r="BV277" s="6"/>
      <c r="BW277" s="6"/>
      <c r="BX277" s="6"/>
      <c r="BY277" s="6"/>
      <c r="BZ277" s="6"/>
      <c r="CA277" s="140">
        <v>1.0</v>
      </c>
    </row>
    <row r="278">
      <c r="B278" s="150"/>
      <c r="C278" s="151" t="s">
        <v>108</v>
      </c>
      <c r="D278" s="147">
        <f>1*I279</f>
        <v>58</v>
      </c>
      <c r="E278" s="147" t="s">
        <v>109</v>
      </c>
      <c r="F278" s="152">
        <f>144*I279</f>
        <v>8352</v>
      </c>
      <c r="G278" s="138"/>
      <c r="H278" s="153" t="s">
        <v>584</v>
      </c>
      <c r="I278" s="143">
        <f t="array" ref="I278">match(TRUE,ISBLANK(F278:F290),0)-1</f>
        <v>1</v>
      </c>
      <c r="J278" s="154" t="s">
        <v>420</v>
      </c>
      <c r="K278" s="154" t="s">
        <v>585</v>
      </c>
      <c r="L278" s="100" t="s">
        <v>704</v>
      </c>
      <c r="M278" s="147"/>
      <c r="N278" s="147"/>
      <c r="O278" s="147"/>
      <c r="P278" s="147"/>
      <c r="Q278" s="147"/>
      <c r="R278" s="155"/>
      <c r="S278" s="155"/>
      <c r="T278" s="155"/>
      <c r="U278" s="143"/>
      <c r="V278" s="143"/>
      <c r="W278" s="143"/>
      <c r="X278" s="143"/>
      <c r="Y278" s="143"/>
      <c r="Z278" s="143"/>
      <c r="AA278" s="143"/>
      <c r="AB278" s="143"/>
      <c r="AC278" s="143"/>
      <c r="AD278" s="143"/>
      <c r="AE278" s="143"/>
      <c r="AF278" s="143"/>
      <c r="AG278" s="156"/>
      <c r="AH278" s="143"/>
      <c r="AI278" s="143"/>
      <c r="AJ278" s="143"/>
      <c r="AK278" s="143"/>
      <c r="AL278" s="143"/>
      <c r="AM278" s="143"/>
      <c r="AN278" s="143"/>
      <c r="AO278" s="143"/>
      <c r="AP278" s="143"/>
      <c r="AQ278" s="143"/>
      <c r="AR278" s="143"/>
      <c r="AS278" s="143"/>
      <c r="AT278" s="156"/>
      <c r="AU278" s="143"/>
      <c r="AV278" s="143"/>
      <c r="AW278" s="143"/>
      <c r="AX278" s="143"/>
      <c r="AY278" s="143"/>
      <c r="AZ278" s="143"/>
      <c r="BA278" s="143"/>
      <c r="BB278" s="143">
        <f>BB277*AZ277</f>
        <v>480</v>
      </c>
      <c r="BC278" s="143"/>
      <c r="BD278" s="143"/>
      <c r="BE278" s="143"/>
      <c r="BF278" s="143"/>
      <c r="BG278" s="143"/>
      <c r="BH278" s="143"/>
      <c r="BI278" s="149"/>
      <c r="BK278" s="22"/>
      <c r="BM278" s="140" t="s">
        <v>745</v>
      </c>
      <c r="BN278" s="6"/>
      <c r="BO278" s="140">
        <v>1.0</v>
      </c>
      <c r="BP278" s="6"/>
      <c r="BQ278" s="6"/>
      <c r="BR278" s="6"/>
      <c r="BS278" s="6"/>
      <c r="BT278" s="6"/>
      <c r="BU278" s="6"/>
      <c r="BV278" s="6"/>
      <c r="BW278" s="6"/>
      <c r="BX278" s="6"/>
      <c r="BY278" s="6"/>
      <c r="BZ278" s="6"/>
      <c r="CA278" s="140">
        <v>1.0</v>
      </c>
    </row>
    <row r="279">
      <c r="B279" s="150"/>
      <c r="C279" s="151"/>
      <c r="D279" s="147"/>
      <c r="E279" s="147"/>
      <c r="F279" s="152"/>
      <c r="G279" s="138"/>
      <c r="H279" s="157" t="s">
        <v>502</v>
      </c>
      <c r="I279" s="158">
        <v>58.0</v>
      </c>
      <c r="J279" s="154" t="s">
        <v>424</v>
      </c>
      <c r="K279" s="154">
        <v>0.0</v>
      </c>
      <c r="L279" s="100">
        <v>0.0</v>
      </c>
      <c r="M279" s="143"/>
      <c r="N279" s="143"/>
      <c r="O279" s="143"/>
      <c r="P279" s="143"/>
      <c r="Q279" s="143"/>
      <c r="R279" s="143"/>
      <c r="S279" s="155"/>
      <c r="T279" s="155"/>
      <c r="U279" s="143"/>
      <c r="V279" s="143"/>
      <c r="W279" s="143"/>
      <c r="X279" s="143"/>
      <c r="Y279" s="143"/>
      <c r="Z279" s="143"/>
      <c r="AA279" s="143"/>
      <c r="AB279" s="143"/>
      <c r="AC279" s="143"/>
      <c r="AD279" s="143"/>
      <c r="AE279" s="143"/>
      <c r="AF279" s="143"/>
      <c r="AG279" s="156"/>
      <c r="AH279" s="143"/>
      <c r="AI279" s="143"/>
      <c r="AJ279" s="143"/>
      <c r="AK279" s="143"/>
      <c r="AL279" s="143"/>
      <c r="AM279" s="143"/>
      <c r="AN279" s="143"/>
      <c r="AO279" s="143"/>
      <c r="AP279" s="143"/>
      <c r="AQ279" s="143"/>
      <c r="AR279" s="143"/>
      <c r="AS279" s="143"/>
      <c r="AT279" s="156"/>
      <c r="AU279" s="143"/>
      <c r="AV279" s="143"/>
      <c r="AW279" s="143"/>
      <c r="AX279" s="143"/>
      <c r="AY279" s="143"/>
      <c r="AZ279" s="143"/>
      <c r="BA279" s="143"/>
      <c r="BB279" s="143"/>
      <c r="BC279" s="143"/>
      <c r="BD279" s="143"/>
      <c r="BE279" s="143"/>
      <c r="BF279" s="143"/>
      <c r="BG279" s="143"/>
      <c r="BH279" s="143"/>
      <c r="BI279" s="149"/>
      <c r="BK279" s="22"/>
      <c r="BM279" s="140" t="s">
        <v>721</v>
      </c>
      <c r="BN279" s="140">
        <v>1.0</v>
      </c>
      <c r="BO279" s="6"/>
      <c r="BP279" s="6"/>
      <c r="BQ279" s="6"/>
      <c r="BR279" s="6"/>
      <c r="BS279" s="6"/>
      <c r="BT279" s="6"/>
      <c r="BU279" s="6"/>
      <c r="BV279" s="6"/>
      <c r="BW279" s="6"/>
      <c r="BX279" s="6"/>
      <c r="BY279" s="6"/>
      <c r="BZ279" s="6"/>
      <c r="CA279" s="140">
        <v>1.0</v>
      </c>
    </row>
    <row r="280">
      <c r="B280" s="135"/>
      <c r="C280" s="136"/>
      <c r="D280" s="137"/>
      <c r="E280" s="137"/>
      <c r="F280" s="137"/>
      <c r="G280" s="138"/>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c r="AG280" s="138"/>
      <c r="AH280" s="137"/>
      <c r="AI280" s="137"/>
      <c r="AJ280" s="137"/>
      <c r="AK280" s="137"/>
      <c r="AL280" s="137"/>
      <c r="AM280" s="137"/>
      <c r="AN280" s="137"/>
      <c r="AO280" s="137"/>
      <c r="AP280" s="137"/>
      <c r="AQ280" s="137"/>
      <c r="AR280" s="137"/>
      <c r="AS280" s="137"/>
      <c r="AT280" s="138"/>
      <c r="AU280" s="137"/>
      <c r="AV280" s="137"/>
      <c r="AW280" s="137"/>
      <c r="AX280" s="137"/>
      <c r="AY280" s="137"/>
      <c r="AZ280" s="137"/>
      <c r="BA280" s="137"/>
      <c r="BB280" s="137"/>
      <c r="BC280" s="137"/>
      <c r="BD280" s="137"/>
      <c r="BE280" s="137"/>
      <c r="BF280" s="137"/>
      <c r="BG280" s="137"/>
      <c r="BH280" s="137"/>
      <c r="BI280" s="139"/>
      <c r="BK280" s="22"/>
      <c r="BM280" s="140" t="s">
        <v>722</v>
      </c>
      <c r="BN280" s="6"/>
      <c r="BO280" s="6"/>
      <c r="BP280" s="6"/>
      <c r="BQ280" s="6"/>
      <c r="BR280" s="6"/>
      <c r="BS280" s="6"/>
      <c r="BT280" s="6"/>
      <c r="BU280" s="6"/>
      <c r="BV280" s="6"/>
      <c r="BW280" s="6"/>
      <c r="BX280" s="140">
        <v>1.0</v>
      </c>
      <c r="BY280" s="6"/>
      <c r="BZ280" s="6"/>
      <c r="CA280" s="140">
        <v>1.0</v>
      </c>
    </row>
    <row r="281">
      <c r="B281" s="141" t="s">
        <v>761</v>
      </c>
      <c r="C281" s="142"/>
      <c r="D281" s="143"/>
      <c r="E281" s="143"/>
      <c r="F281" s="144"/>
      <c r="G281" s="145"/>
      <c r="H281" s="146" t="s">
        <v>309</v>
      </c>
      <c r="I281" s="147" t="str">
        <f>VLOOKUP(H281,'Machine List'!$A$1:$I$300,9,FALSE)</f>
        <v>1T</v>
      </c>
      <c r="J281" s="147">
        <f>IF(VLOOKUP(H281,'Machine List'!$A$1:$I$300,5,FALSE)="Multi",IF(VLOOKUP(H281,'Machine List'!$A$1:$I$300,6,FALSE)="Yes",AI281*3*10^AB281,AI281*(2*3)*10^(AB281-1)),0)</f>
        <v>0</v>
      </c>
      <c r="K281" s="147">
        <f>J281+IF(ISNUMBER(I281),I281,
  SWITCH(
      I281,
      "1T",1*10^AB281,
      "2T",2*10^AB281,
      "3T",3*10^AB281,
      "4T",4*10^AB281,
      "4000+500(7O-5)",4000+500*(7*I282-5),
      "13500 + 16C",13500+16*VLOOKUP(J283,'Machine Helper Sheet'!$G$1:$K$16,5,FALSE),
      1
  )
)</f>
        <v>1000</v>
      </c>
      <c r="L281" s="147">
        <f>IF(VLOOKUP(H281,'Machine List'!$A$1:$I$300,5,FALSE)="Multi",IF(VLOOKUP(H281,'Machine List'!$A$1:$I$300,6,FALSE)="Yes",AW281*3*10^AV281,AW281*(2*3)*10^(AV281-1)),0)</f>
        <v>0</v>
      </c>
      <c r="M281" s="147">
        <f>L281+IF(ISNUMBER(I281),I281,
  SWITCH(
      I281,
      "1T",1*10^AV281,
      "2T",2*10^AV281,
      "3T",3*10^AV281,
      "4T",4*10^AV281,
      "4000+500(7O-5)",4000+500*(7*I282-5),
      1
  )
)</f>
        <v>100000</v>
      </c>
      <c r="N281" s="147" t="str">
        <f>VLOOKUP(H281,'Machine List'!$A$1:$I$300,8,FALSE)</f>
        <v>Tier</v>
      </c>
      <c r="O281" s="147">
        <f>IF(ISNUMBER(N281),N281,10^AB281)</f>
        <v>1000</v>
      </c>
      <c r="P281" s="147">
        <f>IF(ISNUMBER(N281),N281,10^AV281)</f>
        <v>100000</v>
      </c>
      <c r="Q281" s="147">
        <f>VLOOKUP(H281,'Machine List'!$A$1:$B$138,2,FALSE)</f>
        <v>1</v>
      </c>
      <c r="R281" s="147" t="s">
        <v>277</v>
      </c>
      <c r="S281" s="143">
        <f>IF(ISNUMBER(Q281),Q281,
  SWITCH(
      Q281,
      "1",1,
      "2T",AB281*2,
      "4T",AB281*4,
      "6T",AB281*6,
      "8T",AB281*8,
      "10T",AB281*10,
      "12T",AB281*12,
      "14T",AB281*14,
      "16T",AB281*16,
      "24T",AB281*24,
      "2(T+1)",2*(AB281+1),
      "1T*C",AB281*J283,
      "2*P",L283*2,
      1
  )
)</f>
        <v>1</v>
      </c>
      <c r="T281" s="38" t="s">
        <v>277</v>
      </c>
      <c r="U281" s="147">
        <f>IF(OR(T281="No",T281=""),S281,T281)</f>
        <v>1</v>
      </c>
      <c r="V281" s="147">
        <f>IF(ISNUMBER(Q281),Q281,
  SWITCH(
      Q281,
      "1",1,
      "2T",AV281*2,
      "4T",AV281*4,
      "6T",AV281*6,
      "8T",AV281*8,
      "10T",AV281*10,
      "12T",AV281*12,
      "14T",AV281*14,
      "16T",AV281*16,
      "24T",AV281*24,
      "2(T+1)",2*(AV281+1),
      "1T*C",AV281*J283,
      "2*P",L283*2,
      1
  )
)</f>
        <v>1</v>
      </c>
      <c r="W281" s="147" t="str">
        <f>T281</f>
        <v>No</v>
      </c>
      <c r="X281" s="147">
        <f>IF(OR(W281="No",W281=""),V281,W281)</f>
        <v>1</v>
      </c>
      <c r="Y281" s="38">
        <f>VLOOKUP(H281,'Machine List'!$A$1:$C$138,3,FALSE)</f>
        <v>1</v>
      </c>
      <c r="Z281" s="38">
        <f>VLOOKUP(H281,'Machine List'!$A$1:$D$138,4,FALSE)</f>
        <v>1</v>
      </c>
      <c r="AA281" s="147" t="s">
        <v>397</v>
      </c>
      <c r="AB281" s="147">
        <f>VLOOKUP(AA281,'Item Helper Sheet'!$A$2:$B$16,2,FALSE)</f>
        <v>3</v>
      </c>
      <c r="AC281" s="147">
        <v>480.0</v>
      </c>
      <c r="AD281" s="147">
        <f>5*20</f>
        <v>100</v>
      </c>
      <c r="AE281" s="147">
        <f>AD281*I283</f>
        <v>2400</v>
      </c>
      <c r="AF281" s="147">
        <f>AC281*AE281</f>
        <v>1152000</v>
      </c>
      <c r="AG281" s="148"/>
      <c r="AH281" s="147" t="str">
        <f>AA281</f>
        <v>03 - HV</v>
      </c>
      <c r="AI281" s="147">
        <v>1.0</v>
      </c>
      <c r="AJ281" s="147">
        <v>1.0</v>
      </c>
      <c r="AK281" s="147">
        <f>AJ281*8*4^AB281</f>
        <v>512</v>
      </c>
      <c r="AL281" s="147">
        <f>MIN(ROUNDDOWN(AK281/AN281,0),U281)</f>
        <v>1</v>
      </c>
      <c r="AM281" s="147">
        <f>IF(OR(T281="No",T281=""),AI281*S281,AI281*T281)</f>
        <v>1</v>
      </c>
      <c r="AN281" s="147">
        <f>ROUNDUP(AC281*VLOOKUP(H281,'Machine List'!$A$2:$D$219,4,FALSE),0)</f>
        <v>480</v>
      </c>
      <c r="AO281" s="147">
        <f>AN281*AM281</f>
        <v>480</v>
      </c>
      <c r="AP281" s="147">
        <f>ROUNDUP(AD281*I283,0)</f>
        <v>2400</v>
      </c>
      <c r="AQ281" s="38">
        <f>IF(ISNUMBER(Y281),ROUNDUP(AP281/Y281,0),
  SWITCH(
      Y281,
      "1+0.5C",ROUNDUP(AP281/(1+0.5*VLOOKUP(J283,'Machine Helper Sheet'!$G$1:$K$16,2,FALSE)),0),
      ROUNDUP(AP281/1,0)
  )
)</f>
        <v>2400</v>
      </c>
      <c r="AR281" s="147">
        <f>ROUNDUP(AQ281/AM281,0)</f>
        <v>2400</v>
      </c>
      <c r="AS281" s="147">
        <f>AO281*AR281</f>
        <v>1152000</v>
      </c>
      <c r="AT281" s="148"/>
      <c r="AU281" s="147" t="s">
        <v>405</v>
      </c>
      <c r="AV281" s="147">
        <f>VLOOKUP(AU281,'Item Helper Sheet'!$A$2:$B$16,2,FALSE)</f>
        <v>5</v>
      </c>
      <c r="AW281" s="147">
        <f>AI281</f>
        <v>1</v>
      </c>
      <c r="AX281" s="147">
        <v>1.0</v>
      </c>
      <c r="AY281" s="147">
        <f>AX281*8*4^AV281</f>
        <v>8192</v>
      </c>
      <c r="AZ281" s="147">
        <f>MIN(ROUNDDOWN(AY281/AN281,0),X281)</f>
        <v>1</v>
      </c>
      <c r="BA281" s="147">
        <f>AZ281*AW281</f>
        <v>1</v>
      </c>
      <c r="BB281" s="147">
        <f>AN281</f>
        <v>480</v>
      </c>
      <c r="BC281" s="147">
        <f>MIN(AV281-AB281,IF(AY281&gt;=BB282*4,
IF(AY281&gt;=BB282*4^2,
IF(AY281&gt;=BB282*4^3,
IF(AY281&gt;=BB282*4^4,
IF(AY281&gt;=BB282*4^5,
IF(AY281&gt;=BB282*4^6,
IF(AY281&gt;=BB282*4^7,
IF(AY281&gt;=BB282*4^8,
IF(AY281&gt;=BB282*4^9,
IF(AY281&gt;=BB282*4^10,
9),
8),
7),
6),
5),
4),
3),
2),
1),
0))</f>
        <v>2</v>
      </c>
      <c r="BD281" s="147">
        <f>BB281*AZ281*4^BC281</f>
        <v>7680</v>
      </c>
      <c r="BE281" s="147">
        <f>BD281*AW281</f>
        <v>7680</v>
      </c>
      <c r="BF281" s="143">
        <f>ROUNDUP(IF(R281="Yes",AP281/(2^((BC281)*2)),AP281/(2^(BC281))),0)</f>
        <v>600</v>
      </c>
      <c r="BG281" s="45">
        <f>IF(ISNUMBER(Y281),ROUNDUP(BF281/Y281,0),
  SWITCH(
      Y281,
      "1+0.5C",ROUNDUP(BF281/(1+0.5*VLOOKUP(J283,'Machine Helper Sheet'!$G$1:$K$16,2,FALSE)),0),
      ROUNDUP(BF281/1,0)
  )
)</f>
        <v>600</v>
      </c>
      <c r="BH281" s="143">
        <f>ROUNDUP(BG281/BA281,0)</f>
        <v>600</v>
      </c>
      <c r="BI281" s="149">
        <f>BH281*BE281</f>
        <v>4608000</v>
      </c>
      <c r="BK281" s="22"/>
      <c r="BM281" s="140" t="s">
        <v>723</v>
      </c>
      <c r="BN281" s="6"/>
      <c r="BO281" s="6"/>
      <c r="BP281" s="6"/>
      <c r="BQ281" s="6"/>
      <c r="BR281" s="140">
        <v>1.0</v>
      </c>
      <c r="BS281" s="6"/>
      <c r="BT281" s="6"/>
      <c r="BU281" s="6"/>
      <c r="BV281" s="6"/>
      <c r="BW281" s="6"/>
      <c r="BX281" s="6"/>
      <c r="BY281" s="6"/>
      <c r="BZ281" s="6"/>
      <c r="CA281" s="140">
        <v>1.0</v>
      </c>
    </row>
    <row r="282">
      <c r="B282" s="150"/>
      <c r="C282" s="151" t="s">
        <v>32</v>
      </c>
      <c r="D282" s="147">
        <f>1*I283</f>
        <v>24</v>
      </c>
      <c r="E282" s="147" t="s">
        <v>33</v>
      </c>
      <c r="F282" s="152">
        <f>144*I283</f>
        <v>3456</v>
      </c>
      <c r="G282" s="138"/>
      <c r="H282" s="153" t="s">
        <v>584</v>
      </c>
      <c r="I282" s="143">
        <f t="array" ref="I282">match(TRUE,ISBLANK(F282:F294),0)-1</f>
        <v>1</v>
      </c>
      <c r="J282" s="154" t="s">
        <v>420</v>
      </c>
      <c r="K282" s="154" t="s">
        <v>585</v>
      </c>
      <c r="L282" s="100" t="s">
        <v>704</v>
      </c>
      <c r="M282" s="147"/>
      <c r="N282" s="147"/>
      <c r="O282" s="147"/>
      <c r="P282" s="147"/>
      <c r="Q282" s="147"/>
      <c r="R282" s="155"/>
      <c r="S282" s="155"/>
      <c r="T282" s="155"/>
      <c r="U282" s="143"/>
      <c r="V282" s="143"/>
      <c r="W282" s="143"/>
      <c r="X282" s="143"/>
      <c r="Y282" s="143"/>
      <c r="Z282" s="143"/>
      <c r="AA282" s="143"/>
      <c r="AB282" s="143"/>
      <c r="AC282" s="143"/>
      <c r="AD282" s="143"/>
      <c r="AE282" s="143"/>
      <c r="AF282" s="143"/>
      <c r="AG282" s="156"/>
      <c r="AH282" s="143"/>
      <c r="AI282" s="143"/>
      <c r="AJ282" s="143"/>
      <c r="AK282" s="143"/>
      <c r="AL282" s="143"/>
      <c r="AM282" s="143"/>
      <c r="AN282" s="143"/>
      <c r="AO282" s="143"/>
      <c r="AP282" s="143"/>
      <c r="AQ282" s="143"/>
      <c r="AR282" s="143"/>
      <c r="AS282" s="143"/>
      <c r="AT282" s="156"/>
      <c r="AU282" s="143"/>
      <c r="AV282" s="143"/>
      <c r="AW282" s="143"/>
      <c r="AX282" s="143"/>
      <c r="AY282" s="143"/>
      <c r="AZ282" s="143"/>
      <c r="BA282" s="143"/>
      <c r="BB282" s="143">
        <f>BB281*AZ281</f>
        <v>480</v>
      </c>
      <c r="BC282" s="143"/>
      <c r="BD282" s="143"/>
      <c r="BE282" s="143"/>
      <c r="BF282" s="143"/>
      <c r="BG282" s="143"/>
      <c r="BH282" s="143"/>
      <c r="BI282" s="149"/>
      <c r="BK282" s="22"/>
      <c r="BM282" s="140" t="s">
        <v>724</v>
      </c>
      <c r="BN282" s="6"/>
      <c r="BO282" s="6"/>
      <c r="BP282" s="140">
        <v>1.0</v>
      </c>
      <c r="BQ282" s="6"/>
      <c r="BR282" s="6"/>
      <c r="BS282" s="6"/>
      <c r="BT282" s="6"/>
      <c r="BU282" s="6"/>
      <c r="BV282" s="6"/>
      <c r="BW282" s="6"/>
      <c r="BX282" s="6"/>
      <c r="BY282" s="6"/>
      <c r="BZ282" s="6"/>
      <c r="CA282" s="140">
        <v>1.0</v>
      </c>
    </row>
    <row r="283">
      <c r="B283" s="150"/>
      <c r="C283" s="151"/>
      <c r="D283" s="147"/>
      <c r="E283" s="147"/>
      <c r="F283" s="152"/>
      <c r="G283" s="138"/>
      <c r="H283" s="157" t="s">
        <v>502</v>
      </c>
      <c r="I283" s="158">
        <v>24.0</v>
      </c>
      <c r="J283" s="154" t="s">
        <v>424</v>
      </c>
      <c r="K283" s="154">
        <v>0.0</v>
      </c>
      <c r="L283" s="100">
        <v>0.0</v>
      </c>
      <c r="M283" s="143"/>
      <c r="N283" s="143"/>
      <c r="O283" s="143"/>
      <c r="P283" s="143"/>
      <c r="Q283" s="143"/>
      <c r="R283" s="143"/>
      <c r="S283" s="155"/>
      <c r="T283" s="155"/>
      <c r="U283" s="143"/>
      <c r="V283" s="143"/>
      <c r="W283" s="143"/>
      <c r="X283" s="143"/>
      <c r="Y283" s="143"/>
      <c r="Z283" s="143"/>
      <c r="AA283" s="143"/>
      <c r="AB283" s="143"/>
      <c r="AC283" s="143"/>
      <c r="AD283" s="143"/>
      <c r="AE283" s="143"/>
      <c r="AF283" s="143"/>
      <c r="AG283" s="156"/>
      <c r="AH283" s="143"/>
      <c r="AI283" s="143"/>
      <c r="AJ283" s="143"/>
      <c r="AK283" s="143"/>
      <c r="AL283" s="143"/>
      <c r="AM283" s="143"/>
      <c r="AN283" s="143"/>
      <c r="AO283" s="143"/>
      <c r="AP283" s="143"/>
      <c r="AQ283" s="143"/>
      <c r="AR283" s="143"/>
      <c r="AS283" s="143"/>
      <c r="AT283" s="156"/>
      <c r="AU283" s="143"/>
      <c r="AV283" s="143"/>
      <c r="AW283" s="143"/>
      <c r="AX283" s="143"/>
      <c r="AY283" s="143"/>
      <c r="AZ283" s="143"/>
      <c r="BA283" s="143"/>
      <c r="BB283" s="143"/>
      <c r="BC283" s="143"/>
      <c r="BD283" s="143"/>
      <c r="BE283" s="143"/>
      <c r="BF283" s="143"/>
      <c r="BG283" s="143"/>
      <c r="BH283" s="143"/>
      <c r="BI283" s="149"/>
      <c r="BK283" s="22"/>
      <c r="BM283" s="140" t="s">
        <v>725</v>
      </c>
      <c r="BN283" s="6"/>
      <c r="BO283" s="6"/>
      <c r="BP283" s="6"/>
      <c r="BQ283" s="6"/>
      <c r="BR283" s="6"/>
      <c r="BS283" s="140">
        <v>1.0</v>
      </c>
      <c r="BT283" s="6"/>
      <c r="BU283" s="6"/>
      <c r="BV283" s="6"/>
      <c r="BW283" s="6"/>
      <c r="BX283" s="6"/>
      <c r="BY283" s="6"/>
      <c r="BZ283" s="6"/>
      <c r="CA283" s="140">
        <v>1.0</v>
      </c>
    </row>
    <row r="284">
      <c r="B284" s="135"/>
      <c r="C284" s="136"/>
      <c r="D284" s="137"/>
      <c r="E284" s="137"/>
      <c r="F284" s="137"/>
      <c r="G284" s="138"/>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c r="AG284" s="138"/>
      <c r="AH284" s="137"/>
      <c r="AI284" s="137"/>
      <c r="AJ284" s="137"/>
      <c r="AK284" s="137"/>
      <c r="AL284" s="137"/>
      <c r="AM284" s="137"/>
      <c r="AN284" s="137"/>
      <c r="AO284" s="137"/>
      <c r="AP284" s="137"/>
      <c r="AQ284" s="137"/>
      <c r="AR284" s="137"/>
      <c r="AS284" s="137"/>
      <c r="AT284" s="138"/>
      <c r="AU284" s="137"/>
      <c r="AV284" s="137"/>
      <c r="AW284" s="137"/>
      <c r="AX284" s="137"/>
      <c r="AY284" s="137"/>
      <c r="AZ284" s="137"/>
      <c r="BA284" s="137"/>
      <c r="BB284" s="137"/>
      <c r="BC284" s="137"/>
      <c r="BD284" s="137"/>
      <c r="BE284" s="137"/>
      <c r="BF284" s="137"/>
      <c r="BG284" s="137"/>
      <c r="BH284" s="137"/>
      <c r="BI284" s="139"/>
      <c r="BK284" s="22"/>
      <c r="BM284" s="6" t="s">
        <v>746</v>
      </c>
      <c r="BN284" s="6"/>
      <c r="BO284" s="6"/>
      <c r="BP284" s="6"/>
      <c r="BQ284" s="6"/>
      <c r="BR284" s="6"/>
      <c r="BS284" s="6"/>
      <c r="BT284" s="6"/>
      <c r="BU284" s="6"/>
      <c r="BV284" s="6">
        <v>1.0</v>
      </c>
      <c r="BW284" s="6"/>
      <c r="BX284" s="6"/>
      <c r="BY284" s="6"/>
      <c r="BZ284" s="6"/>
      <c r="CA284" s="6">
        <v>1.0</v>
      </c>
    </row>
    <row r="285">
      <c r="B285" s="31" t="s">
        <v>762</v>
      </c>
      <c r="C285" s="54"/>
      <c r="D285" s="45"/>
      <c r="E285" s="45"/>
      <c r="F285" s="47"/>
      <c r="G285" s="35"/>
      <c r="H285" s="55" t="s">
        <v>349</v>
      </c>
      <c r="I285" s="38">
        <f>VLOOKUP(H285,'Machine List'!$A$1:$I$300,9,FALSE)</f>
        <v>4000</v>
      </c>
      <c r="J285" s="38">
        <f>IF(VLOOKUP(H285,'Machine List'!$A$1:$I$300,5,FALSE)="Multi",IF(VLOOKUP(H285,'Machine List'!$A$1:$I$300,6,FALSE)="Yes",AI285*3*10^AB285,AI285*(2*3)*10^(AB285-1)),0)</f>
        <v>600</v>
      </c>
      <c r="K285" s="38">
        <f>J285+IF(ISNUMBER(I285),I285,
  SWITCH(
      I285,
      "1T",1*10^AB285,
      "2T",2*10^AB285,
      "3T",3*10^AB285,
      "4T",4*10^AB285,
      "4000+500(7O-5)",4000+500*(7*I286-5),
      "13500 + 16C",13500+16*VLOOKUP(J287,'Machine Helper Sheet'!$G$1:$K$16,5,FALSE),
      1
  )
)</f>
        <v>4600</v>
      </c>
      <c r="L285" s="38">
        <f>IF(VLOOKUP(H285,'Machine List'!$A$1:$I$300,5,FALSE)="Multi",IF(VLOOKUP(H285,'Machine List'!$A$1:$I$300,6,FALSE)="Yes",AW285*3*10^AV285,AW285*(2*3)*10^(AV285-1)),0)</f>
        <v>60000</v>
      </c>
      <c r="M285" s="38">
        <f>L285+IF(ISNUMBER(I285),I285,
  SWITCH(
      I285,
      "1T",1*10^AV285,
      "2T",2*10^AV285,
      "3T",3*10^AV285,
      "4T",4*10^AV285,
      "4000+500(7O-5)",4000+500*(7*I286-5),
      1
  )
)</f>
        <v>64000</v>
      </c>
      <c r="N285" s="38" t="str">
        <f>VLOOKUP(H285,'Machine List'!$A$1:$I$300,8,FALSE)</f>
        <v>Tier</v>
      </c>
      <c r="O285" s="38">
        <f>IF(ISNUMBER(N285),N285,10^AB285)</f>
        <v>1000</v>
      </c>
      <c r="P285" s="38">
        <f>IF(ISNUMBER(N285),N285,10^AV285)</f>
        <v>100000</v>
      </c>
      <c r="Q285" s="38">
        <f>VLOOKUP(H285,'Machine List'!$A$1:$B$138,2,FALSE)</f>
        <v>1</v>
      </c>
      <c r="R285" s="38" t="s">
        <v>594</v>
      </c>
      <c r="S285" s="45">
        <f>IF(ISNUMBER(Q285),Q285,
  SWITCH(
      Q285,
      "1",1,
      "2T",AB285*2,
      "4T",AB285*4,
      "6T",AB285*6,
      "8T",AB285*8,
      "10T",AB285*10,
      "12T",AB285*12,
      "14T",AB285*14,
      "16T",AB285*16,
      "24T",AB285*24,
      "2(T+1)",2*(AB285+1),
      "1T*C",AB285*J287,
      "2*P",L287*2,
      1
  )
)</f>
        <v>1</v>
      </c>
      <c r="T285" s="38" t="s">
        <v>277</v>
      </c>
      <c r="U285" s="38">
        <f>IF(OR(T285="No",T285=""),S285,T285)</f>
        <v>1</v>
      </c>
      <c r="V285" s="38">
        <f>IF(ISNUMBER(Q285),Q285,
  SWITCH(
      Q285,
      "1",1,
      "2T",AV285*2,
      "4T",AV285*4,
      "6T",AV285*6,
      "8T",AV285*8,
      "10T",AV285*10,
      "12T",AV285*12,
      "14T",AV285*14,
      "16T",AV285*16,
      "24T",AV285*24,
      "2(T+1)",2*(AV285+1),
      "1T*C",AV285*J287,
      "2*P",L287*2,
      1
  )
)</f>
        <v>1</v>
      </c>
      <c r="W285" s="38" t="str">
        <f>T285</f>
        <v>No</v>
      </c>
      <c r="X285" s="38">
        <f>IF(OR(W285="No",W285=""),V285,W285)</f>
        <v>1</v>
      </c>
      <c r="Y285" s="38">
        <f>VLOOKUP(H285,'Machine List'!$A$1:$C$138,3,FALSE)</f>
        <v>1</v>
      </c>
      <c r="Z285" s="38">
        <f>VLOOKUP(H285,'Machine List'!$A$1:$D$138,4,FALSE)</f>
        <v>1</v>
      </c>
      <c r="AA285" s="147" t="s">
        <v>397</v>
      </c>
      <c r="AB285" s="38">
        <f>VLOOKUP(AA285,'Item Helper Sheet'!$A$2:$B$16,2,FALSE)</f>
        <v>3</v>
      </c>
      <c r="AC285" s="147">
        <v>480.0</v>
      </c>
      <c r="AD285" s="147">
        <f>150*20</f>
        <v>3000</v>
      </c>
      <c r="AE285" s="38">
        <f>AD285*I287</f>
        <v>3000</v>
      </c>
      <c r="AF285" s="38">
        <f>AC285*AE285</f>
        <v>1440000</v>
      </c>
      <c r="AG285" s="75"/>
      <c r="AH285" s="147" t="str">
        <f>AA285</f>
        <v>03 - HV</v>
      </c>
      <c r="AI285" s="38">
        <v>1.0</v>
      </c>
      <c r="AJ285" s="38">
        <v>1.0</v>
      </c>
      <c r="AK285" s="38">
        <f>AJ285*8*4^AB285</f>
        <v>512</v>
      </c>
      <c r="AL285" s="38">
        <f>MIN(ROUNDDOWN(AK285/AN285,0),U285)</f>
        <v>1</v>
      </c>
      <c r="AM285" s="38">
        <f>IF(OR(T285="No",T285=""),AI285*S285,AI285*T285)</f>
        <v>1</v>
      </c>
      <c r="AN285" s="38">
        <f>ROUNDUP(AC285*VLOOKUP(H285,'Machine List'!$A$2:$D$219,4,FALSE),0)</f>
        <v>480</v>
      </c>
      <c r="AO285" s="38">
        <f>AN285*AM285</f>
        <v>480</v>
      </c>
      <c r="AP285" s="38">
        <f>ROUNDUP(AD285*I287,0)</f>
        <v>3000</v>
      </c>
      <c r="AQ285" s="38">
        <f>IF(ISNUMBER(Y285),ROUNDUP(AP285/Y285,0),
  SWITCH(
      Y285,
      "1+0.5C",ROUNDUP(AP285/(1+0.5*VLOOKUP(J287,'Machine Helper Sheet'!$G$1:$K$16,2,FALSE)),0),
      ROUNDUP(AP285/1,0)
  )
)</f>
        <v>3000</v>
      </c>
      <c r="AR285" s="38">
        <f>ROUNDUP(AQ285/AM285,0)</f>
        <v>3000</v>
      </c>
      <c r="AS285" s="38">
        <f>AO285*AR285</f>
        <v>1440000</v>
      </c>
      <c r="AT285" s="75"/>
      <c r="AU285" s="38" t="s">
        <v>405</v>
      </c>
      <c r="AV285" s="38">
        <f>VLOOKUP(AU285,'Item Helper Sheet'!$A$2:$B$16,2,FALSE)</f>
        <v>5</v>
      </c>
      <c r="AW285" s="38">
        <f>AI285</f>
        <v>1</v>
      </c>
      <c r="AX285" s="38">
        <v>1.0</v>
      </c>
      <c r="AY285" s="38">
        <f>AX285*8*4^AV285</f>
        <v>8192</v>
      </c>
      <c r="AZ285" s="38">
        <f>MIN(ROUNDDOWN(AY285/AN285,0),X285)</f>
        <v>1</v>
      </c>
      <c r="BA285" s="38">
        <f>AZ285*AW285</f>
        <v>1</v>
      </c>
      <c r="BB285" s="38">
        <f>AN285</f>
        <v>480</v>
      </c>
      <c r="BC285" s="38">
        <f>MIN(AV285-AB285,IF(AY285&gt;=BB286*4,
IF(AY285&gt;=BB286*4^2,
IF(AY285&gt;=BB286*4^3,
IF(AY285&gt;=BB286*4^4,
IF(AY285&gt;=BB286*4^5,
IF(AY285&gt;=BB286*4^6,
IF(AY285&gt;=BB286*4^7,
IF(AY285&gt;=BB286*4^8,
IF(AY285&gt;=BB286*4^9,
IF(AY285&gt;=BB286*4^10,
9),
8),
7),
6),
5),
4),
3),
2),
1),
0))</f>
        <v>2</v>
      </c>
      <c r="BD285" s="38">
        <f>BB285*AZ285*4^BC285</f>
        <v>7680</v>
      </c>
      <c r="BE285" s="38">
        <f>BD285*AW285</f>
        <v>7680</v>
      </c>
      <c r="BF285" s="45">
        <f>ROUNDUP(IF(R285="Yes",AP285/(2^((BC285)*2)),AP285/(2^(BC285))),0)</f>
        <v>188</v>
      </c>
      <c r="BG285" s="45">
        <f>IF(ISNUMBER(Y285),ROUNDUP(BF285/Y285,0),
  SWITCH(
      Y285,
      "1+0.5C",ROUNDUP(BF285/(1+0.5*VLOOKUP(J287,'Machine Helper Sheet'!$G$1:$K$16,2,FALSE)),0),
      ROUNDUP(BF285/1,0)
  )
)</f>
        <v>188</v>
      </c>
      <c r="BH285" s="45">
        <f>ROUNDUP(BG285/BA285,0)</f>
        <v>188</v>
      </c>
      <c r="BI285" s="46">
        <f>BH285*BE285</f>
        <v>1443840</v>
      </c>
      <c r="BK285" s="22"/>
      <c r="BM285" s="140" t="s">
        <v>747</v>
      </c>
      <c r="BN285" s="6"/>
      <c r="BO285" s="6"/>
      <c r="BP285" s="140">
        <v>1.0</v>
      </c>
      <c r="BQ285" s="6"/>
      <c r="BR285" s="6"/>
      <c r="BS285" s="6"/>
      <c r="BT285" s="6"/>
      <c r="BU285" s="6"/>
      <c r="BV285" s="6"/>
      <c r="BW285" s="6"/>
      <c r="BX285" s="6"/>
      <c r="BY285" s="6"/>
      <c r="BZ285" s="6"/>
      <c r="CA285" s="140">
        <v>1.0</v>
      </c>
    </row>
    <row r="286">
      <c r="B286" s="40"/>
      <c r="C286" s="41" t="s">
        <v>245</v>
      </c>
      <c r="D286" s="38">
        <f>1*I287</f>
        <v>1</v>
      </c>
      <c r="E286" s="38" t="s">
        <v>242</v>
      </c>
      <c r="F286" s="42">
        <f>3600*I287</f>
        <v>3600</v>
      </c>
      <c r="G286" s="43"/>
      <c r="H286" s="99" t="s">
        <v>584</v>
      </c>
      <c r="I286" s="45">
        <f t="array" ref="I286">match(TRUE,ISBLANK(F286:F297),0)-1</f>
        <v>1</v>
      </c>
      <c r="J286" s="100" t="s">
        <v>420</v>
      </c>
      <c r="K286" s="100" t="s">
        <v>585</v>
      </c>
      <c r="L286" s="100" t="s">
        <v>704</v>
      </c>
      <c r="M286" s="38"/>
      <c r="N286" s="38"/>
      <c r="O286" s="38"/>
      <c r="P286" s="38"/>
      <c r="Q286" s="38"/>
      <c r="R286" s="101"/>
      <c r="S286" s="101"/>
      <c r="T286" s="101"/>
      <c r="U286" s="45"/>
      <c r="V286" s="45"/>
      <c r="W286" s="45"/>
      <c r="X286" s="45"/>
      <c r="Y286" s="45"/>
      <c r="Z286" s="45"/>
      <c r="AA286" s="45"/>
      <c r="AB286" s="45"/>
      <c r="AC286" s="45"/>
      <c r="AD286" s="45"/>
      <c r="AE286" s="45"/>
      <c r="AF286" s="45"/>
      <c r="AG286" s="79"/>
      <c r="AH286" s="45"/>
      <c r="AI286" s="45"/>
      <c r="AJ286" s="45"/>
      <c r="AK286" s="45"/>
      <c r="AL286" s="45"/>
      <c r="AM286" s="45"/>
      <c r="AN286" s="45"/>
      <c r="AO286" s="45"/>
      <c r="AP286" s="45"/>
      <c r="AQ286" s="45"/>
      <c r="AR286" s="45"/>
      <c r="AS286" s="45"/>
      <c r="AT286" s="79"/>
      <c r="AU286" s="45"/>
      <c r="AV286" s="45"/>
      <c r="AW286" s="45"/>
      <c r="AX286" s="45"/>
      <c r="AY286" s="45"/>
      <c r="AZ286" s="45"/>
      <c r="BA286" s="45"/>
      <c r="BB286" s="45">
        <f>BB285*AZ285</f>
        <v>480</v>
      </c>
      <c r="BC286" s="45"/>
      <c r="BD286" s="45"/>
      <c r="BE286" s="45"/>
      <c r="BF286" s="45"/>
      <c r="BG286" s="45"/>
      <c r="BH286" s="45"/>
      <c r="BI286" s="46"/>
      <c r="BK286" s="22"/>
      <c r="BM286" s="140" t="s">
        <v>748</v>
      </c>
      <c r="BN286" s="6"/>
      <c r="BO286" s="6"/>
      <c r="BP286" s="6"/>
      <c r="BQ286" s="6"/>
      <c r="BR286" s="6"/>
      <c r="BS286" s="6"/>
      <c r="BT286" s="6"/>
      <c r="BU286" s="6"/>
      <c r="BV286" s="140">
        <v>1.0</v>
      </c>
      <c r="BW286" s="6"/>
      <c r="BX286" s="6"/>
      <c r="BY286" s="6"/>
      <c r="BZ286" s="6"/>
      <c r="CA286" s="140">
        <v>1.0</v>
      </c>
    </row>
    <row r="287">
      <c r="B287" s="40"/>
      <c r="C287" s="41" t="s">
        <v>243</v>
      </c>
      <c r="D287" s="38">
        <f>4*I287</f>
        <v>4</v>
      </c>
      <c r="E287" s="38"/>
      <c r="F287" s="42"/>
      <c r="G287" s="43"/>
      <c r="H287" s="56" t="s">
        <v>502</v>
      </c>
      <c r="I287" s="49">
        <v>1.0</v>
      </c>
      <c r="J287" s="100" t="s">
        <v>424</v>
      </c>
      <c r="K287" s="100">
        <v>0.0</v>
      </c>
      <c r="L287" s="100">
        <v>0.0</v>
      </c>
      <c r="M287" s="45"/>
      <c r="N287" s="45"/>
      <c r="O287" s="45"/>
      <c r="P287" s="45"/>
      <c r="Q287" s="45"/>
      <c r="R287" s="45"/>
      <c r="S287" s="101"/>
      <c r="T287" s="101"/>
      <c r="U287" s="45"/>
      <c r="V287" s="45"/>
      <c r="W287" s="45"/>
      <c r="X287" s="45"/>
      <c r="Y287" s="45"/>
      <c r="Z287" s="45"/>
      <c r="AA287" s="45"/>
      <c r="AB287" s="45"/>
      <c r="AC287" s="45"/>
      <c r="AD287" s="45"/>
      <c r="AE287" s="45"/>
      <c r="AF287" s="45"/>
      <c r="AG287" s="79"/>
      <c r="AH287" s="45"/>
      <c r="AI287" s="45"/>
      <c r="AJ287" s="45"/>
      <c r="AK287" s="45"/>
      <c r="AL287" s="45"/>
      <c r="AM287" s="45"/>
      <c r="AN287" s="45"/>
      <c r="AO287" s="45"/>
      <c r="AP287" s="45"/>
      <c r="AQ287" s="45"/>
      <c r="AR287" s="45"/>
      <c r="AS287" s="45"/>
      <c r="AT287" s="79"/>
      <c r="AU287" s="45"/>
      <c r="AV287" s="45"/>
      <c r="AW287" s="45"/>
      <c r="AX287" s="45"/>
      <c r="AY287" s="45"/>
      <c r="AZ287" s="45"/>
      <c r="BA287" s="45"/>
      <c r="BB287" s="45"/>
      <c r="BC287" s="45"/>
      <c r="BD287" s="45"/>
      <c r="BE287" s="45"/>
      <c r="BF287" s="45"/>
      <c r="BG287" s="45"/>
      <c r="BH287" s="45"/>
      <c r="BI287" s="46"/>
      <c r="BK287" s="22"/>
      <c r="BM287" s="140" t="s">
        <v>749</v>
      </c>
      <c r="BN287" s="6"/>
      <c r="BO287" s="6"/>
      <c r="BP287" s="6"/>
      <c r="BQ287" s="6"/>
      <c r="BR287" s="6"/>
      <c r="BS287" s="6"/>
      <c r="BT287" s="6"/>
      <c r="BU287" s="6"/>
      <c r="BV287" s="140">
        <v>1.0</v>
      </c>
      <c r="BW287" s="6"/>
      <c r="BX287" s="6"/>
      <c r="BY287" s="6"/>
      <c r="BZ287" s="6"/>
      <c r="CA287" s="140">
        <v>1.0</v>
      </c>
    </row>
    <row r="288">
      <c r="B288" s="40"/>
      <c r="C288" s="41" t="s">
        <v>91</v>
      </c>
      <c r="D288" s="133">
        <f>10000*I287</f>
        <v>10000</v>
      </c>
      <c r="E288" s="38"/>
      <c r="F288" s="42"/>
      <c r="G288" s="43"/>
      <c r="H288" s="44"/>
      <c r="I288" s="45"/>
      <c r="J288" s="45"/>
      <c r="K288" s="45"/>
      <c r="L288" s="45"/>
      <c r="M288" s="45"/>
      <c r="N288" s="45"/>
      <c r="O288" s="45"/>
      <c r="P288" s="45"/>
      <c r="Q288" s="45"/>
      <c r="R288" s="45"/>
      <c r="S288" s="101"/>
      <c r="T288" s="101"/>
      <c r="U288" s="45"/>
      <c r="V288" s="45"/>
      <c r="W288" s="45"/>
      <c r="X288" s="45"/>
      <c r="Y288" s="45"/>
      <c r="Z288" s="45"/>
      <c r="AA288" s="45"/>
      <c r="AB288" s="45"/>
      <c r="AC288" s="45"/>
      <c r="AD288" s="45"/>
      <c r="AE288" s="45"/>
      <c r="AF288" s="45"/>
      <c r="AG288" s="79"/>
      <c r="AH288" s="45"/>
      <c r="AI288" s="45"/>
      <c r="AJ288" s="45"/>
      <c r="AK288" s="45"/>
      <c r="AL288" s="45"/>
      <c r="AM288" s="45"/>
      <c r="AN288" s="45"/>
      <c r="AO288" s="45"/>
      <c r="AP288" s="45"/>
      <c r="AQ288" s="45"/>
      <c r="AR288" s="45"/>
      <c r="AS288" s="45"/>
      <c r="AT288" s="79"/>
      <c r="AU288" s="45"/>
      <c r="AV288" s="45"/>
      <c r="AW288" s="45"/>
      <c r="AX288" s="45"/>
      <c r="AY288" s="45"/>
      <c r="AZ288" s="45"/>
      <c r="BA288" s="45"/>
      <c r="BB288" s="45"/>
      <c r="BC288" s="45"/>
      <c r="BD288" s="45"/>
      <c r="BE288" s="45"/>
      <c r="BF288" s="45"/>
      <c r="BG288" s="45"/>
      <c r="BH288" s="45"/>
      <c r="BI288" s="46"/>
      <c r="BK288" s="22"/>
      <c r="BM288" s="6" t="s">
        <v>750</v>
      </c>
      <c r="BN288" s="6"/>
      <c r="BO288" s="6"/>
      <c r="BP288" s="6"/>
      <c r="BQ288" s="6"/>
      <c r="BR288" s="6"/>
      <c r="BS288" s="6"/>
      <c r="BT288" s="6"/>
      <c r="BU288" s="6"/>
      <c r="BV288" s="6">
        <v>1.0</v>
      </c>
      <c r="BW288" s="6"/>
      <c r="BX288" s="6"/>
      <c r="BY288" s="6"/>
      <c r="BZ288" s="6"/>
      <c r="CA288" s="6">
        <v>1.0</v>
      </c>
    </row>
    <row r="289">
      <c r="B289" s="50"/>
      <c r="C289" s="51"/>
      <c r="D289" s="134"/>
      <c r="E289" s="52"/>
      <c r="F289" s="52"/>
      <c r="G289" s="112"/>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2"/>
      <c r="AH289" s="113"/>
      <c r="AI289" s="113"/>
      <c r="AJ289" s="113"/>
      <c r="AK289" s="113"/>
      <c r="AL289" s="113"/>
      <c r="AM289" s="113"/>
      <c r="AN289" s="113"/>
      <c r="AO289" s="113"/>
      <c r="AP289" s="113"/>
      <c r="AQ289" s="113"/>
      <c r="AR289" s="113"/>
      <c r="AS289" s="113"/>
      <c r="AT289" s="112"/>
      <c r="AU289" s="113"/>
      <c r="AV289" s="113"/>
      <c r="AW289" s="113"/>
      <c r="AX289" s="113"/>
      <c r="AY289" s="113"/>
      <c r="AZ289" s="113"/>
      <c r="BA289" s="113"/>
      <c r="BB289" s="113"/>
      <c r="BC289" s="113"/>
      <c r="BD289" s="113"/>
      <c r="BE289" s="113"/>
      <c r="BF289" s="113"/>
      <c r="BG289" s="113"/>
      <c r="BH289" s="113"/>
      <c r="BI289" s="114"/>
      <c r="BK289" s="22"/>
      <c r="BM289" s="140" t="s">
        <v>751</v>
      </c>
      <c r="BN289" s="6"/>
      <c r="BO289" s="6"/>
      <c r="BP289" s="6"/>
      <c r="BQ289" s="6"/>
      <c r="BR289" s="6"/>
      <c r="BS289" s="6"/>
      <c r="BT289" s="6"/>
      <c r="BU289" s="140">
        <v>2.0</v>
      </c>
      <c r="BV289" s="6"/>
      <c r="BW289" s="6"/>
      <c r="BX289" s="6"/>
      <c r="BY289" s="6"/>
      <c r="BZ289" s="6"/>
      <c r="CA289" s="140">
        <v>2.0</v>
      </c>
    </row>
    <row r="290">
      <c r="C290" s="159"/>
      <c r="E290" s="159"/>
      <c r="BK290" s="22"/>
      <c r="BM290" s="6" t="s">
        <v>752</v>
      </c>
      <c r="BN290" s="6"/>
      <c r="BO290" s="6"/>
      <c r="BP290" s="6"/>
      <c r="BQ290" s="6"/>
      <c r="BR290" s="6"/>
      <c r="BS290" s="6"/>
      <c r="BT290" s="6"/>
      <c r="BU290" s="6"/>
      <c r="BV290" s="6">
        <v>1.0</v>
      </c>
      <c r="BW290" s="6"/>
      <c r="BX290" s="6"/>
      <c r="BY290" s="6"/>
      <c r="BZ290" s="6"/>
      <c r="CA290" s="6">
        <v>1.0</v>
      </c>
    </row>
    <row r="291">
      <c r="C291" s="159" t="s">
        <v>243</v>
      </c>
      <c r="E291" s="159" t="s">
        <v>732</v>
      </c>
      <c r="BK291" s="22"/>
      <c r="BM291" s="140" t="s">
        <v>753</v>
      </c>
      <c r="BN291" s="6"/>
      <c r="BO291" s="6"/>
      <c r="BP291" s="140">
        <v>1.0</v>
      </c>
      <c r="BQ291" s="6"/>
      <c r="BR291" s="6"/>
      <c r="BS291" s="6"/>
      <c r="BT291" s="6"/>
      <c r="BU291" s="6"/>
      <c r="BV291" s="6"/>
      <c r="BW291" s="6"/>
      <c r="BX291" s="6"/>
      <c r="BY291" s="6"/>
      <c r="BZ291" s="6"/>
      <c r="CA291" s="140">
        <v>1.0</v>
      </c>
    </row>
    <row r="292">
      <c r="C292" s="159" t="s">
        <v>244</v>
      </c>
      <c r="E292" s="159" t="s">
        <v>72</v>
      </c>
      <c r="BK292" s="22"/>
      <c r="BM292" s="140" t="s">
        <v>754</v>
      </c>
      <c r="BN292" s="6"/>
      <c r="BO292" s="6"/>
      <c r="BP292" s="6"/>
      <c r="BQ292" s="6"/>
      <c r="BR292" s="6"/>
      <c r="BS292" s="6"/>
      <c r="BT292" s="6"/>
      <c r="BU292" s="6"/>
      <c r="BV292" s="140">
        <v>1.0</v>
      </c>
      <c r="BW292" s="6"/>
      <c r="BX292" s="6"/>
      <c r="BY292" s="6"/>
      <c r="BZ292" s="6"/>
      <c r="CA292" s="140">
        <v>1.0</v>
      </c>
    </row>
    <row r="293">
      <c r="C293" s="159" t="s">
        <v>163</v>
      </c>
      <c r="E293" s="159" t="s">
        <v>48</v>
      </c>
      <c r="BK293" s="22"/>
      <c r="BM293" s="140" t="s">
        <v>755</v>
      </c>
      <c r="BN293" s="6"/>
      <c r="BO293" s="6"/>
      <c r="BP293" s="6"/>
      <c r="BQ293" s="6"/>
      <c r="BR293" s="140">
        <v>1.0</v>
      </c>
      <c r="BS293" s="6"/>
      <c r="BT293" s="6"/>
      <c r="BU293" s="6"/>
      <c r="BV293" s="6"/>
      <c r="BW293" s="6"/>
      <c r="BX293" s="6"/>
      <c r="BY293" s="6"/>
      <c r="BZ293" s="6"/>
      <c r="CA293" s="140">
        <v>1.0</v>
      </c>
    </row>
    <row r="294">
      <c r="C294" s="159" t="s">
        <v>148</v>
      </c>
      <c r="E294" s="159" t="s">
        <v>87</v>
      </c>
      <c r="BK294" s="22"/>
      <c r="BM294" s="140" t="s">
        <v>756</v>
      </c>
      <c r="BN294" s="6"/>
      <c r="BO294" s="6"/>
      <c r="BP294" s="6"/>
      <c r="BQ294" s="6"/>
      <c r="BR294" s="6"/>
      <c r="BS294" s="140">
        <v>1.0</v>
      </c>
      <c r="BT294" s="6"/>
      <c r="BU294" s="6"/>
      <c r="BV294" s="6"/>
      <c r="BW294" s="6"/>
      <c r="BX294" s="6"/>
      <c r="BY294" s="6"/>
      <c r="BZ294" s="6"/>
      <c r="CA294" s="140">
        <v>1.0</v>
      </c>
    </row>
    <row r="295">
      <c r="C295" s="159" t="s">
        <v>85</v>
      </c>
      <c r="E295" s="159" t="s">
        <v>736</v>
      </c>
      <c r="BK295" s="22"/>
      <c r="BM295" s="140" t="s">
        <v>757</v>
      </c>
      <c r="BN295" s="6"/>
      <c r="BO295" s="6"/>
      <c r="BP295" s="140">
        <v>1.0</v>
      </c>
      <c r="BQ295" s="6"/>
      <c r="BR295" s="6"/>
      <c r="BS295" s="6"/>
      <c r="BT295" s="6"/>
      <c r="BU295" s="6"/>
      <c r="BV295" s="6"/>
      <c r="BW295" s="6"/>
      <c r="BX295" s="6"/>
      <c r="BY295" s="6"/>
      <c r="BZ295" s="6"/>
      <c r="CA295" s="140">
        <v>1.0</v>
      </c>
    </row>
    <row r="296">
      <c r="C296" s="159"/>
      <c r="E296" s="159" t="s">
        <v>142</v>
      </c>
      <c r="BK296" s="22"/>
      <c r="BM296" s="140" t="s">
        <v>758</v>
      </c>
      <c r="BN296" s="6"/>
      <c r="BO296" s="6"/>
      <c r="BP296" s="140">
        <v>1.0</v>
      </c>
      <c r="BQ296" s="6"/>
      <c r="BR296" s="6"/>
      <c r="BS296" s="6"/>
      <c r="BT296" s="6"/>
      <c r="BU296" s="6"/>
      <c r="BV296" s="6"/>
      <c r="BW296" s="6"/>
      <c r="BX296" s="6"/>
      <c r="BY296" s="6"/>
      <c r="BZ296" s="6"/>
      <c r="CA296" s="140">
        <v>1.0</v>
      </c>
    </row>
    <row r="297">
      <c r="C297" s="159"/>
      <c r="E297" s="159" t="s">
        <v>256</v>
      </c>
      <c r="BK297" s="22"/>
      <c r="BM297" s="6" t="s">
        <v>759</v>
      </c>
      <c r="BN297" s="6"/>
      <c r="BO297" s="6"/>
      <c r="BP297" s="6"/>
      <c r="BQ297" s="6"/>
      <c r="BR297" s="6"/>
      <c r="BS297" s="6"/>
      <c r="BT297" s="6"/>
      <c r="BU297" s="6"/>
      <c r="BV297" s="6"/>
      <c r="BW297" s="6"/>
      <c r="BX297" s="6"/>
      <c r="BY297" s="6"/>
      <c r="BZ297" s="6">
        <v>4.0</v>
      </c>
      <c r="CA297" s="6">
        <v>4.0</v>
      </c>
    </row>
    <row r="298">
      <c r="C298" s="159"/>
      <c r="E298" s="159" t="s">
        <v>647</v>
      </c>
      <c r="BK298" s="22"/>
      <c r="BM298" s="140" t="s">
        <v>760</v>
      </c>
      <c r="BN298" s="6"/>
      <c r="BO298" s="6"/>
      <c r="BP298" s="6"/>
      <c r="BQ298" s="6"/>
      <c r="BR298" s="6"/>
      <c r="BS298" s="140">
        <v>1.0</v>
      </c>
      <c r="BT298" s="6"/>
      <c r="BU298" s="6"/>
      <c r="BV298" s="6"/>
      <c r="BW298" s="6"/>
      <c r="BX298" s="6"/>
      <c r="BY298" s="6"/>
      <c r="BZ298" s="6"/>
      <c r="CA298" s="140">
        <v>1.0</v>
      </c>
    </row>
    <row r="299">
      <c r="E299" s="162" t="s">
        <v>245</v>
      </c>
      <c r="BK299" s="22"/>
      <c r="BM299" s="140" t="s">
        <v>761</v>
      </c>
      <c r="BN299" s="6"/>
      <c r="BO299" s="6"/>
      <c r="BP299" s="6"/>
      <c r="BQ299" s="6"/>
      <c r="BR299" s="6"/>
      <c r="BS299" s="140">
        <v>1.0</v>
      </c>
      <c r="BT299" s="6"/>
      <c r="BU299" s="6"/>
      <c r="BV299" s="6"/>
      <c r="BW299" s="6"/>
      <c r="BX299" s="6"/>
      <c r="BY299" s="6"/>
      <c r="BZ299" s="6"/>
      <c r="CA299" s="140">
        <v>1.0</v>
      </c>
    </row>
    <row r="300">
      <c r="BK300" s="22"/>
      <c r="BM300" s="6" t="s">
        <v>762</v>
      </c>
      <c r="BN300" s="6"/>
      <c r="BO300" s="6"/>
      <c r="BP300" s="6"/>
      <c r="BQ300" s="6"/>
      <c r="BR300" s="6"/>
      <c r="BS300" s="6"/>
      <c r="BT300" s="6"/>
      <c r="BU300" s="6"/>
      <c r="BV300" s="6">
        <v>1.0</v>
      </c>
      <c r="BW300" s="6"/>
      <c r="BX300" s="6"/>
      <c r="BY300" s="6"/>
      <c r="BZ300" s="6"/>
      <c r="CA300" s="6">
        <v>1.0</v>
      </c>
    </row>
    <row r="301">
      <c r="BK301" s="22"/>
      <c r="BM301" s="6" t="s">
        <v>487</v>
      </c>
      <c r="BN301" s="140">
        <v>1.0</v>
      </c>
      <c r="BO301" s="140">
        <v>2.0</v>
      </c>
      <c r="BP301" s="140">
        <v>5.0</v>
      </c>
      <c r="BQ301" s="140">
        <v>1.0</v>
      </c>
      <c r="BR301" s="140">
        <v>2.0</v>
      </c>
      <c r="BS301" s="140">
        <v>4.0</v>
      </c>
      <c r="BT301" s="140">
        <v>1.0</v>
      </c>
      <c r="BU301" s="140">
        <v>2.0</v>
      </c>
      <c r="BV301" s="140">
        <v>10.0</v>
      </c>
      <c r="BW301" s="6">
        <v>4.0</v>
      </c>
      <c r="BX301" s="140">
        <v>1.0</v>
      </c>
      <c r="BY301" s="140">
        <v>2.0</v>
      </c>
      <c r="BZ301" s="6">
        <v>10.0</v>
      </c>
      <c r="CA301" s="6">
        <v>45.0</v>
      </c>
    </row>
    <row r="302">
      <c r="BK302" s="22"/>
    </row>
    <row r="303">
      <c r="BK303" s="22"/>
    </row>
    <row r="304">
      <c r="BK304" s="22"/>
    </row>
    <row r="305">
      <c r="BK305" s="22"/>
    </row>
    <row r="306">
      <c r="BK306" s="22"/>
    </row>
    <row r="307">
      <c r="BK307" s="22"/>
    </row>
    <row r="308">
      <c r="BK308" s="22"/>
    </row>
    <row r="309">
      <c r="BK309" s="22"/>
    </row>
    <row r="310">
      <c r="BK310" s="22"/>
    </row>
    <row r="311">
      <c r="BK311" s="22"/>
    </row>
    <row r="312">
      <c r="BK312" s="22"/>
    </row>
    <row r="313">
      <c r="BK313" s="22"/>
    </row>
    <row r="314">
      <c r="BK314" s="22"/>
    </row>
    <row r="315">
      <c r="A315" s="9" t="s">
        <v>706</v>
      </c>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3"/>
      <c r="BK315" s="12" t="s">
        <v>490</v>
      </c>
      <c r="BL315" s="9" t="s">
        <v>706</v>
      </c>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3"/>
      <c r="CM315" s="126"/>
      <c r="CN315" s="126"/>
      <c r="CO315" s="126"/>
      <c r="CP315" s="126"/>
      <c r="CQ315" s="126"/>
      <c r="CR315" s="126"/>
      <c r="CS315" s="126"/>
      <c r="CT315" s="126"/>
      <c r="CU315" s="126"/>
      <c r="CV315" s="126"/>
      <c r="CW315" s="126"/>
    </row>
    <row r="316">
      <c r="A316" s="15" t="s">
        <v>707</v>
      </c>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8"/>
      <c r="BK316" s="12" t="s">
        <v>492</v>
      </c>
      <c r="BL316" s="15" t="s">
        <v>707</v>
      </c>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8"/>
      <c r="CM316" s="127"/>
      <c r="CN316" s="127"/>
      <c r="CO316" s="127"/>
      <c r="CP316" s="127"/>
      <c r="CQ316" s="127"/>
      <c r="CR316" s="127"/>
      <c r="CS316" s="127"/>
      <c r="CT316" s="127"/>
      <c r="CU316" s="127"/>
      <c r="CV316" s="127"/>
      <c r="CW316" s="127"/>
    </row>
    <row r="317">
      <c r="BK317" s="22"/>
    </row>
    <row r="318">
      <c r="B318" s="89" t="s">
        <v>457</v>
      </c>
      <c r="C318" s="90" t="s">
        <v>458</v>
      </c>
      <c r="D318" s="91" t="s">
        <v>459</v>
      </c>
      <c r="E318" s="92" t="s">
        <v>460</v>
      </c>
      <c r="F318" s="93" t="s">
        <v>461</v>
      </c>
      <c r="G318" s="90"/>
      <c r="H318" s="94" t="s">
        <v>462</v>
      </c>
      <c r="I318" s="90" t="s">
        <v>540</v>
      </c>
      <c r="J318" s="90" t="s">
        <v>541</v>
      </c>
      <c r="K318" s="90" t="s">
        <v>274</v>
      </c>
      <c r="L318" s="90" t="s">
        <v>542</v>
      </c>
      <c r="M318" s="90" t="s">
        <v>543</v>
      </c>
      <c r="N318" s="90" t="s">
        <v>544</v>
      </c>
      <c r="O318" s="90" t="s">
        <v>545</v>
      </c>
      <c r="P318" s="90" t="s">
        <v>546</v>
      </c>
      <c r="Q318" s="90" t="s">
        <v>547</v>
      </c>
      <c r="R318" s="91" t="s">
        <v>493</v>
      </c>
      <c r="S318" s="92" t="s">
        <v>494</v>
      </c>
      <c r="T318" s="90" t="s">
        <v>548</v>
      </c>
      <c r="U318" s="90" t="s">
        <v>549</v>
      </c>
      <c r="V318" s="90" t="s">
        <v>550</v>
      </c>
      <c r="W318" s="90" t="s">
        <v>551</v>
      </c>
      <c r="X318" s="90" t="s">
        <v>552</v>
      </c>
      <c r="Y318" s="90" t="s">
        <v>694</v>
      </c>
      <c r="Z318" s="90" t="s">
        <v>695</v>
      </c>
      <c r="AA318" s="92" t="s">
        <v>495</v>
      </c>
      <c r="AB318" s="90" t="s">
        <v>421</v>
      </c>
      <c r="AC318" s="92" t="s">
        <v>553</v>
      </c>
      <c r="AD318" s="90" t="s">
        <v>554</v>
      </c>
      <c r="AE318" s="92" t="s">
        <v>555</v>
      </c>
      <c r="AF318" s="93" t="s">
        <v>467</v>
      </c>
      <c r="AG318" s="90"/>
      <c r="AH318" s="90" t="s">
        <v>556</v>
      </c>
      <c r="AI318" s="94" t="s">
        <v>475</v>
      </c>
      <c r="AJ318" s="90" t="s">
        <v>557</v>
      </c>
      <c r="AK318" s="90" t="s">
        <v>558</v>
      </c>
      <c r="AL318" s="90" t="s">
        <v>559</v>
      </c>
      <c r="AM318" s="92" t="s">
        <v>560</v>
      </c>
      <c r="AN318" s="90" t="s">
        <v>561</v>
      </c>
      <c r="AO318" s="90" t="s">
        <v>562</v>
      </c>
      <c r="AP318" s="92" t="s">
        <v>563</v>
      </c>
      <c r="AQ318" s="90" t="s">
        <v>564</v>
      </c>
      <c r="AR318" s="90" t="s">
        <v>565</v>
      </c>
      <c r="AS318" s="95" t="s">
        <v>566</v>
      </c>
      <c r="AT318" s="90"/>
      <c r="AU318" s="90" t="s">
        <v>468</v>
      </c>
      <c r="AV318" s="92" t="s">
        <v>496</v>
      </c>
      <c r="AW318" s="94" t="s">
        <v>567</v>
      </c>
      <c r="AX318" s="90" t="s">
        <v>568</v>
      </c>
      <c r="AY318" s="90" t="s">
        <v>569</v>
      </c>
      <c r="AZ318" s="90" t="s">
        <v>570</v>
      </c>
      <c r="BA318" s="92" t="s">
        <v>571</v>
      </c>
      <c r="BB318" s="90" t="s">
        <v>572</v>
      </c>
      <c r="BC318" s="90" t="s">
        <v>573</v>
      </c>
      <c r="BD318" s="90" t="s">
        <v>574</v>
      </c>
      <c r="BE318" s="90" t="s">
        <v>575</v>
      </c>
      <c r="BF318" s="92" t="s">
        <v>576</v>
      </c>
      <c r="BG318" s="92" t="s">
        <v>577</v>
      </c>
      <c r="BH318" s="92" t="s">
        <v>578</v>
      </c>
      <c r="BI318" s="96" t="s">
        <v>471</v>
      </c>
      <c r="BK318" s="22"/>
    </row>
    <row r="319">
      <c r="B319" s="31" t="s">
        <v>763</v>
      </c>
      <c r="C319" s="54"/>
      <c r="D319" s="45"/>
      <c r="E319" s="45"/>
      <c r="F319" s="47"/>
      <c r="G319" s="35"/>
      <c r="H319" s="55" t="s">
        <v>363</v>
      </c>
      <c r="I319" s="38" t="str">
        <f>VLOOKUP(H319,'Machine List'!$A$1:$I$300,9,FALSE)</f>
        <v>1T</v>
      </c>
      <c r="J319" s="38">
        <f>IF(VLOOKUP(H319,'Machine List'!$A$1:$I$300,5,FALSE)="Multi",IF(VLOOKUP(H319,'Machine List'!$A$1:$I$300,6,FALSE)="Yes",AI319*3*10^AB319,AI319*(2*3)*10^(AB319-1)),0)</f>
        <v>60000</v>
      </c>
      <c r="K319" s="38">
        <f>J319+IF(ISNUMBER(I319),I319,
  SWITCH(
      I319,
      "1T",1*10^AB319,
      "2T",2*10^AB319,
      "3T",3*10^AB319,
      "4T",4*10^AB319,
      "4000+500(7O-5)",4000+500*(7*I320-5),
      "13500 + 16C",13500+16*VLOOKUP(J321,'Machine Helper Sheet'!$G$1:$K$16,5,FALSE),
      1
  )
)</f>
        <v>160000</v>
      </c>
      <c r="L319" s="38">
        <f>IF(VLOOKUP(H319,'Machine List'!$A$1:$I$300,5,FALSE)="Multi",IF(VLOOKUP(H319,'Machine List'!$A$1:$I$300,6,FALSE)="Yes",AW319*3*10^AV319,AW319*(2*3)*10^(AV319-1)),0)</f>
        <v>1200000</v>
      </c>
      <c r="M319" s="38">
        <f>L319+IF(ISNUMBER(I319),I319,
  SWITCH(
      I319,
      "1T",1*10^AV319,
      "2T",2*10^AV319,
      "3T",3*10^AV319,
      "4T",4*10^AV319,
      "4000+500(7O-5)",4000+500*(7*I320-5),
      1
  )
)</f>
        <v>2200000</v>
      </c>
      <c r="N319" s="38" t="str">
        <f>VLOOKUP(H319,'Machine List'!$A$1:$I$300,8,FALSE)</f>
        <v>Tier</v>
      </c>
      <c r="O319" s="38">
        <f>IF(ISNUMBER(N319),N319,10^AB319)</f>
        <v>100000</v>
      </c>
      <c r="P319" s="38">
        <f>IF(ISNUMBER(N319),N319,10^AV319)</f>
        <v>1000000</v>
      </c>
      <c r="Q319" s="38">
        <f>VLOOKUP(H319,'Machine List'!$A$1:$B$138,2,FALSE)</f>
        <v>1</v>
      </c>
      <c r="R319" s="38" t="s">
        <v>277</v>
      </c>
      <c r="S319" s="45">
        <f>IF(ISNUMBER(Q319),Q319,
  SWITCH(
      Q319,
      "1",1,
      "2T",AB319*2,
      "4T",AB319*4,
      "6T",AB319*6,
      "8T",AB319*8,
      "10T",AB319*10,
      "12T",AB319*12,
      "14T",AB319*14,
      "16T",AB319*16,
      "24T",AB319*24,
      "2(T+1)",2*(AB319+1),
      "1T*C",AB319*J321,
      "2*P",L321*2,
      1
  )
)</f>
        <v>1</v>
      </c>
      <c r="T319" s="38" t="s">
        <v>277</v>
      </c>
      <c r="U319" s="38">
        <f>IF(OR(T319="No",T319=""),S319,T319)</f>
        <v>1</v>
      </c>
      <c r="V319" s="38">
        <f>IF(ISNUMBER(Q319),Q319,
  SWITCH(
      Q319,
      "1",1,
      "2T",AV319*2,
      "4T",AV319*4,
      "6T",AV319*6,
      "8T",AV319*8,
      "10T",AV319*10,
      "12T",AV319*12,
      "14T",AV319*14,
      "16T",AV319*16,
      "24T",AV319*24,
      "2(T+1)",2*(AV319+1),
      "1T*C",AV319*J321,
      "2*P",L321*2,
      1
  )
)</f>
        <v>1</v>
      </c>
      <c r="W319" s="38" t="str">
        <f>T319</f>
        <v>No</v>
      </c>
      <c r="X319" s="38">
        <f>IF(OR(W319="No",W319=""),V319,W319)</f>
        <v>1</v>
      </c>
      <c r="Y319" s="38">
        <f>VLOOKUP(H319,'Machine List'!$A$1:$C$138,3,FALSE)</f>
        <v>1</v>
      </c>
      <c r="Z319" s="38">
        <f>VLOOKUP(H319,'Machine List'!$A$1:$D$138,4,FALSE)</f>
        <v>1</v>
      </c>
      <c r="AA319" s="147" t="s">
        <v>405</v>
      </c>
      <c r="AB319" s="38">
        <f>VLOOKUP(AA319,'Item Helper Sheet'!$A$2:$B$16,2,FALSE)</f>
        <v>5</v>
      </c>
      <c r="AC319" s="147">
        <v>7680.0</v>
      </c>
      <c r="AD319" s="147">
        <f>1000*20</f>
        <v>20000</v>
      </c>
      <c r="AE319" s="38">
        <f>AD319*I321</f>
        <v>100000</v>
      </c>
      <c r="AF319" s="38">
        <f>AC319*AE319</f>
        <v>768000000</v>
      </c>
      <c r="AG319" s="75"/>
      <c r="AH319" s="147" t="str">
        <f>AA319</f>
        <v>05 - IV</v>
      </c>
      <c r="AI319" s="38">
        <v>1.0</v>
      </c>
      <c r="AJ319" s="38">
        <v>1.0</v>
      </c>
      <c r="AK319" s="38">
        <f>AJ319*8*4^AB319</f>
        <v>8192</v>
      </c>
      <c r="AL319" s="38">
        <f>MIN(ROUNDDOWN(AK319/AN319,0),U319)</f>
        <v>1</v>
      </c>
      <c r="AM319" s="38">
        <f>IF(OR(T319="No",T319=""),AI319*S319,AI319*T319)</f>
        <v>1</v>
      </c>
      <c r="AN319" s="38">
        <f>ROUNDUP(AC319*VLOOKUP(H319,'Machine List'!$A$2:$D$219,4,FALSE),0)</f>
        <v>7680</v>
      </c>
      <c r="AO319" s="38">
        <f>AN319*AM319</f>
        <v>7680</v>
      </c>
      <c r="AP319" s="38">
        <f>ROUNDUP(AD319*I321,0)</f>
        <v>100000</v>
      </c>
      <c r="AQ319" s="38">
        <f>IF(ISNUMBER(Y319),ROUNDUP(AP319/Y319,0),
  SWITCH(
      Y319,
      "1+0.5C",ROUNDUP(AP319/(1+0.5*VLOOKUP(J321,'Machine Helper Sheet'!$G$1:$K$16,2,FALSE)),0),
      ROUNDUP(AP319/1,0)
  )
)</f>
        <v>100000</v>
      </c>
      <c r="AR319" s="38">
        <f>ROUNDUP(AQ319/AM319,0)</f>
        <v>100000</v>
      </c>
      <c r="AS319" s="38">
        <f>AO319*AR319</f>
        <v>768000000</v>
      </c>
      <c r="AT319" s="75"/>
      <c r="AU319" s="38" t="s">
        <v>408</v>
      </c>
      <c r="AV319" s="38">
        <f>VLOOKUP(AU319,'Item Helper Sheet'!$A$2:$B$16,2,FALSE)</f>
        <v>6</v>
      </c>
      <c r="AW319" s="38">
        <v>2.0</v>
      </c>
      <c r="AX319" s="38">
        <v>1.0</v>
      </c>
      <c r="AY319" s="38">
        <f>AX319*8*4^AV319</f>
        <v>32768</v>
      </c>
      <c r="AZ319" s="38">
        <f>MIN(ROUNDDOWN(AY319/AN319,0),X319)</f>
        <v>1</v>
      </c>
      <c r="BA319" s="38">
        <f>AZ319*AW319</f>
        <v>2</v>
      </c>
      <c r="BB319" s="38">
        <f>AN319</f>
        <v>7680</v>
      </c>
      <c r="BC319" s="38">
        <f>MIN(AV319-AB319,IF(AY319&gt;=BB320*4,
IF(AY319&gt;=BB320*4^2,
IF(AY319&gt;=BB320*4^3,
IF(AY319&gt;=BB320*4^4,
IF(AY319&gt;=BB320*4^5,
IF(AY319&gt;=BB320*4^6,
IF(AY319&gt;=BB320*4^7,
IF(AY319&gt;=BB320*4^8,
IF(AY319&gt;=BB320*4^9,
IF(AY319&gt;=BB320*4^10,
9),
8),
7),
6),
5),
4),
3),
2),
1),
0))</f>
        <v>1</v>
      </c>
      <c r="BD319" s="38">
        <f>BB319*AZ319*4^BC319</f>
        <v>30720</v>
      </c>
      <c r="BE319" s="38">
        <f>BD319*AW319</f>
        <v>61440</v>
      </c>
      <c r="BF319" s="45">
        <f>ROUNDUP(IF(R319="Yes",AP319/(2^((BC319)*2)),AP319/(2^(BC319))),0)</f>
        <v>50000</v>
      </c>
      <c r="BG319" s="45">
        <f>IF(ISNUMBER(Y319),ROUNDUP(BF319/Y319,0),
  SWITCH(
      Y319,
      "1+0.5C",ROUNDUP(BF319/(1+0.5*VLOOKUP(J321,'Machine Helper Sheet'!$G$1:$K$16,2,FALSE)),0),
      ROUNDUP(BF319/1,0)
  )
)</f>
        <v>50000</v>
      </c>
      <c r="BH319" s="45">
        <f>ROUNDUP(BG319/BA319,0)</f>
        <v>25000</v>
      </c>
      <c r="BI319" s="46">
        <f>BH319*BE319</f>
        <v>1536000000</v>
      </c>
      <c r="BK319" s="22"/>
      <c r="BS319" s="6" t="s">
        <v>458</v>
      </c>
      <c r="BT319" s="6" t="s">
        <v>497</v>
      </c>
      <c r="BU319" s="7" t="s">
        <v>281</v>
      </c>
      <c r="BV319" s="7" t="s">
        <v>8</v>
      </c>
      <c r="BW319" s="1" t="s">
        <v>9</v>
      </c>
      <c r="CA319" s="97" t="s">
        <v>513</v>
      </c>
      <c r="CB319" s="97" t="s">
        <v>514</v>
      </c>
      <c r="CC319" s="97" t="s">
        <v>580</v>
      </c>
      <c r="CD319" s="97" t="s">
        <v>581</v>
      </c>
      <c r="CE319" s="97" t="s">
        <v>582</v>
      </c>
      <c r="CG319" s="98" t="s">
        <v>503</v>
      </c>
      <c r="CH319" s="98" t="s">
        <v>583</v>
      </c>
      <c r="CI319" s="98" t="s">
        <v>498</v>
      </c>
      <c r="CJ319" s="98" t="s">
        <v>504</v>
      </c>
      <c r="CK319" s="98" t="s">
        <v>509</v>
      </c>
    </row>
    <row r="320">
      <c r="B320" s="40"/>
      <c r="C320" s="41" t="s">
        <v>103</v>
      </c>
      <c r="D320" s="38">
        <f>900*I321</f>
        <v>4500</v>
      </c>
      <c r="E320" s="38" t="s">
        <v>102</v>
      </c>
      <c r="F320" s="42">
        <f>1000*I321</f>
        <v>5000</v>
      </c>
      <c r="G320" s="43"/>
      <c r="H320" s="99" t="s">
        <v>584</v>
      </c>
      <c r="I320" s="45">
        <f t="array" ref="I320">match(TRUE,ISBLANK(F320:F329),0)-1</f>
        <v>1</v>
      </c>
      <c r="J320" s="100" t="s">
        <v>420</v>
      </c>
      <c r="K320" s="100" t="s">
        <v>585</v>
      </c>
      <c r="L320" s="100" t="s">
        <v>704</v>
      </c>
      <c r="M320" s="38"/>
      <c r="N320" s="38"/>
      <c r="O320" s="38"/>
      <c r="P320" s="38"/>
      <c r="Q320" s="38"/>
      <c r="R320" s="101"/>
      <c r="S320" s="101"/>
      <c r="T320" s="101"/>
      <c r="U320" s="45"/>
      <c r="V320" s="45"/>
      <c r="W320" s="45"/>
      <c r="X320" s="45"/>
      <c r="Y320" s="45"/>
      <c r="Z320" s="45"/>
      <c r="AA320" s="45"/>
      <c r="AB320" s="45"/>
      <c r="AC320" s="45"/>
      <c r="AD320" s="45"/>
      <c r="AE320" s="45"/>
      <c r="AF320" s="45"/>
      <c r="AG320" s="79"/>
      <c r="AH320" s="45"/>
      <c r="AI320" s="45"/>
      <c r="AJ320" s="45"/>
      <c r="AK320" s="45"/>
      <c r="AL320" s="45"/>
      <c r="AM320" s="45"/>
      <c r="AN320" s="45"/>
      <c r="AO320" s="45"/>
      <c r="AP320" s="45"/>
      <c r="AQ320" s="45"/>
      <c r="AR320" s="45"/>
      <c r="AS320" s="45"/>
      <c r="AT320" s="79"/>
      <c r="AU320" s="45"/>
      <c r="AV320" s="45"/>
      <c r="AW320" s="45"/>
      <c r="AX320" s="45"/>
      <c r="AY320" s="45"/>
      <c r="AZ320" s="45"/>
      <c r="BA320" s="45"/>
      <c r="BB320" s="45">
        <f>BB319*AZ319</f>
        <v>7680</v>
      </c>
      <c r="BC320" s="45"/>
      <c r="BD320" s="45"/>
      <c r="BE320" s="45"/>
      <c r="BF320" s="45"/>
      <c r="BG320" s="45"/>
      <c r="BH320" s="45"/>
      <c r="BI320" s="46"/>
      <c r="BK320" s="22"/>
      <c r="BS320" s="6" t="s">
        <v>28</v>
      </c>
      <c r="BT320" s="6">
        <v>10000.0</v>
      </c>
      <c r="BU320" s="6">
        <f>VLOOKUP(BS320,'Item List'!$A$2:$D$300,2,FALSE)</f>
        <v>1</v>
      </c>
      <c r="BV320" s="6">
        <f>VLOOKUP(BS320,'Item List'!$A$2:$D$300,3,FALSE)</f>
        <v>3</v>
      </c>
      <c r="BW320" s="6">
        <f>VLOOKUP(BS320,'Item List'!$A$2:$D$300,4,FALSE)</f>
        <v>2</v>
      </c>
      <c r="CA320" s="140">
        <f t="shared" ref="CA320:CA322" si="14">VLOOKUP(BY320,$BM$6:$BN$24,2)</f>
        <v>75000</v>
      </c>
      <c r="CB320" s="6">
        <f t="shared" ref="CB320:CB322" si="15">CA320/$CH$21</f>
        <v>6.25</v>
      </c>
      <c r="CC320" s="102">
        <f t="shared" ref="CC320:CC322" si="16">1/($CI$8*CB320)</f>
        <v>0.08888888889</v>
      </c>
      <c r="CD320" s="102">
        <f t="shared" ref="CD320:CD322" si="17">1/($CJ$8*CB320)</f>
        <v>0.16</v>
      </c>
      <c r="CE320" s="102">
        <f t="shared" ref="CE320:CE322" si="18">1/($CK$8*CB320)</f>
        <v>160</v>
      </c>
      <c r="CG320" s="38" t="s">
        <v>102</v>
      </c>
      <c r="CH320" s="5">
        <f>VLOOKUP(CG320,BP319:BQ339,2,FALSE)</f>
        <v>5000</v>
      </c>
      <c r="CI320" s="5" t="str">
        <f>CH335/BQ383*20</f>
        <v>#N/A</v>
      </c>
      <c r="CJ320" s="103" t="str">
        <f>CH335/BR383*20</f>
        <v>#N/A</v>
      </c>
      <c r="CK320" s="4">
        <v>1000.0</v>
      </c>
    </row>
    <row r="321">
      <c r="B321" s="40"/>
      <c r="C321" s="41" t="s">
        <v>236</v>
      </c>
      <c r="D321" s="38">
        <f>100*I321</f>
        <v>500</v>
      </c>
      <c r="E321" s="38"/>
      <c r="F321" s="42"/>
      <c r="G321" s="43"/>
      <c r="H321" s="56" t="s">
        <v>502</v>
      </c>
      <c r="I321" s="49">
        <v>5.0</v>
      </c>
      <c r="J321" s="100" t="s">
        <v>424</v>
      </c>
      <c r="K321" s="100">
        <v>0.0</v>
      </c>
      <c r="L321" s="100">
        <v>0.0</v>
      </c>
      <c r="M321" s="45"/>
      <c r="N321" s="45"/>
      <c r="O321" s="45"/>
      <c r="P321" s="45"/>
      <c r="Q321" s="45"/>
      <c r="R321" s="45"/>
      <c r="S321" s="101"/>
      <c r="T321" s="101"/>
      <c r="U321" s="45"/>
      <c r="V321" s="45"/>
      <c r="W321" s="45"/>
      <c r="X321" s="45"/>
      <c r="Y321" s="45"/>
      <c r="Z321" s="45"/>
      <c r="AA321" s="45"/>
      <c r="AB321" s="45"/>
      <c r="AC321" s="45"/>
      <c r="AD321" s="45"/>
      <c r="AE321" s="45"/>
      <c r="AF321" s="45"/>
      <c r="AG321" s="79"/>
      <c r="AH321" s="45"/>
      <c r="AI321" s="45"/>
      <c r="AJ321" s="45"/>
      <c r="AK321" s="45"/>
      <c r="AL321" s="45"/>
      <c r="AM321" s="45"/>
      <c r="AN321" s="45"/>
      <c r="AO321" s="45"/>
      <c r="AP321" s="45"/>
      <c r="AQ321" s="45"/>
      <c r="AR321" s="45"/>
      <c r="AS321" s="45"/>
      <c r="AT321" s="79"/>
      <c r="AU321" s="45"/>
      <c r="AV321" s="45"/>
      <c r="AW321" s="45"/>
      <c r="AX321" s="45"/>
      <c r="AY321" s="45"/>
      <c r="AZ321" s="45"/>
      <c r="BA321" s="45"/>
      <c r="BB321" s="45"/>
      <c r="BC321" s="45"/>
      <c r="BD321" s="45"/>
      <c r="BE321" s="45"/>
      <c r="BF321" s="45"/>
      <c r="BG321" s="45"/>
      <c r="BH321" s="45"/>
      <c r="BI321" s="46"/>
      <c r="BK321" s="22"/>
      <c r="BS321" s="140" t="s">
        <v>32</v>
      </c>
      <c r="BT321" s="140">
        <v>0.0</v>
      </c>
      <c r="BU321" s="6">
        <f>VLOOKUP(BS321,'Item List'!$A$2:$D$300,2,FALSE)</f>
        <v>1</v>
      </c>
      <c r="BV321" s="6">
        <f>VLOOKUP(BS321,'Item List'!$A$2:$D$300,3,FALSE)</f>
        <v>3</v>
      </c>
      <c r="BW321" s="6">
        <f>VLOOKUP(BS321,'Item List'!$A$2:$D$300,4,FALSE)</f>
        <v>2</v>
      </c>
      <c r="CA321" s="140">
        <f t="shared" si="14"/>
        <v>75000</v>
      </c>
      <c r="CB321" s="6">
        <f t="shared" si="15"/>
        <v>6.25</v>
      </c>
      <c r="CC321" s="102">
        <f t="shared" si="16"/>
        <v>0.08888888889</v>
      </c>
      <c r="CD321" s="102">
        <f t="shared" si="17"/>
        <v>0.16</v>
      </c>
      <c r="CE321" s="102">
        <f t="shared" si="18"/>
        <v>160</v>
      </c>
      <c r="CG321" s="5"/>
      <c r="CH321" s="5"/>
      <c r="CI321" s="98" t="s">
        <v>505</v>
      </c>
      <c r="CJ321" s="98" t="s">
        <v>506</v>
      </c>
      <c r="CK321" s="98" t="s">
        <v>586</v>
      </c>
    </row>
    <row r="322">
      <c r="B322" s="135"/>
      <c r="C322" s="136"/>
      <c r="D322" s="137"/>
      <c r="E322" s="137"/>
      <c r="F322" s="137"/>
      <c r="G322" s="138"/>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c r="AG322" s="138"/>
      <c r="AH322" s="137"/>
      <c r="AI322" s="137"/>
      <c r="AJ322" s="137"/>
      <c r="AK322" s="137"/>
      <c r="AL322" s="137"/>
      <c r="AM322" s="137"/>
      <c r="AN322" s="137"/>
      <c r="AO322" s="137"/>
      <c r="AP322" s="137"/>
      <c r="AQ322" s="137"/>
      <c r="AR322" s="137"/>
      <c r="AS322" s="137"/>
      <c r="AT322" s="138"/>
      <c r="AU322" s="137"/>
      <c r="AV322" s="137"/>
      <c r="AW322" s="137"/>
      <c r="AX322" s="137"/>
      <c r="AY322" s="137"/>
      <c r="AZ322" s="137"/>
      <c r="BA322" s="137"/>
      <c r="BB322" s="137"/>
      <c r="BC322" s="137"/>
      <c r="BD322" s="137"/>
      <c r="BE322" s="137"/>
      <c r="BF322" s="137"/>
      <c r="BG322" s="137"/>
      <c r="BH322" s="137"/>
      <c r="BI322" s="139"/>
      <c r="BK322" s="22"/>
      <c r="BS322" s="140" t="s">
        <v>33</v>
      </c>
      <c r="BT322" s="140">
        <v>-320.0</v>
      </c>
      <c r="BU322" s="6">
        <f>VLOOKUP(BS322,'Item List'!$A$2:$D$300,2,FALSE)</f>
        <v>1</v>
      </c>
      <c r="BV322" s="6">
        <f>VLOOKUP(BS322,'Item List'!$A$2:$D$300,3,FALSE)</f>
        <v>3</v>
      </c>
      <c r="BW322" s="6">
        <f>VLOOKUP(BS322,'Item List'!$A$2:$D$300,4,FALSE)</f>
        <v>2</v>
      </c>
      <c r="CA322" s="6" t="str">
        <f t="shared" si="14"/>
        <v>#N/A</v>
      </c>
      <c r="CB322" s="6" t="str">
        <f t="shared" si="15"/>
        <v>#N/A</v>
      </c>
      <c r="CC322" s="102" t="str">
        <f t="shared" si="16"/>
        <v>#N/A</v>
      </c>
      <c r="CD322" s="102" t="str">
        <f t="shared" si="17"/>
        <v>#N/A</v>
      </c>
      <c r="CE322" s="102" t="str">
        <f t="shared" si="18"/>
        <v>#N/A</v>
      </c>
      <c r="CG322" s="5"/>
      <c r="CH322" s="5"/>
      <c r="CI322" s="105" t="str">
        <f>BQ383/CH320/20</f>
        <v>#N/A</v>
      </c>
      <c r="CJ322" s="106" t="str">
        <f>BR383/CH320/20</f>
        <v>#N/A</v>
      </c>
      <c r="CK322" s="5">
        <f>1/CK320*20</f>
        <v>0.02</v>
      </c>
    </row>
    <row r="323">
      <c r="B323" s="31" t="s">
        <v>764</v>
      </c>
      <c r="C323" s="54"/>
      <c r="D323" s="45"/>
      <c r="E323" s="45"/>
      <c r="F323" s="47"/>
      <c r="G323" s="35"/>
      <c r="H323" s="55" t="s">
        <v>350</v>
      </c>
      <c r="I323" s="38" t="str">
        <f>VLOOKUP(H323,'Machine List'!$A$1:$I$300,9,FALSE)</f>
        <v>1T</v>
      </c>
      <c r="J323" s="38">
        <f>IF(VLOOKUP(H323,'Machine List'!$A$1:$I$300,5,FALSE)="Multi",IF(VLOOKUP(H323,'Machine List'!$A$1:$I$300,6,FALSE)="Yes",AI323*3*10^AB323,AI323*(2*3)*10^(AB323-1)),0)</f>
        <v>600000</v>
      </c>
      <c r="K323" s="38">
        <f>J323+IF(ISNUMBER(I323),I323,
  SWITCH(
      I323,
      "1T",1*10^AB323,
      "2T",2*10^AB323,
      "3T",3*10^AB323,
      "4T",4*10^AB323,
      "4000+500(7O-5)",4000+500*(7*I324-5),
      "13500 + 16C",13500+16*VLOOKUP(J325,'Machine Helper Sheet'!$G$1:$K$16,5,FALSE),
      1
  )
)</f>
        <v>1600000</v>
      </c>
      <c r="L323" s="38">
        <f>IF(VLOOKUP(H323,'Machine List'!$A$1:$I$300,5,FALSE)="Multi",IF(VLOOKUP(H323,'Machine List'!$A$1:$I$300,6,FALSE)="Yes",AW323*3*10^AV323,AW323*(2*3)*10^(AV323-1)),0)</f>
        <v>2400000</v>
      </c>
      <c r="M323" s="38">
        <f>L323+IF(ISNUMBER(I323),I323,
  SWITCH(
      I323,
      "1T",1*10^AV323,
      "2T",2*10^AV323,
      "3T",3*10^AV323,
      "4T",4*10^AV323,
      "4000+500(7O-5)",4000+500*(7*I324-5),
      1
  )
)</f>
        <v>3400000</v>
      </c>
      <c r="N323" s="38" t="str">
        <f>VLOOKUP(H323,'Machine List'!$A$1:$I$300,8,FALSE)</f>
        <v>Tier</v>
      </c>
      <c r="O323" s="38">
        <f>IF(ISNUMBER(N323),N323,10^AB323)</f>
        <v>1000000</v>
      </c>
      <c r="P323" s="38">
        <f>IF(ISNUMBER(N323),N323,10^AV323)</f>
        <v>1000000</v>
      </c>
      <c r="Q323" s="38">
        <f>VLOOKUP(H323,'Machine List'!$A$1:$B$138,2,FALSE)</f>
        <v>1</v>
      </c>
      <c r="R323" s="38" t="s">
        <v>277</v>
      </c>
      <c r="S323" s="45">
        <f>IF(ISNUMBER(Q323),Q323,
  SWITCH(
      Q323,
      "1",1,
      "2T",AB323*2,
      "4T",AB323*4,
      "6T",AB323*6,
      "8T",AB323*8,
      "10T",AB323*10,
      "12T",AB323*12,
      "14T",AB323*14,
      "16T",AB323*16,
      "24T",AB323*24,
      "2(T+1)",2*(AB323+1),
      "1T*C",AB323*J325,
      "2*P",L325*2,
      1
  )
)</f>
        <v>1</v>
      </c>
      <c r="T323" s="38" t="s">
        <v>277</v>
      </c>
      <c r="U323" s="38">
        <f>IF(OR(T323="No",T323=""),S323,T323)</f>
        <v>1</v>
      </c>
      <c r="V323" s="38">
        <f>IF(ISNUMBER(Q323),Q323,
  SWITCH(
      Q323,
      "1",1,
      "2T",AV323*2,
      "4T",AV323*4,
      "6T",AV323*6,
      "8T",AV323*8,
      "10T",AV323*10,
      "12T",AV323*12,
      "14T",AV323*14,
      "16T",AV323*16,
      "24T",AV323*24,
      "2(T+1)",2*(AV323+1),
      "1T*C",AV323*J325,
      "2*P",L325*2,
      1
  )
)</f>
        <v>1</v>
      </c>
      <c r="W323" s="38" t="str">
        <f>T323</f>
        <v>No</v>
      </c>
      <c r="X323" s="38">
        <f>IF(OR(W323="No",W323=""),V323,W323)</f>
        <v>1</v>
      </c>
      <c r="Y323" s="38">
        <f>VLOOKUP(H323,'Machine List'!$A$1:$C$138,3,FALSE)</f>
        <v>1</v>
      </c>
      <c r="Z323" s="38">
        <f>VLOOKUP(H323,'Machine List'!$A$1:$D$138,4,FALSE)</f>
        <v>1</v>
      </c>
      <c r="AA323" s="147" t="s">
        <v>408</v>
      </c>
      <c r="AB323" s="38">
        <f>VLOOKUP(AA323,'Item Helper Sheet'!$A$2:$B$16,2,FALSE)</f>
        <v>6</v>
      </c>
      <c r="AC323" s="147">
        <v>0.001</v>
      </c>
      <c r="AD323" s="147">
        <f>100*20</f>
        <v>2000</v>
      </c>
      <c r="AE323" s="38">
        <f>AD323*I325</f>
        <v>100000</v>
      </c>
      <c r="AF323" s="38">
        <f>AC323*AE323</f>
        <v>100</v>
      </c>
      <c r="AG323" s="75"/>
      <c r="AH323" s="147" t="str">
        <f>AA323</f>
        <v>06 - LuV</v>
      </c>
      <c r="AI323" s="38">
        <v>1.0</v>
      </c>
      <c r="AJ323" s="38">
        <v>1.0</v>
      </c>
      <c r="AK323" s="38">
        <f>AJ323*8*4^AB323</f>
        <v>32768</v>
      </c>
      <c r="AL323" s="38">
        <f>MIN(ROUNDDOWN(AK323/AN323,0),U323)</f>
        <v>1</v>
      </c>
      <c r="AM323" s="38">
        <f>IF(OR(T323="No",T323=""),AI323*S323,AI323*T323)</f>
        <v>1</v>
      </c>
      <c r="AN323" s="38">
        <f>ROUNDUP(AC323*VLOOKUP(H323,'Machine List'!$A$2:$D$219,4,FALSE),0)</f>
        <v>1</v>
      </c>
      <c r="AO323" s="38">
        <f>AN323*AM323</f>
        <v>1</v>
      </c>
      <c r="AP323" s="38">
        <f>ROUNDUP(AD323*I325,0)</f>
        <v>100000</v>
      </c>
      <c r="AQ323" s="38">
        <f>IF(ISNUMBER(Y323),ROUNDUP(AP323/Y323,0),
  SWITCH(
      Y323,
      "1+0.5C",ROUNDUP(AP323/(1+0.5*VLOOKUP(J325,'Machine Helper Sheet'!$G$1:$K$16,2,FALSE)),0),
      ROUNDUP(AP323/1,0)
  )
)</f>
        <v>100000</v>
      </c>
      <c r="AR323" s="38">
        <f>ROUNDUP(AQ323/AM323,0)</f>
        <v>100000</v>
      </c>
      <c r="AS323" s="38">
        <f>AO323*AR323</f>
        <v>100000</v>
      </c>
      <c r="AT323" s="75"/>
      <c r="AU323" s="38" t="s">
        <v>408</v>
      </c>
      <c r="AV323" s="38">
        <f>VLOOKUP(AU323,'Item Helper Sheet'!$A$2:$B$16,2,FALSE)</f>
        <v>6</v>
      </c>
      <c r="AW323" s="38">
        <v>4.0</v>
      </c>
      <c r="AX323" s="38">
        <v>1.0</v>
      </c>
      <c r="AY323" s="38">
        <f>AX323*8*4^AV323</f>
        <v>32768</v>
      </c>
      <c r="AZ323" s="38">
        <f>MIN(ROUNDDOWN(AY323/AN323,0),X323)</f>
        <v>1</v>
      </c>
      <c r="BA323" s="38">
        <f>AZ323*AW323</f>
        <v>4</v>
      </c>
      <c r="BB323" s="38">
        <f>AN323</f>
        <v>1</v>
      </c>
      <c r="BC323" s="38">
        <f>MIN(AV323-AB323,IF(AY323&gt;=BB324*4,
IF(AY323&gt;=BB324*4^2,
IF(AY323&gt;=BB324*4^3,
IF(AY323&gt;=BB324*4^4,
IF(AY323&gt;=BB324*4^5,
IF(AY323&gt;=BB324*4^6,
IF(AY323&gt;=BB324*4^7,
IF(AY323&gt;=BB324*4^8,
IF(AY323&gt;=BB324*4^9,
IF(AY323&gt;=BB324*4^10,
9),
8),
7),
6),
5),
4),
3),
2),
1),
0))</f>
        <v>0</v>
      </c>
      <c r="BD323" s="38">
        <f>BB323*AZ323*4^BC323</f>
        <v>1</v>
      </c>
      <c r="BE323" s="38">
        <f>BD323*AW323</f>
        <v>4</v>
      </c>
      <c r="BF323" s="45">
        <f>ROUNDUP(IF(R323="Yes",AP323/(2^((BC323)*2)),AP323/(2^(BC323))),0)</f>
        <v>100000</v>
      </c>
      <c r="BG323" s="45">
        <f>IF(ISNUMBER(Y323),ROUNDUP(BF323/Y323,0),
  SWITCH(
      Y323,
      "1+0.5C",ROUNDUP(BF323/(1+0.5*VLOOKUP(J325,'Machine Helper Sheet'!$G$1:$K$16,2,FALSE)),0),
      ROUNDUP(BF323/1,0)
  )
)</f>
        <v>100000</v>
      </c>
      <c r="BH323" s="45">
        <f>ROUNDUP(BG323/BA323,0)</f>
        <v>25000</v>
      </c>
      <c r="BI323" s="46">
        <f>BH323*BE323</f>
        <v>100000</v>
      </c>
      <c r="BK323" s="22"/>
      <c r="BS323" s="6" t="s">
        <v>71</v>
      </c>
      <c r="BT323" s="140">
        <v>0.0</v>
      </c>
      <c r="BU323" s="6">
        <f>VLOOKUP(BS323,'Item List'!$A$2:$D$300,2,FALSE)</f>
        <v>1</v>
      </c>
      <c r="BV323" s="6">
        <f>VLOOKUP(BS323,'Item List'!$A$2:$D$300,3,FALSE)</f>
        <v>3</v>
      </c>
      <c r="BW323" s="6">
        <f>VLOOKUP(BS323,'Item List'!$A$2:$D$300,4,FALSE)</f>
        <v>2</v>
      </c>
      <c r="CC323" s="102"/>
      <c r="CD323" s="102"/>
      <c r="CE323" s="102"/>
      <c r="CG323" s="5"/>
      <c r="CH323" s="5"/>
      <c r="CI323" s="98" t="s">
        <v>587</v>
      </c>
      <c r="CJ323" s="98" t="s">
        <v>588</v>
      </c>
    </row>
    <row r="324">
      <c r="B324" s="40"/>
      <c r="C324" s="41" t="s">
        <v>102</v>
      </c>
      <c r="D324" s="38">
        <f>100*I325</f>
        <v>5000</v>
      </c>
      <c r="E324" s="38" t="s">
        <v>240</v>
      </c>
      <c r="F324" s="42">
        <f>100*I325</f>
        <v>5000</v>
      </c>
      <c r="G324" s="43"/>
      <c r="H324" s="99" t="s">
        <v>584</v>
      </c>
      <c r="I324" s="45">
        <f t="array" ref="I324">match(TRUE,ISBLANK(F324:F339),0)-1</f>
        <v>4</v>
      </c>
      <c r="J324" s="100" t="s">
        <v>420</v>
      </c>
      <c r="K324" s="100" t="s">
        <v>585</v>
      </c>
      <c r="L324" s="100" t="s">
        <v>704</v>
      </c>
      <c r="M324" s="38"/>
      <c r="N324" s="38"/>
      <c r="O324" s="38"/>
      <c r="P324" s="38"/>
      <c r="Q324" s="38"/>
      <c r="R324" s="101"/>
      <c r="S324" s="101"/>
      <c r="T324" s="101"/>
      <c r="U324" s="45"/>
      <c r="V324" s="45"/>
      <c r="W324" s="45"/>
      <c r="X324" s="45"/>
      <c r="Y324" s="45"/>
      <c r="Z324" s="45"/>
      <c r="AA324" s="45"/>
      <c r="AB324" s="45"/>
      <c r="AC324" s="45"/>
      <c r="AD324" s="45"/>
      <c r="AE324" s="45"/>
      <c r="AF324" s="45"/>
      <c r="AG324" s="79"/>
      <c r="AH324" s="45"/>
      <c r="AI324" s="45"/>
      <c r="AJ324" s="45"/>
      <c r="AK324" s="45"/>
      <c r="AL324" s="45"/>
      <c r="AM324" s="45"/>
      <c r="AN324" s="45"/>
      <c r="AO324" s="45"/>
      <c r="AP324" s="45"/>
      <c r="AQ324" s="45"/>
      <c r="AR324" s="45"/>
      <c r="AS324" s="45"/>
      <c r="AT324" s="79"/>
      <c r="AU324" s="45"/>
      <c r="AV324" s="45"/>
      <c r="AW324" s="45"/>
      <c r="AX324" s="45"/>
      <c r="AY324" s="45"/>
      <c r="AZ324" s="45"/>
      <c r="BA324" s="45"/>
      <c r="BB324" s="45">
        <f>BB323*AZ323</f>
        <v>1</v>
      </c>
      <c r="BC324" s="45"/>
      <c r="BD324" s="45"/>
      <c r="BE324" s="45"/>
      <c r="BF324" s="45"/>
      <c r="BG324" s="45"/>
      <c r="BH324" s="45"/>
      <c r="BI324" s="46"/>
      <c r="BK324" s="22"/>
      <c r="BS324" s="6" t="s">
        <v>72</v>
      </c>
      <c r="BT324" s="6">
        <v>-74000.0</v>
      </c>
      <c r="BU324" s="6">
        <f>VLOOKUP(BS324,'Item List'!$A$2:$D$300,2,FALSE)</f>
        <v>1</v>
      </c>
      <c r="BV324" s="6">
        <f>VLOOKUP(BS324,'Item List'!$A$2:$D$300,3,FALSE)</f>
        <v>3</v>
      </c>
      <c r="BW324" s="6">
        <f>VLOOKUP(BS324,'Item List'!$A$2:$D$300,4,FALSE)</f>
        <v>2</v>
      </c>
      <c r="CC324" s="102"/>
      <c r="CD324" s="102"/>
      <c r="CE324" s="102"/>
      <c r="CG324" s="5"/>
      <c r="CH324" s="5"/>
      <c r="CI324" s="107">
        <f>BN382/CH320</f>
        <v>785296.58</v>
      </c>
      <c r="CJ324" s="107" t="str">
        <f>BO382/CH320</f>
        <v>#N/A</v>
      </c>
      <c r="CK324" s="5"/>
    </row>
    <row r="325">
      <c r="B325" s="40"/>
      <c r="C325" s="41" t="s">
        <v>113</v>
      </c>
      <c r="D325" s="38">
        <f>200*I325</f>
        <v>10000</v>
      </c>
      <c r="E325" s="38" t="s">
        <v>237</v>
      </c>
      <c r="F325" s="42">
        <f>400*I325</f>
        <v>20000</v>
      </c>
      <c r="G325" s="43"/>
      <c r="H325" s="56" t="s">
        <v>502</v>
      </c>
      <c r="I325" s="49">
        <v>50.0</v>
      </c>
      <c r="J325" s="100" t="s">
        <v>424</v>
      </c>
      <c r="K325" s="100">
        <v>0.0</v>
      </c>
      <c r="L325" s="100">
        <v>0.0</v>
      </c>
      <c r="M325" s="45"/>
      <c r="N325" s="45"/>
      <c r="O325" s="45"/>
      <c r="P325" s="45"/>
      <c r="Q325" s="45"/>
      <c r="R325" s="45"/>
      <c r="S325" s="101"/>
      <c r="T325" s="101"/>
      <c r="U325" s="45"/>
      <c r="V325" s="45"/>
      <c r="W325" s="45"/>
      <c r="X325" s="45"/>
      <c r="Y325" s="45"/>
      <c r="Z325" s="45"/>
      <c r="AA325" s="45"/>
      <c r="AB325" s="45"/>
      <c r="AC325" s="45"/>
      <c r="AD325" s="45"/>
      <c r="AE325" s="45"/>
      <c r="AF325" s="45"/>
      <c r="AG325" s="79"/>
      <c r="AH325" s="45"/>
      <c r="AI325" s="45"/>
      <c r="AJ325" s="45"/>
      <c r="AK325" s="45"/>
      <c r="AL325" s="45"/>
      <c r="AM325" s="45"/>
      <c r="AN325" s="45"/>
      <c r="AO325" s="45"/>
      <c r="AP325" s="45"/>
      <c r="AQ325" s="45"/>
      <c r="AR325" s="45"/>
      <c r="AS325" s="45"/>
      <c r="AT325" s="79"/>
      <c r="AU325" s="45"/>
      <c r="AV325" s="45"/>
      <c r="AW325" s="45"/>
      <c r="AX325" s="45"/>
      <c r="AY325" s="45"/>
      <c r="AZ325" s="45"/>
      <c r="BA325" s="45"/>
      <c r="BB325" s="45"/>
      <c r="BC325" s="45"/>
      <c r="BD325" s="45"/>
      <c r="BE325" s="45"/>
      <c r="BF325" s="45"/>
      <c r="BG325" s="45"/>
      <c r="BH325" s="45"/>
      <c r="BI325" s="46"/>
      <c r="BK325" s="22"/>
      <c r="BS325" s="6" t="s">
        <v>82</v>
      </c>
      <c r="BT325" s="6">
        <v>-50000.0</v>
      </c>
      <c r="BU325" s="6">
        <f>VLOOKUP(BS325,'Item List'!$A$2:$D$300,2,FALSE)</f>
        <v>1</v>
      </c>
      <c r="BV325" s="6">
        <f>VLOOKUP(BS325,'Item List'!$A$2:$D$300,3,FALSE)</f>
        <v>4</v>
      </c>
      <c r="BW325" s="6">
        <f>VLOOKUP(BS325,'Item List'!$A$2:$D$300,4,FALSE)</f>
        <v>2</v>
      </c>
    </row>
    <row r="326">
      <c r="B326" s="40"/>
      <c r="C326" s="41"/>
      <c r="D326" s="38"/>
      <c r="E326" s="38" t="s">
        <v>241</v>
      </c>
      <c r="F326" s="42">
        <f>30*I325</f>
        <v>1500</v>
      </c>
      <c r="G326" s="43"/>
      <c r="H326" s="44"/>
      <c r="I326" s="45"/>
      <c r="J326" s="45"/>
      <c r="K326" s="45"/>
      <c r="L326" s="45"/>
      <c r="M326" s="45"/>
      <c r="N326" s="45"/>
      <c r="O326" s="45"/>
      <c r="P326" s="45"/>
      <c r="Q326" s="45"/>
      <c r="R326" s="45"/>
      <c r="S326" s="101"/>
      <c r="T326" s="101"/>
      <c r="U326" s="45"/>
      <c r="V326" s="45"/>
      <c r="W326" s="45"/>
      <c r="X326" s="45"/>
      <c r="Y326" s="45"/>
      <c r="Z326" s="45"/>
      <c r="AA326" s="45"/>
      <c r="AB326" s="45"/>
      <c r="AC326" s="45"/>
      <c r="AD326" s="45"/>
      <c r="AE326" s="45"/>
      <c r="AF326" s="45"/>
      <c r="AG326" s="79"/>
      <c r="AH326" s="45"/>
      <c r="AI326" s="45"/>
      <c r="AJ326" s="45"/>
      <c r="AK326" s="45"/>
      <c r="AL326" s="45"/>
      <c r="AM326" s="45"/>
      <c r="AN326" s="45"/>
      <c r="AO326" s="45"/>
      <c r="AP326" s="45"/>
      <c r="AQ326" s="45"/>
      <c r="AR326" s="45"/>
      <c r="AS326" s="45"/>
      <c r="AT326" s="79"/>
      <c r="AU326" s="45"/>
      <c r="AV326" s="45"/>
      <c r="AW326" s="45"/>
      <c r="AX326" s="45"/>
      <c r="AY326" s="45"/>
      <c r="AZ326" s="45"/>
      <c r="BA326" s="45"/>
      <c r="BB326" s="45"/>
      <c r="BC326" s="45"/>
      <c r="BD326" s="45"/>
      <c r="BE326" s="45"/>
      <c r="BF326" s="45"/>
      <c r="BG326" s="45"/>
      <c r="BH326" s="45"/>
      <c r="BI326" s="46"/>
      <c r="BK326" s="22"/>
      <c r="BS326" s="140" t="s">
        <v>86</v>
      </c>
      <c r="BT326" s="140">
        <v>0.0</v>
      </c>
      <c r="BU326" s="6">
        <f>VLOOKUP(BS326,'Item List'!$A$2:$D$300,2,FALSE)</f>
        <v>1</v>
      </c>
      <c r="BV326" s="6">
        <f>VLOOKUP(BS326,'Item List'!$A$2:$D$300,3,FALSE)</f>
        <v>3</v>
      </c>
      <c r="BW326" s="6">
        <f>VLOOKUP(BS326,'Item List'!$A$2:$D$300,4,FALSE)</f>
        <v>2</v>
      </c>
      <c r="CA326" s="97" t="s">
        <v>589</v>
      </c>
      <c r="CB326" s="97" t="s">
        <v>514</v>
      </c>
      <c r="CC326" s="97" t="s">
        <v>590</v>
      </c>
      <c r="CD326" s="97" t="s">
        <v>591</v>
      </c>
      <c r="CE326" s="97" t="s">
        <v>592</v>
      </c>
      <c r="CG326" s="108" t="s">
        <v>595</v>
      </c>
      <c r="CH326" s="108" t="s">
        <v>596</v>
      </c>
    </row>
    <row r="327">
      <c r="B327" s="40"/>
      <c r="C327" s="41"/>
      <c r="D327" s="133"/>
      <c r="E327" s="38" t="s">
        <v>244</v>
      </c>
      <c r="F327" s="42">
        <f>50*I325</f>
        <v>2500</v>
      </c>
      <c r="G327" s="43"/>
      <c r="H327" s="44"/>
      <c r="I327" s="45"/>
      <c r="J327" s="45"/>
      <c r="K327" s="45"/>
      <c r="L327" s="45"/>
      <c r="M327" s="45"/>
      <c r="N327" s="45"/>
      <c r="O327" s="45"/>
      <c r="P327" s="45"/>
      <c r="Q327" s="45"/>
      <c r="R327" s="45"/>
      <c r="S327" s="101"/>
      <c r="T327" s="101"/>
      <c r="U327" s="45"/>
      <c r="V327" s="45"/>
      <c r="W327" s="45"/>
      <c r="X327" s="45"/>
      <c r="Y327" s="45"/>
      <c r="Z327" s="45"/>
      <c r="AA327" s="45"/>
      <c r="AB327" s="45"/>
      <c r="AC327" s="45"/>
      <c r="AD327" s="45"/>
      <c r="AE327" s="45"/>
      <c r="AF327" s="45"/>
      <c r="AG327" s="79"/>
      <c r="AH327" s="45"/>
      <c r="AI327" s="45"/>
      <c r="AJ327" s="45"/>
      <c r="AK327" s="45"/>
      <c r="AL327" s="45"/>
      <c r="AM327" s="45"/>
      <c r="AN327" s="45"/>
      <c r="AO327" s="45"/>
      <c r="AP327" s="45"/>
      <c r="AQ327" s="45"/>
      <c r="AR327" s="45"/>
      <c r="AS327" s="45"/>
      <c r="AT327" s="79"/>
      <c r="AU327" s="45"/>
      <c r="AV327" s="45"/>
      <c r="AW327" s="45"/>
      <c r="AX327" s="45"/>
      <c r="AY327" s="45"/>
      <c r="AZ327" s="45"/>
      <c r="BA327" s="45"/>
      <c r="BB327" s="45"/>
      <c r="BC327" s="45"/>
      <c r="BD327" s="45"/>
      <c r="BE327" s="45"/>
      <c r="BF327" s="45"/>
      <c r="BG327" s="45"/>
      <c r="BH327" s="45"/>
      <c r="BI327" s="46"/>
      <c r="BK327" s="22"/>
      <c r="BS327" s="140" t="s">
        <v>87</v>
      </c>
      <c r="BT327" s="140">
        <v>1000.0</v>
      </c>
      <c r="BU327" s="6">
        <f>VLOOKUP(BS327,'Item List'!$A$2:$D$300,2,FALSE)</f>
        <v>1</v>
      </c>
      <c r="BV327" s="6">
        <f>VLOOKUP(BS327,'Item List'!$A$2:$D$300,3,FALSE)</f>
        <v>4</v>
      </c>
      <c r="BW327" s="6">
        <f>VLOOKUP(BS327,'Item List'!$A$2:$D$300,4,FALSE)</f>
        <v>1</v>
      </c>
      <c r="CA327" s="140">
        <f t="shared" ref="CA327:CA330" si="19">BZ327</f>
        <v>17500</v>
      </c>
      <c r="CB327" s="6">
        <f t="shared" ref="CB327:CB330" si="20">CA327/$CH$21</f>
        <v>1.458333333</v>
      </c>
      <c r="CC327" s="102">
        <f t="shared" ref="CC327:CC330" si="21">1/($CI$8*CB327)</f>
        <v>0.380952381</v>
      </c>
      <c r="CD327" s="102">
        <f t="shared" ref="CD327:CD330" si="22">1/($CJ$8*CB327)</f>
        <v>0.6857142857</v>
      </c>
      <c r="CE327" s="102">
        <f t="shared" ref="CE327:CE330" si="23">1/($CK$8*CB327)</f>
        <v>685.7142857</v>
      </c>
      <c r="CG327" s="98" t="s">
        <v>597</v>
      </c>
      <c r="CH327" s="98" t="s">
        <v>597</v>
      </c>
    </row>
    <row r="328">
      <c r="B328" s="135"/>
      <c r="C328" s="136"/>
      <c r="D328" s="137"/>
      <c r="E328" s="137"/>
      <c r="F328" s="137"/>
      <c r="G328" s="138"/>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c r="AG328" s="138"/>
      <c r="AH328" s="137"/>
      <c r="AI328" s="137"/>
      <c r="AJ328" s="137"/>
      <c r="AK328" s="137"/>
      <c r="AL328" s="137"/>
      <c r="AM328" s="137"/>
      <c r="AN328" s="137"/>
      <c r="AO328" s="137"/>
      <c r="AP328" s="137"/>
      <c r="AQ328" s="137"/>
      <c r="AR328" s="137"/>
      <c r="AS328" s="137"/>
      <c r="AT328" s="138"/>
      <c r="AU328" s="137"/>
      <c r="AV328" s="137"/>
      <c r="AW328" s="137"/>
      <c r="AX328" s="137"/>
      <c r="AY328" s="137"/>
      <c r="AZ328" s="137"/>
      <c r="BA328" s="137"/>
      <c r="BB328" s="137"/>
      <c r="BC328" s="137"/>
      <c r="BD328" s="137"/>
      <c r="BE328" s="137"/>
      <c r="BF328" s="137"/>
      <c r="BG328" s="137"/>
      <c r="BH328" s="137"/>
      <c r="BI328" s="139"/>
      <c r="BK328" s="22"/>
      <c r="BS328" s="140" t="s">
        <v>90</v>
      </c>
      <c r="BT328" s="140">
        <v>0.0</v>
      </c>
      <c r="BU328" s="6">
        <f>VLOOKUP(BS328,'Item List'!$A$2:$D$300,2,FALSE)</f>
        <v>1</v>
      </c>
      <c r="BV328" s="6">
        <f>VLOOKUP(BS328,'Item List'!$A$2:$D$300,3,FALSE)</f>
        <v>3</v>
      </c>
      <c r="BW328" s="6">
        <f>VLOOKUP(BS328,'Item List'!$A$2:$D$300,4,FALSE)</f>
        <v>2</v>
      </c>
      <c r="CA328" s="6" t="str">
        <f t="shared" si="19"/>
        <v/>
      </c>
      <c r="CB328" s="6">
        <f t="shared" si="20"/>
        <v>0</v>
      </c>
      <c r="CC328" s="102" t="str">
        <f t="shared" si="21"/>
        <v>#DIV/0!</v>
      </c>
      <c r="CD328" s="102" t="str">
        <f t="shared" si="22"/>
        <v>#DIV/0!</v>
      </c>
      <c r="CE328" s="102" t="str">
        <f t="shared" si="23"/>
        <v>#DIV/0!</v>
      </c>
      <c r="CG328" s="5">
        <f>BY406</f>
        <v>19</v>
      </c>
      <c r="CH328" s="4">
        <f>BY429</f>
        <v>26</v>
      </c>
    </row>
    <row r="329">
      <c r="B329" s="31" t="s">
        <v>765</v>
      </c>
      <c r="C329" s="54"/>
      <c r="D329" s="45"/>
      <c r="E329" s="45"/>
      <c r="F329" s="47"/>
      <c r="G329" s="35"/>
      <c r="H329" s="55" t="s">
        <v>369</v>
      </c>
      <c r="I329" s="38" t="str">
        <f>VLOOKUP(H329,'Machine List'!$A$1:$I$300,9,FALSE)</f>
        <v>1T</v>
      </c>
      <c r="J329" s="38">
        <f>IF(VLOOKUP(H329,'Machine List'!$A$1:$I$300,5,FALSE)="Multi",IF(VLOOKUP(H329,'Machine List'!$A$1:$I$300,6,FALSE)="Yes",AI329*3*10^AB329,AI329*(2*3)*10^(AB329-1)),0)</f>
        <v>60000</v>
      </c>
      <c r="K329" s="38">
        <f>J329+IF(ISNUMBER(I329),I329,
  SWITCH(
      I329,
      "1T",1*10^AB329,
      "2T",2*10^AB329,
      "3T",3*10^AB329,
      "4T",4*10^AB329,
      "4000+500(7O-5)",4000+500*(7*I330-5),
      "13500 + 16C",13500+16*VLOOKUP(J331,'Machine Helper Sheet'!$G$1:$K$16,5,FALSE),
      1
  )
)</f>
        <v>160000</v>
      </c>
      <c r="L329" s="38">
        <f>IF(VLOOKUP(H329,'Machine List'!$A$1:$I$300,5,FALSE)="Multi",IF(VLOOKUP(H329,'Machine List'!$A$1:$I$300,6,FALSE)="Yes",AW329*3*10^AV329,AW329*(2*3)*10^(AV329-1)),0)</f>
        <v>600000</v>
      </c>
      <c r="M329" s="38">
        <f>L329+IF(ISNUMBER(I329),I329,
  SWITCH(
      I329,
      "1T",1*10^AV329,
      "2T",2*10^AV329,
      "3T",3*10^AV329,
      "4T",4*10^AV329,
      "4000+500(7O-5)",4000+500*(7*I330-5),
      1
  )
)</f>
        <v>1600000</v>
      </c>
      <c r="N329" s="38" t="str">
        <f>VLOOKUP(H329,'Machine List'!$A$1:$I$300,8,FALSE)</f>
        <v>Tier</v>
      </c>
      <c r="O329" s="38">
        <f>IF(ISNUMBER(N329),N329,10^AB329)</f>
        <v>100000</v>
      </c>
      <c r="P329" s="38">
        <f>IF(ISNUMBER(N329),N329,10^AV329)</f>
        <v>1000000</v>
      </c>
      <c r="Q329" s="38">
        <f>VLOOKUP(H329,'Machine List'!$A$1:$B$138,2,FALSE)</f>
        <v>1</v>
      </c>
      <c r="R329" s="38" t="s">
        <v>277</v>
      </c>
      <c r="S329" s="45">
        <f>IF(ISNUMBER(Q329),Q329,
  SWITCH(
      Q329,
      "1",1,
      "2T",AB329*2,
      "4T",AB329*4,
      "6T",AB329*6,
      "8T",AB329*8,
      "10T",AB329*10,
      "12T",AB329*12,
      "14T",AB329*14,
      "16T",AB329*16,
      "24T",AB329*24,
      "2(T+1)",2*(AB329+1),
      "1T*C",AB329*J331,
      "2*P",L331*2,
      1
  )
)</f>
        <v>1</v>
      </c>
      <c r="T329" s="38" t="s">
        <v>277</v>
      </c>
      <c r="U329" s="38">
        <f>IF(OR(T329="No",T329=""),S329,T329)</f>
        <v>1</v>
      </c>
      <c r="V329" s="38">
        <f>IF(ISNUMBER(Q329),Q329,
  SWITCH(
      Q329,
      "1",1,
      "2T",AV329*2,
      "4T",AV329*4,
      "6T",AV329*6,
      "8T",AV329*8,
      "10T",AV329*10,
      "12T",AV329*12,
      "14T",AV329*14,
      "16T",AV329*16,
      "24T",AV329*24,
      "2(T+1)",2*(AV329+1),
      "1T*C",AV329*J331,
      "2*P",L331*2,
      1
  )
)</f>
        <v>1</v>
      </c>
      <c r="W329" s="38" t="str">
        <f>T329</f>
        <v>No</v>
      </c>
      <c r="X329" s="38">
        <f>IF(OR(W329="No",W329=""),V329,W329)</f>
        <v>1</v>
      </c>
      <c r="Y329" s="38">
        <f>VLOOKUP(H329,'Machine List'!$A$1:$C$138,3,FALSE)</f>
        <v>1</v>
      </c>
      <c r="Z329" s="38">
        <f>VLOOKUP(H329,'Machine List'!$A$1:$D$138,4,FALSE)</f>
        <v>1</v>
      </c>
      <c r="AA329" s="147" t="s">
        <v>405</v>
      </c>
      <c r="AB329" s="38">
        <f>VLOOKUP(AA329,'Item Helper Sheet'!$A$2:$B$16,2,FALSE)</f>
        <v>5</v>
      </c>
      <c r="AC329" s="147">
        <v>7680.0</v>
      </c>
      <c r="AD329" s="147">
        <f>25*20</f>
        <v>500</v>
      </c>
      <c r="AE329" s="38">
        <f>AD329*I331</f>
        <v>50000</v>
      </c>
      <c r="AF329" s="38">
        <f>AC329*AE329</f>
        <v>384000000</v>
      </c>
      <c r="AG329" s="75"/>
      <c r="AH329" s="147" t="str">
        <f>AA329</f>
        <v>05 - IV</v>
      </c>
      <c r="AI329" s="38">
        <v>1.0</v>
      </c>
      <c r="AJ329" s="38">
        <v>1.0</v>
      </c>
      <c r="AK329" s="38">
        <f>AJ329*8*4^AB329</f>
        <v>8192</v>
      </c>
      <c r="AL329" s="38">
        <f>MIN(ROUNDDOWN(AK329/AN329,0),U329)</f>
        <v>1</v>
      </c>
      <c r="AM329" s="38">
        <f>IF(OR(T329="No",T329=""),AI329*S329,AI329*T329)</f>
        <v>1</v>
      </c>
      <c r="AN329" s="38">
        <f>ROUNDUP(AC329*VLOOKUP(H329,'Machine List'!$A$2:$D$219,4,FALSE),0)</f>
        <v>7680</v>
      </c>
      <c r="AO329" s="38">
        <f>AN329*AM329</f>
        <v>7680</v>
      </c>
      <c r="AP329" s="38">
        <f>ROUNDUP(AD329*I331,0)</f>
        <v>50000</v>
      </c>
      <c r="AQ329" s="38">
        <f>IF(ISNUMBER(Y329),ROUNDUP(AP329/Y329,0),
  SWITCH(
      Y329,
      "1+0.5C",ROUNDUP(AP329/(1+0.5*VLOOKUP(J331,'Machine Helper Sheet'!$G$1:$K$16,2,FALSE)),0),
      ROUNDUP(AP329/1,0)
  )
)</f>
        <v>50000</v>
      </c>
      <c r="AR329" s="38">
        <f>ROUNDUP(AQ329/AM329,0)</f>
        <v>50000</v>
      </c>
      <c r="AS329" s="38">
        <f>AO329*AR329</f>
        <v>384000000</v>
      </c>
      <c r="AT329" s="75"/>
      <c r="AU329" s="38" t="s">
        <v>408</v>
      </c>
      <c r="AV329" s="38">
        <f>VLOOKUP(AU329,'Item Helper Sheet'!$A$2:$B$16,2,FALSE)</f>
        <v>6</v>
      </c>
      <c r="AW329" s="38">
        <f>AI329</f>
        <v>1</v>
      </c>
      <c r="AX329" s="38">
        <v>1.0</v>
      </c>
      <c r="AY329" s="38">
        <f>AX329*8*4^AV329</f>
        <v>32768</v>
      </c>
      <c r="AZ329" s="38">
        <f>MIN(ROUNDDOWN(AY329/AN329,0),X329)</f>
        <v>1</v>
      </c>
      <c r="BA329" s="38">
        <f>AZ329*AW329</f>
        <v>1</v>
      </c>
      <c r="BB329" s="38">
        <f>AN329</f>
        <v>7680</v>
      </c>
      <c r="BC329" s="38">
        <f>MIN(AV329-AB329,IF(AY329&gt;=BB330*4,
IF(AY329&gt;=BB330*4^2,
IF(AY329&gt;=BB330*4^3,
IF(AY329&gt;=BB330*4^4,
IF(AY329&gt;=BB330*4^5,
IF(AY329&gt;=BB330*4^6,
IF(AY329&gt;=BB330*4^7,
IF(AY329&gt;=BB330*4^8,
IF(AY329&gt;=BB330*4^9,
IF(AY329&gt;=BB330*4^10,
9),
8),
7),
6),
5),
4),
3),
2),
1),
0))</f>
        <v>1</v>
      </c>
      <c r="BD329" s="38">
        <f>BB329*AZ329*4^BC329</f>
        <v>30720</v>
      </c>
      <c r="BE329" s="38">
        <f>BD329*AW329</f>
        <v>30720</v>
      </c>
      <c r="BF329" s="45">
        <f>ROUNDUP(IF(R329="Yes",AP329/(2^((BC329)*2)),AP329/(2^(BC329))),0)</f>
        <v>25000</v>
      </c>
      <c r="BG329" s="45">
        <f>IF(ISNUMBER(Y329),ROUNDUP(BF329/Y329,0),
  SWITCH(
      Y329,
      "1+0.5C",ROUNDUP(BF329/(1+0.5*VLOOKUP(J331,'Machine Helper Sheet'!$G$1:$K$16,2,FALSE)),0),
      ROUNDUP(BF329/1,0)
  )
)</f>
        <v>25000</v>
      </c>
      <c r="BH329" s="45">
        <f>ROUNDUP(BG329/BA329,0)</f>
        <v>25000</v>
      </c>
      <c r="BI329" s="46">
        <f>BH329*BE329</f>
        <v>768000000</v>
      </c>
      <c r="BK329" s="22"/>
      <c r="BS329" s="140" t="s">
        <v>91</v>
      </c>
      <c r="BT329" s="140">
        <v>1500.0</v>
      </c>
      <c r="BU329" s="6">
        <f>VLOOKUP(BS329,'Item List'!$A$2:$D$300,2,FALSE)</f>
        <v>1</v>
      </c>
      <c r="BV329" s="6">
        <f>VLOOKUP(BS329,'Item List'!$A$2:$D$300,3,FALSE)</f>
        <v>3</v>
      </c>
      <c r="BW329" s="6">
        <f>VLOOKUP(BS329,'Item List'!$A$2:$D$300,4,FALSE)</f>
        <v>2</v>
      </c>
      <c r="CA329" s="6" t="str">
        <f t="shared" si="19"/>
        <v/>
      </c>
      <c r="CB329" s="6">
        <f t="shared" si="20"/>
        <v>0</v>
      </c>
      <c r="CC329" s="102" t="str">
        <f t="shared" si="21"/>
        <v>#DIV/0!</v>
      </c>
      <c r="CD329" s="102" t="str">
        <f t="shared" si="22"/>
        <v>#DIV/0!</v>
      </c>
      <c r="CE329" s="102" t="str">
        <f t="shared" si="23"/>
        <v>#DIV/0!</v>
      </c>
      <c r="CG329" s="98" t="s">
        <v>598</v>
      </c>
      <c r="CH329" s="98" t="s">
        <v>598</v>
      </c>
    </row>
    <row r="330">
      <c r="B330" s="40"/>
      <c r="C330" s="41" t="s">
        <v>240</v>
      </c>
      <c r="D330" s="38">
        <f>50*I331</f>
        <v>5000</v>
      </c>
      <c r="E330" s="38" t="s">
        <v>222</v>
      </c>
      <c r="F330" s="42">
        <f>50*I331</f>
        <v>5000</v>
      </c>
      <c r="G330" s="43"/>
      <c r="H330" s="99" t="s">
        <v>584</v>
      </c>
      <c r="I330" s="45">
        <f t="array" ref="I330">match(TRUE,ISBLANK(F330:F345),0)-1</f>
        <v>7</v>
      </c>
      <c r="J330" s="100" t="s">
        <v>420</v>
      </c>
      <c r="K330" s="100" t="s">
        <v>585</v>
      </c>
      <c r="L330" s="100" t="s">
        <v>704</v>
      </c>
      <c r="M330" s="38"/>
      <c r="N330" s="38"/>
      <c r="O330" s="38"/>
      <c r="P330" s="38"/>
      <c r="Q330" s="38"/>
      <c r="R330" s="101"/>
      <c r="S330" s="101"/>
      <c r="T330" s="101"/>
      <c r="U330" s="45"/>
      <c r="V330" s="45"/>
      <c r="W330" s="45"/>
      <c r="X330" s="45"/>
      <c r="Y330" s="45"/>
      <c r="Z330" s="45"/>
      <c r="AA330" s="45"/>
      <c r="AB330" s="45"/>
      <c r="AC330" s="45"/>
      <c r="AD330" s="45"/>
      <c r="AE330" s="45"/>
      <c r="AF330" s="45"/>
      <c r="AG330" s="79"/>
      <c r="AH330" s="45"/>
      <c r="AI330" s="45"/>
      <c r="AJ330" s="45"/>
      <c r="AK330" s="45"/>
      <c r="AL330" s="45"/>
      <c r="AM330" s="45"/>
      <c r="AN330" s="45"/>
      <c r="AO330" s="45"/>
      <c r="AP330" s="45"/>
      <c r="AQ330" s="45"/>
      <c r="AR330" s="45"/>
      <c r="AS330" s="45"/>
      <c r="AT330" s="79"/>
      <c r="AU330" s="45"/>
      <c r="AV330" s="45"/>
      <c r="AW330" s="45"/>
      <c r="AX330" s="45"/>
      <c r="AY330" s="45"/>
      <c r="AZ330" s="45"/>
      <c r="BA330" s="45"/>
      <c r="BB330" s="45">
        <f>BB329*AZ329</f>
        <v>7680</v>
      </c>
      <c r="BC330" s="45"/>
      <c r="BD330" s="45"/>
      <c r="BE330" s="45"/>
      <c r="BF330" s="45"/>
      <c r="BG330" s="45"/>
      <c r="BH330" s="45"/>
      <c r="BI330" s="46"/>
      <c r="BK330" s="22"/>
      <c r="BS330" s="6" t="s">
        <v>98</v>
      </c>
      <c r="BT330" s="6">
        <v>10000.0</v>
      </c>
      <c r="BU330" s="6">
        <f>VLOOKUP(BS330,'Item List'!$A$2:$D$300,2,FALSE)</f>
        <v>1</v>
      </c>
      <c r="BV330" s="6">
        <f>VLOOKUP(BS330,'Item List'!$A$2:$D$300,3,FALSE)</f>
        <v>3</v>
      </c>
      <c r="BW330" s="6">
        <f>VLOOKUP(BS330,'Item List'!$A$2:$D$300,4,FALSE)</f>
        <v>2</v>
      </c>
      <c r="CA330" s="6" t="str">
        <f t="shared" si="19"/>
        <v/>
      </c>
      <c r="CB330" s="6">
        <f t="shared" si="20"/>
        <v>0</v>
      </c>
      <c r="CC330" s="102" t="str">
        <f t="shared" si="21"/>
        <v>#DIV/0!</v>
      </c>
      <c r="CD330" s="102" t="str">
        <f t="shared" si="22"/>
        <v>#DIV/0!</v>
      </c>
      <c r="CE330" s="102" t="str">
        <f t="shared" si="23"/>
        <v>#DIV/0!</v>
      </c>
      <c r="CG330" s="5">
        <f>SUM(BZ333:BZ351)</f>
        <v>2441838</v>
      </c>
      <c r="CH330" s="5">
        <f>SUM(CD333:CD351)</f>
        <v>36253000</v>
      </c>
    </row>
    <row r="331">
      <c r="B331" s="40"/>
      <c r="C331" s="41" t="s">
        <v>82</v>
      </c>
      <c r="D331" s="38">
        <f>1000*I331</f>
        <v>100000</v>
      </c>
      <c r="E331" s="38" t="s">
        <v>82</v>
      </c>
      <c r="F331" s="42">
        <f>500*I331</f>
        <v>50000</v>
      </c>
      <c r="G331" s="43"/>
      <c r="H331" s="56" t="s">
        <v>502</v>
      </c>
      <c r="I331" s="49">
        <v>100.0</v>
      </c>
      <c r="J331" s="100" t="s">
        <v>424</v>
      </c>
      <c r="K331" s="100">
        <v>0.0</v>
      </c>
      <c r="L331" s="100">
        <v>0.0</v>
      </c>
      <c r="M331" s="45"/>
      <c r="N331" s="45"/>
      <c r="O331" s="45"/>
      <c r="P331" s="45"/>
      <c r="Q331" s="45"/>
      <c r="R331" s="45"/>
      <c r="S331" s="101"/>
      <c r="T331" s="101"/>
      <c r="U331" s="45"/>
      <c r="V331" s="45"/>
      <c r="W331" s="45"/>
      <c r="X331" s="45"/>
      <c r="Y331" s="45"/>
      <c r="Z331" s="45"/>
      <c r="AA331" s="45"/>
      <c r="AB331" s="45"/>
      <c r="AC331" s="45"/>
      <c r="AD331" s="45"/>
      <c r="AE331" s="45"/>
      <c r="AF331" s="45"/>
      <c r="AG331" s="79"/>
      <c r="AH331" s="45"/>
      <c r="AI331" s="45"/>
      <c r="AJ331" s="45"/>
      <c r="AK331" s="45"/>
      <c r="AL331" s="45"/>
      <c r="AM331" s="45"/>
      <c r="AN331" s="45"/>
      <c r="AO331" s="45"/>
      <c r="AP331" s="45"/>
      <c r="AQ331" s="45"/>
      <c r="AR331" s="45"/>
      <c r="AS331" s="45"/>
      <c r="AT331" s="79"/>
      <c r="AU331" s="45"/>
      <c r="AV331" s="45"/>
      <c r="AW331" s="45"/>
      <c r="AX331" s="45"/>
      <c r="AY331" s="45"/>
      <c r="AZ331" s="45"/>
      <c r="BA331" s="45"/>
      <c r="BB331" s="45"/>
      <c r="BC331" s="45"/>
      <c r="BD331" s="45"/>
      <c r="BE331" s="45"/>
      <c r="BF331" s="45"/>
      <c r="BG331" s="45"/>
      <c r="BH331" s="45"/>
      <c r="BI331" s="46"/>
      <c r="BK331" s="22"/>
      <c r="BS331" s="6" t="s">
        <v>102</v>
      </c>
      <c r="BT331" s="6">
        <v>0.0</v>
      </c>
      <c r="BU331" s="6">
        <f>VLOOKUP(BS331,'Item List'!$A$2:$D$300,2,FALSE)</f>
        <v>1</v>
      </c>
      <c r="BV331" s="6">
        <f>VLOOKUP(BS331,'Item List'!$A$2:$D$300,3,FALSE)</f>
        <v>3</v>
      </c>
      <c r="BW331" s="6">
        <f>VLOOKUP(BS331,'Item List'!$A$2:$D$300,4,FALSE)</f>
        <v>2</v>
      </c>
      <c r="CG331" s="98" t="s">
        <v>600</v>
      </c>
      <c r="CH331" s="98" t="s">
        <v>600</v>
      </c>
    </row>
    <row r="332">
      <c r="B332" s="40"/>
      <c r="C332" s="41"/>
      <c r="D332" s="38"/>
      <c r="E332" s="38" t="s">
        <v>251</v>
      </c>
      <c r="F332" s="42">
        <f>100*I331</f>
        <v>10000</v>
      </c>
      <c r="G332" s="43"/>
      <c r="H332" s="44"/>
      <c r="I332" s="45"/>
      <c r="J332" s="45"/>
      <c r="K332" s="45"/>
      <c r="L332" s="45"/>
      <c r="M332" s="45"/>
      <c r="N332" s="45"/>
      <c r="O332" s="45"/>
      <c r="P332" s="45"/>
      <c r="Q332" s="45"/>
      <c r="R332" s="45"/>
      <c r="S332" s="101"/>
      <c r="T332" s="101"/>
      <c r="U332" s="45"/>
      <c r="V332" s="45"/>
      <c r="W332" s="45"/>
      <c r="X332" s="45"/>
      <c r="Y332" s="45"/>
      <c r="Z332" s="45"/>
      <c r="AA332" s="45"/>
      <c r="AB332" s="45"/>
      <c r="AC332" s="45"/>
      <c r="AD332" s="45"/>
      <c r="AE332" s="45"/>
      <c r="AF332" s="45"/>
      <c r="AG332" s="79"/>
      <c r="AH332" s="45"/>
      <c r="AI332" s="45"/>
      <c r="AJ332" s="45"/>
      <c r="AK332" s="45"/>
      <c r="AL332" s="45"/>
      <c r="AM332" s="45"/>
      <c r="AN332" s="45"/>
      <c r="AO332" s="45"/>
      <c r="AP332" s="45"/>
      <c r="AQ332" s="45"/>
      <c r="AR332" s="45"/>
      <c r="AS332" s="45"/>
      <c r="AT332" s="79"/>
      <c r="AU332" s="45"/>
      <c r="AV332" s="45"/>
      <c r="AW332" s="45"/>
      <c r="AX332" s="45"/>
      <c r="AY332" s="45"/>
      <c r="AZ332" s="45"/>
      <c r="BA332" s="45"/>
      <c r="BB332" s="45"/>
      <c r="BC332" s="45"/>
      <c r="BD332" s="45"/>
      <c r="BE332" s="45"/>
      <c r="BF332" s="45"/>
      <c r="BG332" s="45"/>
      <c r="BH332" s="45"/>
      <c r="BI332" s="46"/>
      <c r="BK332" s="22"/>
      <c r="BS332" s="6" t="s">
        <v>103</v>
      </c>
      <c r="BT332" s="140">
        <v>1500.0</v>
      </c>
      <c r="BU332" s="6">
        <f>VLOOKUP(BS332,'Item List'!$A$2:$D$300,2,FALSE)</f>
        <v>1</v>
      </c>
      <c r="BV332" s="6">
        <f>VLOOKUP(BS332,'Item List'!$A$2:$D$300,3,FALSE)</f>
        <v>3</v>
      </c>
      <c r="BW332" s="6">
        <f>VLOOKUP(BS332,'Item List'!$A$2:$D$300,4,FALSE)</f>
        <v>2</v>
      </c>
      <c r="BY332" s="6" t="s">
        <v>457</v>
      </c>
      <c r="BZ332" s="6" t="s">
        <v>607</v>
      </c>
      <c r="CA332" s="6" t="s">
        <v>545</v>
      </c>
      <c r="CC332" s="6" t="s">
        <v>457</v>
      </c>
      <c r="CD332" s="6" t="s">
        <v>620</v>
      </c>
      <c r="CE332" s="6" t="s">
        <v>546</v>
      </c>
      <c r="CG332" s="5">
        <f>CA353</f>
        <v>1000000</v>
      </c>
      <c r="CH332" s="5">
        <f>CE353</f>
        <v>1000000</v>
      </c>
    </row>
    <row r="333">
      <c r="B333" s="40"/>
      <c r="C333" s="41"/>
      <c r="D333" s="38"/>
      <c r="E333" s="38" t="s">
        <v>128</v>
      </c>
      <c r="F333" s="38">
        <f>100*I331</f>
        <v>10000</v>
      </c>
      <c r="G333" s="79"/>
      <c r="H333" s="45"/>
      <c r="I333" s="45"/>
      <c r="J333" s="45"/>
      <c r="K333" s="45"/>
      <c r="L333" s="45"/>
      <c r="M333" s="45"/>
      <c r="N333" s="45"/>
      <c r="O333" s="45"/>
      <c r="P333" s="45"/>
      <c r="Q333" s="45"/>
      <c r="R333" s="45"/>
      <c r="S333" s="101"/>
      <c r="T333" s="101"/>
      <c r="U333" s="45"/>
      <c r="V333" s="45"/>
      <c r="W333" s="45"/>
      <c r="X333" s="45"/>
      <c r="Y333" s="45"/>
      <c r="Z333" s="45"/>
      <c r="AA333" s="45"/>
      <c r="AB333" s="45"/>
      <c r="AC333" s="45"/>
      <c r="AD333" s="45"/>
      <c r="AE333" s="45"/>
      <c r="AF333" s="45"/>
      <c r="AG333" s="79"/>
      <c r="AH333" s="45"/>
      <c r="AI333" s="45"/>
      <c r="AJ333" s="45"/>
      <c r="AK333" s="45"/>
      <c r="AL333" s="45"/>
      <c r="AM333" s="45"/>
      <c r="AN333" s="45"/>
      <c r="AO333" s="45"/>
      <c r="AP333" s="45"/>
      <c r="AQ333" s="45"/>
      <c r="AR333" s="45"/>
      <c r="AS333" s="45"/>
      <c r="AT333" s="79"/>
      <c r="AU333" s="45"/>
      <c r="AV333" s="45"/>
      <c r="AW333" s="45"/>
      <c r="AX333" s="45"/>
      <c r="AY333" s="45"/>
      <c r="AZ333" s="45"/>
      <c r="BA333" s="45"/>
      <c r="BB333" s="45"/>
      <c r="BC333" s="45"/>
      <c r="BD333" s="45"/>
      <c r="BE333" s="45"/>
      <c r="BF333" s="45"/>
      <c r="BG333" s="45"/>
      <c r="BH333" s="45"/>
      <c r="BI333" s="46"/>
      <c r="BK333" s="22"/>
      <c r="BS333" s="140" t="s">
        <v>108</v>
      </c>
      <c r="BT333" s="140">
        <v>0.0</v>
      </c>
      <c r="BU333" s="6">
        <f>VLOOKUP(BS333,'Item List'!$A$2:$D$300,2,FALSE)</f>
        <v>1</v>
      </c>
      <c r="BV333" s="6">
        <f>VLOOKUP(BS333,'Item List'!$A$2:$D$300,3,FALSE)</f>
        <v>3</v>
      </c>
      <c r="BW333" s="6">
        <f>VLOOKUP(BS333,'Item List'!$A$2:$D$300,4,FALSE)</f>
        <v>2</v>
      </c>
      <c r="BY333" s="6" t="s">
        <v>763</v>
      </c>
      <c r="BZ333" s="6">
        <v>160000.0</v>
      </c>
      <c r="CA333" s="6">
        <v>100000.0</v>
      </c>
      <c r="CC333" s="6" t="s">
        <v>763</v>
      </c>
      <c r="CD333" s="6">
        <v>4400000.0</v>
      </c>
      <c r="CE333" s="6">
        <v>1000000.0</v>
      </c>
    </row>
    <row r="334">
      <c r="B334" s="40"/>
      <c r="C334" s="41"/>
      <c r="D334" s="38"/>
      <c r="E334" s="38" t="s">
        <v>28</v>
      </c>
      <c r="F334" s="38">
        <f>100*I331</f>
        <v>10000</v>
      </c>
      <c r="G334" s="79"/>
      <c r="H334" s="45"/>
      <c r="I334" s="45"/>
      <c r="J334" s="45"/>
      <c r="K334" s="45"/>
      <c r="L334" s="45"/>
      <c r="M334" s="45"/>
      <c r="N334" s="45"/>
      <c r="O334" s="45"/>
      <c r="P334" s="45"/>
      <c r="Q334" s="45"/>
      <c r="R334" s="45"/>
      <c r="S334" s="101"/>
      <c r="T334" s="101"/>
      <c r="U334" s="45"/>
      <c r="V334" s="45"/>
      <c r="W334" s="45"/>
      <c r="X334" s="45"/>
      <c r="Y334" s="45"/>
      <c r="Z334" s="45"/>
      <c r="AA334" s="45"/>
      <c r="AB334" s="45"/>
      <c r="AC334" s="45"/>
      <c r="AD334" s="45"/>
      <c r="AE334" s="45"/>
      <c r="AF334" s="45"/>
      <c r="AG334" s="79"/>
      <c r="AH334" s="45"/>
      <c r="AI334" s="45"/>
      <c r="AJ334" s="45"/>
      <c r="AK334" s="45"/>
      <c r="AL334" s="45"/>
      <c r="AM334" s="45"/>
      <c r="AN334" s="45"/>
      <c r="AO334" s="45"/>
      <c r="AP334" s="45"/>
      <c r="AQ334" s="45"/>
      <c r="AR334" s="45"/>
      <c r="AS334" s="45"/>
      <c r="AT334" s="79"/>
      <c r="AU334" s="45"/>
      <c r="AV334" s="45"/>
      <c r="AW334" s="45"/>
      <c r="AX334" s="45"/>
      <c r="AY334" s="45"/>
      <c r="AZ334" s="45"/>
      <c r="BA334" s="45"/>
      <c r="BB334" s="45"/>
      <c r="BC334" s="45"/>
      <c r="BD334" s="45"/>
      <c r="BE334" s="45"/>
      <c r="BF334" s="45"/>
      <c r="BG334" s="45"/>
      <c r="BH334" s="45"/>
      <c r="BI334" s="46"/>
      <c r="BK334" s="22"/>
      <c r="BS334" s="140" t="s">
        <v>109</v>
      </c>
      <c r="BT334" s="140">
        <v>2240.0</v>
      </c>
      <c r="BU334" s="6">
        <f>VLOOKUP(BS334,'Item List'!$A$2:$D$300,2,FALSE)</f>
        <v>1</v>
      </c>
      <c r="BV334" s="6">
        <f>VLOOKUP(BS334,'Item List'!$A$2:$D$300,3,FALSE)</f>
        <v>3</v>
      </c>
      <c r="BW334" s="6">
        <f>VLOOKUP(BS334,'Item List'!$A$2:$D$300,4,FALSE)</f>
        <v>2</v>
      </c>
      <c r="BY334" s="6" t="s">
        <v>764</v>
      </c>
      <c r="BZ334" s="6">
        <v>1600000.0</v>
      </c>
      <c r="CA334" s="6">
        <v>1000000.0</v>
      </c>
      <c r="CC334" s="6" t="s">
        <v>764</v>
      </c>
      <c r="CD334" s="6">
        <v>1.36E7</v>
      </c>
      <c r="CE334" s="6">
        <v>1000000.0</v>
      </c>
      <c r="CG334" s="98" t="s">
        <v>602</v>
      </c>
      <c r="CH334" s="98" t="s">
        <v>583</v>
      </c>
      <c r="CI334" s="98" t="s">
        <v>603</v>
      </c>
      <c r="CJ334" s="98" t="s">
        <v>604</v>
      </c>
    </row>
    <row r="335">
      <c r="B335" s="40"/>
      <c r="C335" s="41"/>
      <c r="D335" s="38"/>
      <c r="E335" s="38" t="s">
        <v>98</v>
      </c>
      <c r="F335" s="38">
        <f>100*I331</f>
        <v>10000</v>
      </c>
      <c r="G335" s="79"/>
      <c r="H335" s="45"/>
      <c r="I335" s="45"/>
      <c r="J335" s="45"/>
      <c r="K335" s="45"/>
      <c r="L335" s="45"/>
      <c r="M335" s="45"/>
      <c r="N335" s="45"/>
      <c r="O335" s="45"/>
      <c r="P335" s="45"/>
      <c r="Q335" s="45"/>
      <c r="R335" s="45"/>
      <c r="S335" s="101"/>
      <c r="T335" s="101"/>
      <c r="U335" s="45"/>
      <c r="V335" s="45"/>
      <c r="W335" s="45"/>
      <c r="X335" s="45"/>
      <c r="Y335" s="45"/>
      <c r="Z335" s="45"/>
      <c r="AA335" s="45"/>
      <c r="AB335" s="45"/>
      <c r="AC335" s="45"/>
      <c r="AD335" s="45"/>
      <c r="AE335" s="45"/>
      <c r="AF335" s="45"/>
      <c r="AG335" s="79"/>
      <c r="AH335" s="45"/>
      <c r="AI335" s="45"/>
      <c r="AJ335" s="45"/>
      <c r="AK335" s="45"/>
      <c r="AL335" s="45"/>
      <c r="AM335" s="45"/>
      <c r="AN335" s="45"/>
      <c r="AO335" s="45"/>
      <c r="AP335" s="45"/>
      <c r="AQ335" s="45"/>
      <c r="AR335" s="45"/>
      <c r="AS335" s="45"/>
      <c r="AT335" s="79"/>
      <c r="AU335" s="45"/>
      <c r="AV335" s="45"/>
      <c r="AW335" s="45"/>
      <c r="AX335" s="45"/>
      <c r="AY335" s="45"/>
      <c r="AZ335" s="45"/>
      <c r="BA335" s="45"/>
      <c r="BB335" s="45"/>
      <c r="BC335" s="45"/>
      <c r="BD335" s="45"/>
      <c r="BE335" s="45"/>
      <c r="BF335" s="45"/>
      <c r="BG335" s="45"/>
      <c r="BH335" s="45"/>
      <c r="BI335" s="46"/>
      <c r="BK335" s="22"/>
      <c r="BS335" s="140" t="s">
        <v>112</v>
      </c>
      <c r="BT335" s="140">
        <v>0.0</v>
      </c>
      <c r="BU335" s="6">
        <f>VLOOKUP(BS335,'Item List'!$A$2:$D$300,2,FALSE)</f>
        <v>1</v>
      </c>
      <c r="BV335" s="6">
        <f>VLOOKUP(BS335,'Item List'!$A$2:$D$300,3,FALSE)</f>
        <v>3</v>
      </c>
      <c r="BW335" s="6">
        <f>VLOOKUP(BS335,'Item List'!$A$2:$D$300,4,FALSE)</f>
        <v>2</v>
      </c>
      <c r="BY335" s="6" t="s">
        <v>765</v>
      </c>
      <c r="BZ335" s="6">
        <v>160000.0</v>
      </c>
      <c r="CA335" s="6">
        <v>100000.0</v>
      </c>
      <c r="CC335" s="6" t="s">
        <v>765</v>
      </c>
      <c r="CD335" s="6">
        <v>1600000.0</v>
      </c>
      <c r="CE335" s="6">
        <v>1000000.0</v>
      </c>
      <c r="CG335" s="5" t="str">
        <f t="shared" ref="CG335:CH335" si="24">CG320</f>
        <v>LFTR Fuel 3</v>
      </c>
      <c r="CH335" s="5">
        <f t="shared" si="24"/>
        <v>5000</v>
      </c>
      <c r="CI335" s="4">
        <v>1.048576E7</v>
      </c>
      <c r="CJ335" s="109">
        <v>1.0</v>
      </c>
    </row>
    <row r="336">
      <c r="B336" s="40"/>
      <c r="C336" s="41"/>
      <c r="D336" s="133"/>
      <c r="E336" s="38" t="s">
        <v>174</v>
      </c>
      <c r="F336" s="38">
        <f>100*I331</f>
        <v>10000</v>
      </c>
      <c r="G336" s="79"/>
      <c r="H336" s="45"/>
      <c r="I336" s="45"/>
      <c r="J336" s="45"/>
      <c r="K336" s="45"/>
      <c r="L336" s="45"/>
      <c r="M336" s="45"/>
      <c r="N336" s="45"/>
      <c r="O336" s="45"/>
      <c r="P336" s="45"/>
      <c r="Q336" s="45"/>
      <c r="R336" s="45"/>
      <c r="S336" s="101"/>
      <c r="T336" s="101"/>
      <c r="U336" s="45"/>
      <c r="V336" s="45"/>
      <c r="W336" s="45"/>
      <c r="X336" s="45"/>
      <c r="Y336" s="45"/>
      <c r="Z336" s="45"/>
      <c r="AA336" s="45"/>
      <c r="AB336" s="45"/>
      <c r="AC336" s="45"/>
      <c r="AD336" s="45"/>
      <c r="AE336" s="45"/>
      <c r="AF336" s="45"/>
      <c r="AG336" s="79"/>
      <c r="AH336" s="45"/>
      <c r="AI336" s="45"/>
      <c r="AJ336" s="45"/>
      <c r="AK336" s="45"/>
      <c r="AL336" s="45"/>
      <c r="AM336" s="45"/>
      <c r="AN336" s="45"/>
      <c r="AO336" s="45"/>
      <c r="AP336" s="45"/>
      <c r="AQ336" s="45"/>
      <c r="AR336" s="45"/>
      <c r="AS336" s="45"/>
      <c r="AT336" s="79"/>
      <c r="AU336" s="45"/>
      <c r="AV336" s="45"/>
      <c r="AW336" s="45"/>
      <c r="AX336" s="45"/>
      <c r="AY336" s="45"/>
      <c r="AZ336" s="45"/>
      <c r="BA336" s="45"/>
      <c r="BB336" s="45"/>
      <c r="BC336" s="45"/>
      <c r="BD336" s="45"/>
      <c r="BE336" s="45"/>
      <c r="BF336" s="45"/>
      <c r="BG336" s="45"/>
      <c r="BH336" s="45"/>
      <c r="BI336" s="46"/>
      <c r="BK336" s="22"/>
      <c r="BS336" s="6" t="s">
        <v>113</v>
      </c>
      <c r="BT336" s="140">
        <v>80.0</v>
      </c>
      <c r="BU336" s="6">
        <f>VLOOKUP(BS336,'Item List'!$A$2:$D$300,2,FALSE)</f>
        <v>1</v>
      </c>
      <c r="BV336" s="6">
        <f>VLOOKUP(BS336,'Item List'!$A$2:$D$300,3,FALSE)</f>
        <v>3</v>
      </c>
      <c r="BW336" s="6">
        <f>VLOOKUP(BS336,'Item List'!$A$2:$D$300,4,FALSE)</f>
        <v>2</v>
      </c>
      <c r="BY336" s="6" t="s">
        <v>766</v>
      </c>
      <c r="BZ336" s="6">
        <v>160000.0</v>
      </c>
      <c r="CA336" s="6">
        <v>100000.0</v>
      </c>
      <c r="CC336" s="6" t="s">
        <v>766</v>
      </c>
      <c r="CD336" s="6">
        <v>1.36E7</v>
      </c>
      <c r="CE336" s="6">
        <v>1000000.0</v>
      </c>
      <c r="CJ336" s="5"/>
    </row>
    <row r="337">
      <c r="B337" s="50"/>
      <c r="C337" s="51"/>
      <c r="D337" s="134"/>
      <c r="E337" s="52"/>
      <c r="F337" s="52"/>
      <c r="G337" s="112"/>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2"/>
      <c r="AH337" s="113"/>
      <c r="AI337" s="113"/>
      <c r="AJ337" s="113"/>
      <c r="AK337" s="113"/>
      <c r="AL337" s="113"/>
      <c r="AM337" s="113"/>
      <c r="AN337" s="113"/>
      <c r="AO337" s="113"/>
      <c r="AP337" s="113"/>
      <c r="AQ337" s="113"/>
      <c r="AR337" s="113"/>
      <c r="AS337" s="113"/>
      <c r="AT337" s="112"/>
      <c r="AU337" s="113"/>
      <c r="AV337" s="113"/>
      <c r="AW337" s="113"/>
      <c r="AX337" s="113"/>
      <c r="AY337" s="113"/>
      <c r="AZ337" s="113"/>
      <c r="BA337" s="113"/>
      <c r="BB337" s="113"/>
      <c r="BC337" s="113"/>
      <c r="BD337" s="113"/>
      <c r="BE337" s="113"/>
      <c r="BF337" s="113"/>
      <c r="BG337" s="113"/>
      <c r="BH337" s="113"/>
      <c r="BI337" s="114"/>
      <c r="BK337" s="22"/>
      <c r="BS337" s="6" t="s">
        <v>128</v>
      </c>
      <c r="BT337" s="6">
        <v>10000.0</v>
      </c>
      <c r="BU337" s="6">
        <f>VLOOKUP(BS337,'Item List'!$A$2:$D$300,2,FALSE)</f>
        <v>1</v>
      </c>
      <c r="BV337" s="6">
        <f>VLOOKUP(BS337,'Item List'!$A$2:$D$300,3,FALSE)</f>
        <v>3</v>
      </c>
      <c r="BW337" s="6">
        <f>VLOOKUP(BS337,'Item List'!$A$2:$D$300,4,FALSE)</f>
        <v>2</v>
      </c>
      <c r="BY337" s="140" t="s">
        <v>767</v>
      </c>
      <c r="BZ337" s="6">
        <v>1600.0</v>
      </c>
      <c r="CA337" s="140">
        <v>1000.0</v>
      </c>
      <c r="CC337" s="140" t="s">
        <v>767</v>
      </c>
      <c r="CD337" s="6">
        <v>160000.0</v>
      </c>
      <c r="CE337" s="140">
        <v>100000.0</v>
      </c>
      <c r="CG337" s="98" t="s">
        <v>608</v>
      </c>
      <c r="CH337" s="98" t="s">
        <v>609</v>
      </c>
      <c r="CI337" s="98" t="s">
        <v>610</v>
      </c>
      <c r="CJ337" s="5"/>
    </row>
    <row r="338">
      <c r="B338" s="31" t="s">
        <v>766</v>
      </c>
      <c r="C338" s="54"/>
      <c r="D338" s="45"/>
      <c r="E338" s="45"/>
      <c r="F338" s="47"/>
      <c r="G338" s="35"/>
      <c r="H338" s="55" t="s">
        <v>369</v>
      </c>
      <c r="I338" s="38" t="str">
        <f>VLOOKUP(H338,'Machine List'!$A$1:$I$300,9,FALSE)</f>
        <v>1T</v>
      </c>
      <c r="J338" s="38">
        <f>IF(VLOOKUP(H338,'Machine List'!$A$1:$I$300,5,FALSE)="Multi",IF(VLOOKUP(H338,'Machine List'!$A$1:$I$300,6,FALSE)="Yes",AI338*3*10^AB338,AI338*(2*3)*10^(AB338-1)),0)</f>
        <v>60000</v>
      </c>
      <c r="K338" s="38">
        <f>J338+IF(ISNUMBER(I338),I338,
  SWITCH(
      I338,
      "1T",1*10^AB338,
      "2T",2*10^AB338,
      "3T",3*10^AB338,
      "4T",4*10^AB338,
      "4000+500(7O-5)",4000+500*(7*I339-5),
      "13500 + 16C",13500+16*VLOOKUP(J340,'Machine Helper Sheet'!$G$1:$K$16,5,FALSE),
      1
  )
)</f>
        <v>160000</v>
      </c>
      <c r="L338" s="38">
        <f>IF(VLOOKUP(H338,'Machine List'!$A$1:$I$300,5,FALSE)="Multi",IF(VLOOKUP(H338,'Machine List'!$A$1:$I$300,6,FALSE)="Yes",AW338*3*10^AV338,AW338*(2*3)*10^(AV338-1)),0)</f>
        <v>2400000</v>
      </c>
      <c r="M338" s="38">
        <f>L338+IF(ISNUMBER(I338),I338,
  SWITCH(
      I338,
      "1T",1*10^AV338,
      "2T",2*10^AV338,
      "3T",3*10^AV338,
      "4T",4*10^AV338,
      "4000+500(7O-5)",4000+500*(7*I339-5),
      1
  )
)</f>
        <v>3400000</v>
      </c>
      <c r="N338" s="38" t="str">
        <f>VLOOKUP(H338,'Machine List'!$A$1:$I$300,8,FALSE)</f>
        <v>Tier</v>
      </c>
      <c r="O338" s="38">
        <f>IF(ISNUMBER(N338),N338,10^AB338)</f>
        <v>100000</v>
      </c>
      <c r="P338" s="38">
        <f>IF(ISNUMBER(N338),N338,10^AV338)</f>
        <v>1000000</v>
      </c>
      <c r="Q338" s="38">
        <f>VLOOKUP(H338,'Machine List'!$A$1:$B$138,2,FALSE)</f>
        <v>1</v>
      </c>
      <c r="R338" s="38" t="s">
        <v>277</v>
      </c>
      <c r="S338" s="45">
        <f>IF(ISNUMBER(Q338),Q338,
  SWITCH(
      Q338,
      "1",1,
      "2T",AB338*2,
      "4T",AB338*4,
      "6T",AB338*6,
      "8T",AB338*8,
      "10T",AB338*10,
      "12T",AB338*12,
      "14T",AB338*14,
      "16T",AB338*16,
      "24T",AB338*24,
      "2(T+1)",2*(AB338+1),
      "1T*C",AB338*J340,
      "2*P",L340*2,
      1
  )
)</f>
        <v>1</v>
      </c>
      <c r="T338" s="38" t="s">
        <v>277</v>
      </c>
      <c r="U338" s="38">
        <f>IF(OR(T338="No",T338=""),S338,T338)</f>
        <v>1</v>
      </c>
      <c r="V338" s="38">
        <f>IF(ISNUMBER(Q338),Q338,
  SWITCH(
      Q338,
      "1",1,
      "2T",AV338*2,
      "4T",AV338*4,
      "6T",AV338*6,
      "8T",AV338*8,
      "10T",AV338*10,
      "12T",AV338*12,
      "14T",AV338*14,
      "16T",AV338*16,
      "24T",AV338*24,
      "2(T+1)",2*(AV338+1),
      "1T*C",AV338*J340,
      "2*P",L340*2,
      1
  )
)</f>
        <v>1</v>
      </c>
      <c r="W338" s="38" t="str">
        <f>T338</f>
        <v>No</v>
      </c>
      <c r="X338" s="38">
        <f>IF(OR(W338="No",W338=""),V338,W338)</f>
        <v>1</v>
      </c>
      <c r="Y338" s="38">
        <f>VLOOKUP(H338,'Machine List'!$A$1:$C$138,3,FALSE)</f>
        <v>1</v>
      </c>
      <c r="Z338" s="38">
        <f>VLOOKUP(H338,'Machine List'!$A$1:$D$138,4,FALSE)</f>
        <v>1</v>
      </c>
      <c r="AA338" s="147" t="s">
        <v>405</v>
      </c>
      <c r="AB338" s="38">
        <f>VLOOKUP(AA338,'Item Helper Sheet'!$A$2:$B$16,2,FALSE)</f>
        <v>5</v>
      </c>
      <c r="AC338" s="147">
        <v>7680.0</v>
      </c>
      <c r="AD338" s="147">
        <f>25*20</f>
        <v>500</v>
      </c>
      <c r="AE338" s="38">
        <f>AD338*I340</f>
        <v>200000</v>
      </c>
      <c r="AF338" s="38">
        <f>AC338*AE338</f>
        <v>1536000000</v>
      </c>
      <c r="AG338" s="75"/>
      <c r="AH338" s="147" t="str">
        <f>AA338</f>
        <v>05 - IV</v>
      </c>
      <c r="AI338" s="38">
        <v>1.0</v>
      </c>
      <c r="AJ338" s="38">
        <v>1.0</v>
      </c>
      <c r="AK338" s="38">
        <f>AJ338*8*4^AB338</f>
        <v>8192</v>
      </c>
      <c r="AL338" s="38">
        <f>MIN(ROUNDDOWN(AK338/AN338,0),U338)</f>
        <v>1</v>
      </c>
      <c r="AM338" s="38">
        <f>IF(OR(T338="No",T338=""),AI338*S338,AI338*T338)</f>
        <v>1</v>
      </c>
      <c r="AN338" s="38">
        <f>ROUNDUP(AC338*VLOOKUP(H338,'Machine List'!$A$2:$D$219,4,FALSE),0)</f>
        <v>7680</v>
      </c>
      <c r="AO338" s="38">
        <f>AN338*AM338</f>
        <v>7680</v>
      </c>
      <c r="AP338" s="38">
        <f>ROUNDUP(AD338*I340,0)</f>
        <v>200000</v>
      </c>
      <c r="AQ338" s="38">
        <f>IF(ISNUMBER(Y338),ROUNDUP(AP338/Y338,0),
  SWITCH(
      Y338,
      "1+0.5C",ROUNDUP(AP338/(1+0.5*VLOOKUP(J340,'Machine Helper Sheet'!$G$1:$K$16,2,FALSE)),0),
      ROUNDUP(AP338/1,0)
  )
)</f>
        <v>200000</v>
      </c>
      <c r="AR338" s="38">
        <f>ROUNDUP(AQ338/AM338,0)</f>
        <v>200000</v>
      </c>
      <c r="AS338" s="38">
        <f>AO338*AR338</f>
        <v>1536000000</v>
      </c>
      <c r="AT338" s="75"/>
      <c r="AU338" s="38" t="s">
        <v>408</v>
      </c>
      <c r="AV338" s="38">
        <f>VLOOKUP(AU338,'Item Helper Sheet'!$A$2:$B$16,2,FALSE)</f>
        <v>6</v>
      </c>
      <c r="AW338" s="38">
        <v>4.0</v>
      </c>
      <c r="AX338" s="38">
        <v>1.0</v>
      </c>
      <c r="AY338" s="38">
        <f>AX338*8*4^AV338</f>
        <v>32768</v>
      </c>
      <c r="AZ338" s="38">
        <f>MIN(ROUNDDOWN(AY338/AN338,0),X338)</f>
        <v>1</v>
      </c>
      <c r="BA338" s="38">
        <f>AZ338*AW338</f>
        <v>4</v>
      </c>
      <c r="BB338" s="38">
        <f>AN338</f>
        <v>7680</v>
      </c>
      <c r="BC338" s="38">
        <f>MIN(AV338-AB338,IF(AY338&gt;=BB339*4,
IF(AY338&gt;=BB339*4^2,
IF(AY338&gt;=BB339*4^3,
IF(AY338&gt;=BB339*4^4,
IF(AY338&gt;=BB339*4^5,
IF(AY338&gt;=BB339*4^6,
IF(AY338&gt;=BB339*4^7,
IF(AY338&gt;=BB339*4^8,
IF(AY338&gt;=BB339*4^9,
IF(AY338&gt;=BB339*4^10,
9),
8),
7),
6),
5),
4),
3),
2),
1),
0))</f>
        <v>1</v>
      </c>
      <c r="BD338" s="38">
        <f>BB338*AZ338*4^BC338</f>
        <v>30720</v>
      </c>
      <c r="BE338" s="38">
        <f>BD338*AW338</f>
        <v>122880</v>
      </c>
      <c r="BF338" s="45">
        <f>ROUNDUP(IF(R338="Yes",AP338/(2^((BC338)*2)),AP338/(2^(BC338))),0)</f>
        <v>100000</v>
      </c>
      <c r="BG338" s="45">
        <f>IF(ISNUMBER(Y338),ROUNDUP(BF338/Y338,0),
  SWITCH(
      Y338,
      "1+0.5C",ROUNDUP(BF338/(1+0.5*VLOOKUP(J340,'Machine Helper Sheet'!$G$1:$K$16,2,FALSE)),0),
      ROUNDUP(BF338/1,0)
  )
)</f>
        <v>100000</v>
      </c>
      <c r="BH338" s="45">
        <f>ROUNDUP(BG338/BA338,0)</f>
        <v>25000</v>
      </c>
      <c r="BI338" s="46">
        <f>BH338*BE338</f>
        <v>3072000000</v>
      </c>
      <c r="BK338" s="22"/>
      <c r="BS338" s="6" t="s">
        <v>129</v>
      </c>
      <c r="BT338" s="6">
        <v>4000.0</v>
      </c>
      <c r="BU338" s="6">
        <f>VLOOKUP(BS338,'Item List'!$A$2:$D$300,2,FALSE)</f>
        <v>1</v>
      </c>
      <c r="BV338" s="6">
        <f>VLOOKUP(BS338,'Item List'!$A$2:$D$300,3,FALSE)</f>
        <v>3</v>
      </c>
      <c r="BW338" s="6">
        <f>VLOOKUP(BS338,'Item List'!$A$2:$D$300,4,FALSE)</f>
        <v>2</v>
      </c>
      <c r="BY338" s="6" t="s">
        <v>768</v>
      </c>
      <c r="BZ338" s="6">
        <v>16000.0</v>
      </c>
      <c r="CA338" s="6">
        <v>10000.0</v>
      </c>
      <c r="CC338" s="6" t="s">
        <v>768</v>
      </c>
      <c r="CD338" s="6">
        <v>1600000.0</v>
      </c>
      <c r="CE338" s="6">
        <v>1000000.0</v>
      </c>
      <c r="CG338" s="5">
        <f>CH335*CI335*CJ335</f>
        <v>52428800000</v>
      </c>
      <c r="CH338" s="5" t="str">
        <f>BO382</f>
        <v>#N/A</v>
      </c>
      <c r="CI338" s="110" t="str">
        <f>1-(CH338/CG338)</f>
        <v>#N/A</v>
      </c>
      <c r="CJ338" s="5"/>
    </row>
    <row r="339">
      <c r="B339" s="40"/>
      <c r="C339" s="41" t="s">
        <v>237</v>
      </c>
      <c r="D339" s="38">
        <f>50*I340</f>
        <v>20000</v>
      </c>
      <c r="E339" s="38" t="s">
        <v>221</v>
      </c>
      <c r="F339" s="42">
        <f>50*I340</f>
        <v>20000</v>
      </c>
      <c r="G339" s="43"/>
      <c r="H339" s="99" t="s">
        <v>584</v>
      </c>
      <c r="I339" s="45">
        <f t="array" ref="I339">match(TRUE,ISBLANK(F339:F354),0)-1</f>
        <v>7</v>
      </c>
      <c r="J339" s="100" t="s">
        <v>420</v>
      </c>
      <c r="K339" s="100" t="s">
        <v>585</v>
      </c>
      <c r="L339" s="100" t="s">
        <v>704</v>
      </c>
      <c r="M339" s="38"/>
      <c r="N339" s="38"/>
      <c r="O339" s="38"/>
      <c r="P339" s="38"/>
      <c r="Q339" s="38"/>
      <c r="R339" s="101"/>
      <c r="S339" s="101"/>
      <c r="T339" s="101"/>
      <c r="U339" s="45"/>
      <c r="V339" s="45"/>
      <c r="W339" s="45"/>
      <c r="X339" s="45"/>
      <c r="Y339" s="45"/>
      <c r="Z339" s="45"/>
      <c r="AA339" s="45"/>
      <c r="AB339" s="45"/>
      <c r="AC339" s="45"/>
      <c r="AD339" s="45"/>
      <c r="AE339" s="45"/>
      <c r="AF339" s="45"/>
      <c r="AG339" s="79"/>
      <c r="AH339" s="45"/>
      <c r="AI339" s="45"/>
      <c r="AJ339" s="45"/>
      <c r="AK339" s="45"/>
      <c r="AL339" s="45"/>
      <c r="AM339" s="45"/>
      <c r="AN339" s="45"/>
      <c r="AO339" s="45"/>
      <c r="AP339" s="45"/>
      <c r="AQ339" s="45"/>
      <c r="AR339" s="45"/>
      <c r="AS339" s="45"/>
      <c r="AT339" s="79"/>
      <c r="AU339" s="45"/>
      <c r="AV339" s="45"/>
      <c r="AW339" s="45"/>
      <c r="AX339" s="45"/>
      <c r="AY339" s="45"/>
      <c r="AZ339" s="45"/>
      <c r="BA339" s="45"/>
      <c r="BB339" s="45">
        <f>BB338*AZ338</f>
        <v>7680</v>
      </c>
      <c r="BC339" s="45"/>
      <c r="BD339" s="45"/>
      <c r="BE339" s="45"/>
      <c r="BF339" s="45"/>
      <c r="BG339" s="45"/>
      <c r="BH339" s="45"/>
      <c r="BI339" s="46"/>
      <c r="BK339" s="22"/>
      <c r="BS339" s="6" t="s">
        <v>148</v>
      </c>
      <c r="BT339" s="6">
        <v>20.0</v>
      </c>
      <c r="BU339" s="6">
        <f>VLOOKUP(BS339,'Item List'!$A$2:$D$300,2,FALSE)</f>
        <v>1</v>
      </c>
      <c r="BV339" s="6">
        <f>VLOOKUP(BS339,'Item List'!$A$2:$D$300,3,FALSE)</f>
        <v>3</v>
      </c>
      <c r="BW339" s="6">
        <f>VLOOKUP(BS339,'Item List'!$A$2:$D$300,4,FALSE)</f>
        <v>2</v>
      </c>
      <c r="BY339" s="140" t="s">
        <v>769</v>
      </c>
      <c r="BZ339" s="102">
        <v>4006.0</v>
      </c>
      <c r="CA339" s="140">
        <v>10.0</v>
      </c>
      <c r="CC339" s="140" t="s">
        <v>769</v>
      </c>
      <c r="CD339" s="102">
        <v>64000.0</v>
      </c>
      <c r="CE339" s="140">
        <v>100000.0</v>
      </c>
      <c r="CJ339" s="5"/>
    </row>
    <row r="340">
      <c r="B340" s="40"/>
      <c r="C340" s="41" t="s">
        <v>72</v>
      </c>
      <c r="D340" s="38">
        <f>100*I340</f>
        <v>40000</v>
      </c>
      <c r="E340" s="38" t="s">
        <v>72</v>
      </c>
      <c r="F340" s="42">
        <f>50*I340</f>
        <v>20000</v>
      </c>
      <c r="G340" s="43"/>
      <c r="H340" s="56" t="s">
        <v>502</v>
      </c>
      <c r="I340" s="49">
        <v>400.0</v>
      </c>
      <c r="J340" s="100" t="s">
        <v>424</v>
      </c>
      <c r="K340" s="100">
        <v>0.0</v>
      </c>
      <c r="L340" s="100">
        <v>0.0</v>
      </c>
      <c r="M340" s="45"/>
      <c r="N340" s="45"/>
      <c r="O340" s="45"/>
      <c r="P340" s="45"/>
      <c r="Q340" s="45"/>
      <c r="R340" s="45"/>
      <c r="S340" s="101"/>
      <c r="T340" s="101"/>
      <c r="U340" s="45"/>
      <c r="V340" s="45"/>
      <c r="W340" s="45"/>
      <c r="X340" s="45"/>
      <c r="Y340" s="45"/>
      <c r="Z340" s="45"/>
      <c r="AA340" s="45"/>
      <c r="AB340" s="45"/>
      <c r="AC340" s="45"/>
      <c r="AD340" s="45"/>
      <c r="AE340" s="45"/>
      <c r="AF340" s="45"/>
      <c r="AG340" s="79"/>
      <c r="AH340" s="45"/>
      <c r="AI340" s="45"/>
      <c r="AJ340" s="45"/>
      <c r="AK340" s="45"/>
      <c r="AL340" s="45"/>
      <c r="AM340" s="45"/>
      <c r="AN340" s="45"/>
      <c r="AO340" s="45"/>
      <c r="AP340" s="45"/>
      <c r="AQ340" s="45"/>
      <c r="AR340" s="45"/>
      <c r="AS340" s="45"/>
      <c r="AT340" s="79"/>
      <c r="AU340" s="45"/>
      <c r="AV340" s="45"/>
      <c r="AW340" s="45"/>
      <c r="AX340" s="45"/>
      <c r="AY340" s="45"/>
      <c r="AZ340" s="45"/>
      <c r="BA340" s="45"/>
      <c r="BB340" s="45"/>
      <c r="BC340" s="45"/>
      <c r="BD340" s="45"/>
      <c r="BE340" s="45"/>
      <c r="BF340" s="45"/>
      <c r="BG340" s="45"/>
      <c r="BH340" s="45"/>
      <c r="BI340" s="46"/>
      <c r="BK340" s="22"/>
      <c r="BS340" s="6" t="s">
        <v>149</v>
      </c>
      <c r="BT340" s="140">
        <v>0.0</v>
      </c>
      <c r="BU340" s="6">
        <f>VLOOKUP(BS340,'Item List'!$A$2:$D$300,2,FALSE)</f>
        <v>1</v>
      </c>
      <c r="BV340" s="6">
        <f>VLOOKUP(BS340,'Item List'!$A$2:$D$300,3,FALSE)</f>
        <v>3</v>
      </c>
      <c r="BW340" s="6">
        <f>VLOOKUP(BS340,'Item List'!$A$2:$D$300,4,FALSE)</f>
        <v>2</v>
      </c>
      <c r="BY340" s="140" t="s">
        <v>770</v>
      </c>
      <c r="BZ340" s="6">
        <v>4006.0</v>
      </c>
      <c r="CA340" s="140">
        <v>10.0</v>
      </c>
      <c r="CC340" s="140" t="s">
        <v>770</v>
      </c>
      <c r="CD340" s="6">
        <v>64000.0</v>
      </c>
      <c r="CE340" s="140">
        <v>100000.0</v>
      </c>
      <c r="CG340" s="98" t="s">
        <v>612</v>
      </c>
      <c r="CH340" s="98" t="s">
        <v>613</v>
      </c>
      <c r="CI340" s="98" t="s">
        <v>614</v>
      </c>
    </row>
    <row r="341">
      <c r="B341" s="40"/>
      <c r="C341" s="41"/>
      <c r="D341" s="38"/>
      <c r="E341" s="38" t="s">
        <v>109</v>
      </c>
      <c r="F341" s="42">
        <f>10*I340</f>
        <v>4000</v>
      </c>
      <c r="G341" s="43"/>
      <c r="H341" s="44"/>
      <c r="I341" s="45"/>
      <c r="J341" s="45"/>
      <c r="K341" s="45"/>
      <c r="L341" s="45"/>
      <c r="M341" s="45"/>
      <c r="N341" s="45"/>
      <c r="O341" s="45"/>
      <c r="P341" s="45"/>
      <c r="Q341" s="45"/>
      <c r="R341" s="45"/>
      <c r="S341" s="101"/>
      <c r="T341" s="101"/>
      <c r="U341" s="45"/>
      <c r="V341" s="45"/>
      <c r="W341" s="45"/>
      <c r="X341" s="45"/>
      <c r="Y341" s="45"/>
      <c r="Z341" s="45"/>
      <c r="AA341" s="45"/>
      <c r="AB341" s="45"/>
      <c r="AC341" s="45"/>
      <c r="AD341" s="45"/>
      <c r="AE341" s="45"/>
      <c r="AF341" s="45"/>
      <c r="AG341" s="79"/>
      <c r="AH341" s="45"/>
      <c r="AI341" s="45"/>
      <c r="AJ341" s="45"/>
      <c r="AK341" s="45"/>
      <c r="AL341" s="45"/>
      <c r="AM341" s="45"/>
      <c r="AN341" s="45"/>
      <c r="AO341" s="45"/>
      <c r="AP341" s="45"/>
      <c r="AQ341" s="45"/>
      <c r="AR341" s="45"/>
      <c r="AS341" s="45"/>
      <c r="AT341" s="79"/>
      <c r="AU341" s="45"/>
      <c r="AV341" s="45"/>
      <c r="AW341" s="45"/>
      <c r="AX341" s="45"/>
      <c r="AY341" s="45"/>
      <c r="AZ341" s="45"/>
      <c r="BA341" s="45"/>
      <c r="BB341" s="45"/>
      <c r="BC341" s="45"/>
      <c r="BD341" s="45"/>
      <c r="BE341" s="45"/>
      <c r="BF341" s="45"/>
      <c r="BG341" s="45"/>
      <c r="BH341" s="45"/>
      <c r="BI341" s="46"/>
      <c r="BK341" s="22"/>
      <c r="BS341" s="6" t="s">
        <v>163</v>
      </c>
      <c r="BT341" s="6">
        <v>7.2</v>
      </c>
      <c r="BU341" s="6">
        <f>VLOOKUP(BS341,'Item List'!$A$2:$D$300,2,FALSE)</f>
        <v>1</v>
      </c>
      <c r="BV341" s="6">
        <f>VLOOKUP(BS341,'Item List'!$A$2:$D$300,3,FALSE)</f>
        <v>3</v>
      </c>
      <c r="BW341" s="6">
        <f>VLOOKUP(BS341,'Item List'!$A$2:$D$300,4,FALSE)</f>
        <v>2</v>
      </c>
      <c r="BY341" s="140" t="s">
        <v>771</v>
      </c>
      <c r="BZ341" s="6">
        <v>1000.0</v>
      </c>
      <c r="CA341" s="140">
        <v>1000.0</v>
      </c>
      <c r="CC341" s="140" t="s">
        <v>771</v>
      </c>
      <c r="CD341" s="6">
        <v>100000.0</v>
      </c>
      <c r="CE341" s="140">
        <v>100000.0</v>
      </c>
      <c r="CG341" s="5" t="str">
        <f>CG338-CH338</f>
        <v>#N/A</v>
      </c>
      <c r="CH341" s="5" t="str">
        <f>BR383</f>
        <v>#N/A</v>
      </c>
      <c r="CI341" s="5" t="str">
        <f>CG341/CH341</f>
        <v>#N/A</v>
      </c>
    </row>
    <row r="342">
      <c r="B342" s="40"/>
      <c r="C342" s="41"/>
      <c r="D342" s="38"/>
      <c r="E342" s="38" t="s">
        <v>129</v>
      </c>
      <c r="F342" s="38">
        <f>10*I340</f>
        <v>4000</v>
      </c>
      <c r="G342" s="79"/>
      <c r="H342" s="45"/>
      <c r="I342" s="45"/>
      <c r="J342" s="45"/>
      <c r="K342" s="45"/>
      <c r="L342" s="45"/>
      <c r="M342" s="45"/>
      <c r="N342" s="45"/>
      <c r="O342" s="45"/>
      <c r="P342" s="45"/>
      <c r="Q342" s="45"/>
      <c r="R342" s="45"/>
      <c r="S342" s="101"/>
      <c r="T342" s="101"/>
      <c r="U342" s="45"/>
      <c r="V342" s="45"/>
      <c r="W342" s="45"/>
      <c r="X342" s="45"/>
      <c r="Y342" s="45"/>
      <c r="Z342" s="45"/>
      <c r="AA342" s="45"/>
      <c r="AB342" s="45"/>
      <c r="AC342" s="45"/>
      <c r="AD342" s="45"/>
      <c r="AE342" s="45"/>
      <c r="AF342" s="45"/>
      <c r="AG342" s="79"/>
      <c r="AH342" s="45"/>
      <c r="AI342" s="45"/>
      <c r="AJ342" s="45"/>
      <c r="AK342" s="45"/>
      <c r="AL342" s="45"/>
      <c r="AM342" s="45"/>
      <c r="AN342" s="45"/>
      <c r="AO342" s="45"/>
      <c r="AP342" s="45"/>
      <c r="AQ342" s="45"/>
      <c r="AR342" s="45"/>
      <c r="AS342" s="45"/>
      <c r="AT342" s="79"/>
      <c r="AU342" s="45"/>
      <c r="AV342" s="45"/>
      <c r="AW342" s="45"/>
      <c r="AX342" s="45"/>
      <c r="AY342" s="45"/>
      <c r="AZ342" s="45"/>
      <c r="BA342" s="45"/>
      <c r="BB342" s="45"/>
      <c r="BC342" s="45"/>
      <c r="BD342" s="45"/>
      <c r="BE342" s="45"/>
      <c r="BF342" s="45"/>
      <c r="BG342" s="45"/>
      <c r="BH342" s="45"/>
      <c r="BI342" s="46"/>
      <c r="BK342" s="22"/>
      <c r="BS342" s="6" t="s">
        <v>174</v>
      </c>
      <c r="BT342" s="6">
        <v>10000.0</v>
      </c>
      <c r="BU342" s="6">
        <f>VLOOKUP(BS342,'Item List'!$A$2:$D$300,2,FALSE)</f>
        <v>1</v>
      </c>
      <c r="BV342" s="6">
        <f>VLOOKUP(BS342,'Item List'!$A$2:$D$300,3,FALSE)</f>
        <v>3</v>
      </c>
      <c r="BW342" s="6">
        <f>VLOOKUP(BS342,'Item List'!$A$2:$D$300,4,FALSE)</f>
        <v>2</v>
      </c>
      <c r="BY342" s="140" t="s">
        <v>772</v>
      </c>
      <c r="BZ342" s="6">
        <v>160000.0</v>
      </c>
      <c r="CA342" s="140">
        <v>100000.0</v>
      </c>
      <c r="CC342" s="140" t="s">
        <v>772</v>
      </c>
      <c r="CD342" s="6">
        <v>160000.0</v>
      </c>
      <c r="CE342" s="140">
        <v>100000.0</v>
      </c>
    </row>
    <row r="343">
      <c r="B343" s="40"/>
      <c r="C343" s="41"/>
      <c r="D343" s="38"/>
      <c r="E343" s="38" t="s">
        <v>232</v>
      </c>
      <c r="F343" s="38">
        <f>10*I340</f>
        <v>4000</v>
      </c>
      <c r="G343" s="79"/>
      <c r="H343" s="45"/>
      <c r="I343" s="45"/>
      <c r="J343" s="45"/>
      <c r="K343" s="45"/>
      <c r="L343" s="45"/>
      <c r="M343" s="45"/>
      <c r="N343" s="45"/>
      <c r="O343" s="45"/>
      <c r="P343" s="45"/>
      <c r="Q343" s="45"/>
      <c r="R343" s="45"/>
      <c r="S343" s="101"/>
      <c r="T343" s="101"/>
      <c r="U343" s="45"/>
      <c r="V343" s="45"/>
      <c r="W343" s="45"/>
      <c r="X343" s="45"/>
      <c r="Y343" s="45"/>
      <c r="Z343" s="45"/>
      <c r="AA343" s="45"/>
      <c r="AB343" s="45"/>
      <c r="AC343" s="45"/>
      <c r="AD343" s="45"/>
      <c r="AE343" s="45"/>
      <c r="AF343" s="45"/>
      <c r="AG343" s="79"/>
      <c r="AH343" s="45"/>
      <c r="AI343" s="45"/>
      <c r="AJ343" s="45"/>
      <c r="AK343" s="45"/>
      <c r="AL343" s="45"/>
      <c r="AM343" s="45"/>
      <c r="AN343" s="45"/>
      <c r="AO343" s="45"/>
      <c r="AP343" s="45"/>
      <c r="AQ343" s="45"/>
      <c r="AR343" s="45"/>
      <c r="AS343" s="45"/>
      <c r="AT343" s="79"/>
      <c r="AU343" s="45"/>
      <c r="AV343" s="45"/>
      <c r="AW343" s="45"/>
      <c r="AX343" s="45"/>
      <c r="AY343" s="45"/>
      <c r="AZ343" s="45"/>
      <c r="BA343" s="45"/>
      <c r="BB343" s="45"/>
      <c r="BC343" s="45"/>
      <c r="BD343" s="45"/>
      <c r="BE343" s="45"/>
      <c r="BF343" s="45"/>
      <c r="BG343" s="45"/>
      <c r="BH343" s="45"/>
      <c r="BI343" s="46"/>
      <c r="BK343" s="22"/>
      <c r="BS343" s="6" t="s">
        <v>204</v>
      </c>
      <c r="BT343" s="6">
        <v>4000.0</v>
      </c>
      <c r="BU343" s="6">
        <f>VLOOKUP(BS343,'Item List'!$A$2:$D$300,2,FALSE)</f>
        <v>1</v>
      </c>
      <c r="BV343" s="6">
        <f>VLOOKUP(BS343,'Item List'!$A$2:$D$300,3,FALSE)</f>
        <v>3</v>
      </c>
      <c r="BW343" s="6">
        <f>VLOOKUP(BS343,'Item List'!$A$2:$D$300,4,FALSE)</f>
        <v>2</v>
      </c>
      <c r="BY343" s="6" t="s">
        <v>773</v>
      </c>
      <c r="BZ343" s="6">
        <v>1600.0</v>
      </c>
      <c r="CA343" s="6">
        <v>1000.0</v>
      </c>
      <c r="CC343" s="6" t="s">
        <v>773</v>
      </c>
      <c r="CD343" s="6">
        <v>160000.0</v>
      </c>
      <c r="CE343" s="6">
        <v>100000.0</v>
      </c>
    </row>
    <row r="344">
      <c r="B344" s="40"/>
      <c r="C344" s="41"/>
      <c r="D344" s="38"/>
      <c r="E344" s="38" t="s">
        <v>204</v>
      </c>
      <c r="F344" s="38">
        <f>10*I340</f>
        <v>4000</v>
      </c>
      <c r="G344" s="79"/>
      <c r="H344" s="45"/>
      <c r="I344" s="45"/>
      <c r="J344" s="45"/>
      <c r="K344" s="45"/>
      <c r="L344" s="45"/>
      <c r="M344" s="45"/>
      <c r="N344" s="45"/>
      <c r="O344" s="45"/>
      <c r="P344" s="45"/>
      <c r="Q344" s="45"/>
      <c r="R344" s="45"/>
      <c r="S344" s="101"/>
      <c r="T344" s="101"/>
      <c r="U344" s="45"/>
      <c r="V344" s="45"/>
      <c r="W344" s="45"/>
      <c r="X344" s="45"/>
      <c r="Y344" s="45"/>
      <c r="Z344" s="45"/>
      <c r="AA344" s="45"/>
      <c r="AB344" s="45"/>
      <c r="AC344" s="45"/>
      <c r="AD344" s="45"/>
      <c r="AE344" s="45"/>
      <c r="AF344" s="45"/>
      <c r="AG344" s="79"/>
      <c r="AH344" s="45"/>
      <c r="AI344" s="45"/>
      <c r="AJ344" s="45"/>
      <c r="AK344" s="45"/>
      <c r="AL344" s="45"/>
      <c r="AM344" s="45"/>
      <c r="AN344" s="45"/>
      <c r="AO344" s="45"/>
      <c r="AP344" s="45"/>
      <c r="AQ344" s="45"/>
      <c r="AR344" s="45"/>
      <c r="AS344" s="45"/>
      <c r="AT344" s="79"/>
      <c r="AU344" s="45"/>
      <c r="AV344" s="45"/>
      <c r="AW344" s="45"/>
      <c r="AX344" s="45"/>
      <c r="AY344" s="45"/>
      <c r="AZ344" s="45"/>
      <c r="BA344" s="45"/>
      <c r="BB344" s="45"/>
      <c r="BC344" s="45"/>
      <c r="BD344" s="45"/>
      <c r="BE344" s="45"/>
      <c r="BF344" s="45"/>
      <c r="BG344" s="45"/>
      <c r="BH344" s="45"/>
      <c r="BI344" s="46"/>
      <c r="BK344" s="22"/>
      <c r="BS344" s="140" t="s">
        <v>647</v>
      </c>
      <c r="BT344" s="140">
        <v>-45.0</v>
      </c>
      <c r="BU344" s="6" t="str">
        <f>VLOOKUP(BS344,'Item List'!$A$2:$D$300,2,FALSE)</f>
        <v>#N/A</v>
      </c>
      <c r="BV344" s="6" t="str">
        <f>VLOOKUP(BS344,'Item List'!$A$2:$D$300,3,FALSE)</f>
        <v>#N/A</v>
      </c>
      <c r="BW344" s="6" t="str">
        <f>VLOOKUP(BS344,'Item List'!$A$2:$D$300,4,FALSE)</f>
        <v>#N/A</v>
      </c>
      <c r="BY344" s="140" t="s">
        <v>774</v>
      </c>
      <c r="BZ344" s="6">
        <v>4006.0</v>
      </c>
      <c r="CA344" s="140">
        <v>10.0</v>
      </c>
      <c r="CC344" s="140" t="s">
        <v>774</v>
      </c>
      <c r="CD344" s="6">
        <v>64000.0</v>
      </c>
      <c r="CE344" s="140">
        <v>100000.0</v>
      </c>
    </row>
    <row r="345">
      <c r="B345" s="40"/>
      <c r="C345" s="41"/>
      <c r="D345" s="133"/>
      <c r="E345" s="38" t="s">
        <v>236</v>
      </c>
      <c r="F345" s="38">
        <f>10*I340</f>
        <v>4000</v>
      </c>
      <c r="G345" s="79"/>
      <c r="H345" s="45"/>
      <c r="I345" s="45"/>
      <c r="J345" s="45"/>
      <c r="K345" s="45"/>
      <c r="L345" s="45"/>
      <c r="M345" s="45"/>
      <c r="N345" s="45"/>
      <c r="O345" s="45"/>
      <c r="P345" s="45"/>
      <c r="Q345" s="45"/>
      <c r="R345" s="45"/>
      <c r="S345" s="101"/>
      <c r="T345" s="101"/>
      <c r="U345" s="45"/>
      <c r="V345" s="45"/>
      <c r="W345" s="45"/>
      <c r="X345" s="45"/>
      <c r="Y345" s="45"/>
      <c r="Z345" s="45"/>
      <c r="AA345" s="45"/>
      <c r="AB345" s="45"/>
      <c r="AC345" s="45"/>
      <c r="AD345" s="45"/>
      <c r="AE345" s="45"/>
      <c r="AF345" s="45"/>
      <c r="AG345" s="79"/>
      <c r="AH345" s="45"/>
      <c r="AI345" s="45"/>
      <c r="AJ345" s="45"/>
      <c r="AK345" s="45"/>
      <c r="AL345" s="45"/>
      <c r="AM345" s="45"/>
      <c r="AN345" s="45"/>
      <c r="AO345" s="45"/>
      <c r="AP345" s="45"/>
      <c r="AQ345" s="45"/>
      <c r="AR345" s="45"/>
      <c r="AS345" s="45"/>
      <c r="AT345" s="79"/>
      <c r="AU345" s="45"/>
      <c r="AV345" s="45"/>
      <c r="AW345" s="45"/>
      <c r="AX345" s="45"/>
      <c r="AY345" s="45"/>
      <c r="AZ345" s="45"/>
      <c r="BA345" s="45"/>
      <c r="BB345" s="45"/>
      <c r="BC345" s="45"/>
      <c r="BD345" s="45"/>
      <c r="BE345" s="45"/>
      <c r="BF345" s="45"/>
      <c r="BG345" s="45"/>
      <c r="BH345" s="45"/>
      <c r="BI345" s="46"/>
      <c r="BK345" s="22"/>
      <c r="BS345" s="140" t="s">
        <v>214</v>
      </c>
      <c r="BT345" s="140">
        <v>0.0</v>
      </c>
      <c r="BU345" s="6">
        <f>VLOOKUP(BS345,'Item List'!$A$2:$D$300,2,FALSE)</f>
        <v>1</v>
      </c>
      <c r="BV345" s="6">
        <f>VLOOKUP(BS345,'Item List'!$A$2:$D$300,3,FALSE)</f>
        <v>3</v>
      </c>
      <c r="BW345" s="6">
        <f>VLOOKUP(BS345,'Item List'!$A$2:$D$300,4,FALSE)</f>
        <v>2</v>
      </c>
      <c r="BY345" s="140" t="s">
        <v>775</v>
      </c>
      <c r="BZ345" s="6">
        <v>1600.0</v>
      </c>
      <c r="CA345" s="140">
        <v>1000.0</v>
      </c>
      <c r="CC345" s="140" t="s">
        <v>775</v>
      </c>
      <c r="CD345" s="6">
        <v>160000.0</v>
      </c>
      <c r="CE345" s="140">
        <v>100000.0</v>
      </c>
    </row>
    <row r="346">
      <c r="B346" s="50"/>
      <c r="C346" s="51"/>
      <c r="D346" s="134"/>
      <c r="E346" s="52"/>
      <c r="F346" s="52"/>
      <c r="G346" s="112"/>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2"/>
      <c r="AH346" s="113"/>
      <c r="AI346" s="113"/>
      <c r="AJ346" s="113"/>
      <c r="AK346" s="113"/>
      <c r="AL346" s="113"/>
      <c r="AM346" s="113"/>
      <c r="AN346" s="113"/>
      <c r="AO346" s="113"/>
      <c r="AP346" s="113"/>
      <c r="AQ346" s="113"/>
      <c r="AR346" s="113"/>
      <c r="AS346" s="113"/>
      <c r="AT346" s="112"/>
      <c r="AU346" s="113"/>
      <c r="AV346" s="113"/>
      <c r="AW346" s="113"/>
      <c r="AX346" s="113"/>
      <c r="AY346" s="113"/>
      <c r="AZ346" s="113"/>
      <c r="BA346" s="113"/>
      <c r="BB346" s="113"/>
      <c r="BC346" s="113"/>
      <c r="BD346" s="113"/>
      <c r="BE346" s="113"/>
      <c r="BF346" s="113"/>
      <c r="BG346" s="113"/>
      <c r="BH346" s="113"/>
      <c r="BI346" s="114"/>
      <c r="BK346" s="22"/>
      <c r="BS346" s="6" t="s">
        <v>215</v>
      </c>
      <c r="BT346" s="6">
        <v>-40.0</v>
      </c>
      <c r="BU346" s="6">
        <f>VLOOKUP(BS346,'Item List'!$A$2:$D$300,2,FALSE)</f>
        <v>1</v>
      </c>
      <c r="BV346" s="6">
        <f>VLOOKUP(BS346,'Item List'!$A$2:$D$300,3,FALSE)</f>
        <v>3</v>
      </c>
      <c r="BW346" s="6">
        <f>VLOOKUP(BS346,'Item List'!$A$2:$D$300,4,FALSE)</f>
        <v>2</v>
      </c>
      <c r="BY346" s="140" t="s">
        <v>776</v>
      </c>
      <c r="BZ346" s="6">
        <v>0.0</v>
      </c>
      <c r="CA346" s="140">
        <v>100000.0</v>
      </c>
      <c r="CC346" s="140" t="s">
        <v>776</v>
      </c>
      <c r="CD346" s="6">
        <v>0.0</v>
      </c>
      <c r="CE346" s="140">
        <v>1000000.0</v>
      </c>
    </row>
    <row r="347">
      <c r="B347" s="141" t="s">
        <v>767</v>
      </c>
      <c r="C347" s="142"/>
      <c r="D347" s="143"/>
      <c r="E347" s="143"/>
      <c r="F347" s="144"/>
      <c r="G347" s="145"/>
      <c r="H347" s="146" t="s">
        <v>356</v>
      </c>
      <c r="I347" s="147" t="str">
        <f>VLOOKUP(H347,'Machine List'!$A$1:$I$300,9,FALSE)</f>
        <v>1T</v>
      </c>
      <c r="J347" s="147">
        <f>IF(VLOOKUP(H347,'Machine List'!$A$1:$I$300,5,FALSE)="Multi",IF(VLOOKUP(H347,'Machine List'!$A$1:$I$300,6,FALSE)="Yes",AI347*3*10^AB347,AI347*(2*3)*10^(AB347-1)),0)</f>
        <v>600</v>
      </c>
      <c r="K347" s="147">
        <f>J347+IF(ISNUMBER(I347),I347,
  SWITCH(
      I347,
      "1T",1*10^AB347,
      "2T",2*10^AB347,
      "3T",3*10^AB347,
      "4T",4*10^AB347,
      "4000+500(7O-5)",4000+500*(7*I348-5),
      "13500 + 16C",13500+16*VLOOKUP(J349,'Machine Helper Sheet'!$G$1:$K$16,5,FALSE),
      1
  )
)</f>
        <v>1600</v>
      </c>
      <c r="L347" s="147">
        <f>IF(VLOOKUP(H347,'Machine List'!$A$1:$I$300,5,FALSE)="Multi",IF(VLOOKUP(H347,'Machine List'!$A$1:$I$300,6,FALSE)="Yes",AW347*3*10^AV347,AW347*(2*3)*10^(AV347-1)),0)</f>
        <v>60000</v>
      </c>
      <c r="M347" s="147">
        <f>L347+IF(ISNUMBER(I347),I347,
  SWITCH(
      I347,
      "1T",1*10^AV347,
      "2T",2*10^AV347,
      "3T",3*10^AV347,
      "4T",4*10^AV347,
      "4000+500(7O-5)",4000+500*(7*I348-5),
      1
  )
)</f>
        <v>160000</v>
      </c>
      <c r="N347" s="147" t="str">
        <f>VLOOKUP(H347,'Machine List'!$A$1:$I$300,8,FALSE)</f>
        <v>Tier</v>
      </c>
      <c r="O347" s="147">
        <f>IF(ISNUMBER(N347),N347,10^AB347)</f>
        <v>1000</v>
      </c>
      <c r="P347" s="147">
        <f>IF(ISNUMBER(N347),N347,10^AV347)</f>
        <v>100000</v>
      </c>
      <c r="Q347" s="147" t="str">
        <f>VLOOKUP(H347,'Machine List'!$A$1:$B$138,2,FALSE)</f>
        <v>2T</v>
      </c>
      <c r="R347" s="147" t="s">
        <v>277</v>
      </c>
      <c r="S347" s="45">
        <f>IF(ISNUMBER(Q347),Q347,
  SWITCH(
      Q347,
      "1",1,
      "2T",AB347*2,
      "4T",AB347*4,
      "6T",AB347*6,
      "8T",AB347*8,
      "10T",AB347*10,
      "12T",AB347*12,
      "14T",AB347*14,
      "16T",AB347*16,
      "24T",AB347*24,
      "2(T+1)",2*(AB347+1),
      "1T*C",AB347*J349,
      "2*P",L349*2,
      1
  )
)</f>
        <v>6</v>
      </c>
      <c r="T347" s="38" t="s">
        <v>277</v>
      </c>
      <c r="U347" s="38">
        <f>IF(OR(T347="No",T347=""),S347,T347)</f>
        <v>6</v>
      </c>
      <c r="V347" s="38">
        <f>IF(ISNUMBER(Q347),Q347,
  SWITCH(
      Q347,
      "1",1,
      "2T",AV347*2,
      "4T",AV347*4,
      "6T",AV347*6,
      "8T",AV347*8,
      "10T",AV347*10,
      "12T",AV347*12,
      "14T",AV347*14,
      "16T",AV347*16,
      "24T",AV347*24,
      "2(T+1)",2*(AV347+1),
      "1T*C",AV347*J349,
      "2*P",L349*2,
      1
  )
)</f>
        <v>10</v>
      </c>
      <c r="W347" s="147" t="str">
        <f>T347</f>
        <v>No</v>
      </c>
      <c r="X347" s="147">
        <f>IF(OR(W347="No",W347=""),V347,W347)</f>
        <v>10</v>
      </c>
      <c r="Y347" s="38">
        <f>VLOOKUP(H347,'Machine List'!$A$1:$C$138,3,FALSE)</f>
        <v>2.5</v>
      </c>
      <c r="Z347" s="38">
        <f>VLOOKUP(H347,'Machine List'!$A$1:$D$138,4,FALSE)</f>
        <v>1</v>
      </c>
      <c r="AA347" s="147" t="s">
        <v>397</v>
      </c>
      <c r="AB347" s="147">
        <f>VLOOKUP(AA347,'Item Helper Sheet'!$A$2:$B$16,2,FALSE)</f>
        <v>3</v>
      </c>
      <c r="AC347" s="147">
        <v>480.0</v>
      </c>
      <c r="AD347" s="147">
        <f>3600*20</f>
        <v>72000</v>
      </c>
      <c r="AE347" s="147">
        <f>AD347*I349</f>
        <v>360000</v>
      </c>
      <c r="AF347" s="147">
        <f>AC347*AE347</f>
        <v>172800000</v>
      </c>
      <c r="AG347" s="148"/>
      <c r="AH347" s="147" t="str">
        <f>AA347</f>
        <v>03 - HV</v>
      </c>
      <c r="AI347" s="147">
        <v>1.0</v>
      </c>
      <c r="AJ347" s="147">
        <v>1.0</v>
      </c>
      <c r="AK347" s="147">
        <f>AJ347*8*4^AB347</f>
        <v>512</v>
      </c>
      <c r="AL347" s="147">
        <f>MIN(ROUNDDOWN(AK347/AN347,0),U347)</f>
        <v>1</v>
      </c>
      <c r="AM347" s="147">
        <f>IF(OR(T347="No",T347=""),AI347*S347,AI347*T347)</f>
        <v>6</v>
      </c>
      <c r="AN347" s="147">
        <f>ROUNDUP(AC347*VLOOKUP(H347,'Machine List'!$A$2:$D$219,4,FALSE),0)</f>
        <v>480</v>
      </c>
      <c r="AO347" s="147">
        <f>AN347*AM347</f>
        <v>2880</v>
      </c>
      <c r="AP347" s="147">
        <f>ROUNDUP(AD347*I349,0)</f>
        <v>360000</v>
      </c>
      <c r="AQ347" s="38">
        <f>IF(ISNUMBER(Y347),ROUNDUP(AP347/Y347,0),
  SWITCH(
      Y347,
      "1+0.5C",ROUNDUP(AP347/(1+0.5*VLOOKUP(J349,'Machine Helper Sheet'!$G$1:$K$16,2,FALSE)),0),
      ROUNDUP(AP347/1,0)
  )
)</f>
        <v>144000</v>
      </c>
      <c r="AR347" s="147">
        <f>ROUNDUP(AQ347/AM347,0)</f>
        <v>24000</v>
      </c>
      <c r="AS347" s="147">
        <f>AO347*AR347</f>
        <v>69120000</v>
      </c>
      <c r="AT347" s="148"/>
      <c r="AU347" s="147" t="s">
        <v>405</v>
      </c>
      <c r="AV347" s="147">
        <f>VLOOKUP(AU347,'Item Helper Sheet'!$A$2:$B$16,2,FALSE)</f>
        <v>5</v>
      </c>
      <c r="AW347" s="147">
        <f>AI347</f>
        <v>1</v>
      </c>
      <c r="AX347" s="147">
        <v>1.0</v>
      </c>
      <c r="AY347" s="147">
        <f>AX347*8*4^AV347</f>
        <v>8192</v>
      </c>
      <c r="AZ347" s="147">
        <f>MIN(ROUNDDOWN(AY347/AN347,0),X347)</f>
        <v>10</v>
      </c>
      <c r="BA347" s="147">
        <f>AZ347*AW347</f>
        <v>10</v>
      </c>
      <c r="BB347" s="147">
        <f>AN347</f>
        <v>480</v>
      </c>
      <c r="BC347" s="147">
        <f>MIN(AV347-AB347,IF(AY347&gt;=BB348*4,
IF(AY347&gt;=BB348*4^2,
IF(AY347&gt;=BB348*4^3,
IF(AY347&gt;=BB348*4^4,
IF(AY347&gt;=BB348*4^5,
IF(AY347&gt;=BB348*4^6,
IF(AY347&gt;=BB348*4^7,
IF(AY347&gt;=BB348*4^8,
IF(AY347&gt;=BB348*4^9,
IF(AY347&gt;=BB348*4^10,
9),
8),
7),
6),
5),
4),
3),
2),
1),
0))</f>
        <v>0</v>
      </c>
      <c r="BD347" s="147">
        <f>BB347*AZ347*4^BC347</f>
        <v>4800</v>
      </c>
      <c r="BE347" s="147">
        <f>BD347*AW347</f>
        <v>4800</v>
      </c>
      <c r="BF347" s="143">
        <f>ROUNDUP(IF(R347="Yes",AP347/(2^((BC347)*2)),AP347/(2^(BC347))),0)</f>
        <v>360000</v>
      </c>
      <c r="BG347" s="45">
        <f>IF(ISNUMBER(Y347),ROUNDUP(BF347/Y347,0),
  SWITCH(
      Y347,
      "1+0.5C",ROUNDUP(BF347/(1+0.5*VLOOKUP(J349,'Machine Helper Sheet'!$G$1:$K$16,2,FALSE)),0),
      ROUNDUP(BF347/1,0)
  )
)</f>
        <v>144000</v>
      </c>
      <c r="BH347" s="143">
        <f>ROUNDUP(BG347/BA347,0)</f>
        <v>14400</v>
      </c>
      <c r="BI347" s="149">
        <f>BH347*BE347</f>
        <v>69120000</v>
      </c>
      <c r="BK347" s="22"/>
      <c r="BS347" s="140" t="s">
        <v>737</v>
      </c>
      <c r="BT347" s="140">
        <v>0.0</v>
      </c>
      <c r="BU347" s="6" t="str">
        <f>VLOOKUP(BS347,'Item List'!$A$2:$D$300,2,FALSE)</f>
        <v>#N/A</v>
      </c>
      <c r="BV347" s="6" t="str">
        <f>VLOOKUP(BS347,'Item List'!$A$2:$D$300,3,FALSE)</f>
        <v>#N/A</v>
      </c>
      <c r="BW347" s="6" t="str">
        <f>VLOOKUP(BS347,'Item List'!$A$2:$D$300,4,FALSE)</f>
        <v>#N/A</v>
      </c>
      <c r="BY347" s="140" t="s">
        <v>777</v>
      </c>
      <c r="BZ347" s="6">
        <v>160000.0</v>
      </c>
      <c r="CA347" s="140">
        <v>100000.0</v>
      </c>
      <c r="CC347" s="140" t="s">
        <v>777</v>
      </c>
      <c r="CD347" s="6">
        <v>160000.0</v>
      </c>
      <c r="CE347" s="140">
        <v>100000.0</v>
      </c>
    </row>
    <row r="348">
      <c r="B348" s="150"/>
      <c r="C348" s="151" t="s">
        <v>222</v>
      </c>
      <c r="D348" s="147">
        <f>1000*I349</f>
        <v>5000</v>
      </c>
      <c r="E348" s="147" t="s">
        <v>149</v>
      </c>
      <c r="F348" s="152">
        <f>2000*I349</f>
        <v>10000</v>
      </c>
      <c r="G348" s="138"/>
      <c r="H348" s="153" t="s">
        <v>584</v>
      </c>
      <c r="I348" s="143">
        <f t="array" ref="I348">match(TRUE,ISBLANK(F348:F404),0)-1</f>
        <v>2</v>
      </c>
      <c r="J348" s="154" t="s">
        <v>420</v>
      </c>
      <c r="K348" s="154" t="s">
        <v>585</v>
      </c>
      <c r="L348" s="100" t="s">
        <v>704</v>
      </c>
      <c r="M348" s="147"/>
      <c r="N348" s="147"/>
      <c r="O348" s="147"/>
      <c r="P348" s="147"/>
      <c r="Q348" s="147"/>
      <c r="R348" s="155"/>
      <c r="S348" s="155"/>
      <c r="T348" s="155"/>
      <c r="U348" s="143"/>
      <c r="V348" s="143"/>
      <c r="W348" s="143"/>
      <c r="X348" s="143"/>
      <c r="Y348" s="143"/>
      <c r="Z348" s="143"/>
      <c r="AA348" s="143"/>
      <c r="AB348" s="143"/>
      <c r="AC348" s="143"/>
      <c r="AD348" s="143"/>
      <c r="AE348" s="143"/>
      <c r="AF348" s="143"/>
      <c r="AG348" s="156"/>
      <c r="AH348" s="143"/>
      <c r="AI348" s="143"/>
      <c r="AJ348" s="143"/>
      <c r="AK348" s="143"/>
      <c r="AL348" s="143"/>
      <c r="AM348" s="143"/>
      <c r="AN348" s="143"/>
      <c r="AO348" s="143"/>
      <c r="AP348" s="143"/>
      <c r="AQ348" s="143"/>
      <c r="AR348" s="143"/>
      <c r="AS348" s="143"/>
      <c r="AT348" s="156"/>
      <c r="AU348" s="143"/>
      <c r="AV348" s="143"/>
      <c r="AW348" s="143"/>
      <c r="AX348" s="143"/>
      <c r="AY348" s="143"/>
      <c r="AZ348" s="143"/>
      <c r="BA348" s="143"/>
      <c r="BB348" s="143">
        <f>BB347*AZ347</f>
        <v>4800</v>
      </c>
      <c r="BC348" s="143"/>
      <c r="BD348" s="143"/>
      <c r="BE348" s="143"/>
      <c r="BF348" s="143"/>
      <c r="BG348" s="143"/>
      <c r="BH348" s="143"/>
      <c r="BI348" s="149"/>
      <c r="BK348" s="22"/>
      <c r="BS348" s="140" t="s">
        <v>221</v>
      </c>
      <c r="BT348" s="140">
        <v>0.0</v>
      </c>
      <c r="BU348" s="6">
        <f>VLOOKUP(BS348,'Item List'!$A$2:$D$300,2,FALSE)</f>
        <v>1</v>
      </c>
      <c r="BV348" s="6">
        <f>VLOOKUP(BS348,'Item List'!$A$2:$D$300,3,FALSE)</f>
        <v>3</v>
      </c>
      <c r="BW348" s="6">
        <f>VLOOKUP(BS348,'Item List'!$A$2:$D$300,4,FALSE)</f>
        <v>2</v>
      </c>
      <c r="BY348" s="140" t="s">
        <v>778</v>
      </c>
      <c r="BZ348" s="6">
        <v>10.0</v>
      </c>
      <c r="CA348" s="140">
        <v>10.0</v>
      </c>
      <c r="CC348" s="140" t="s">
        <v>778</v>
      </c>
      <c r="CD348" s="6">
        <v>100000.0</v>
      </c>
      <c r="CE348" s="140">
        <v>100000.0</v>
      </c>
    </row>
    <row r="349">
      <c r="B349" s="150"/>
      <c r="C349" s="151" t="s">
        <v>72</v>
      </c>
      <c r="D349" s="147">
        <f>3000*I349</f>
        <v>15000</v>
      </c>
      <c r="E349" s="147" t="s">
        <v>90</v>
      </c>
      <c r="F349" s="152">
        <f>2000*I349</f>
        <v>10000</v>
      </c>
      <c r="G349" s="138"/>
      <c r="H349" s="157" t="s">
        <v>502</v>
      </c>
      <c r="I349" s="158">
        <v>5.0</v>
      </c>
      <c r="J349" s="154" t="s">
        <v>424</v>
      </c>
      <c r="K349" s="154">
        <v>0.0</v>
      </c>
      <c r="L349" s="100">
        <v>0.0</v>
      </c>
      <c r="M349" s="143"/>
      <c r="N349" s="143"/>
      <c r="O349" s="143"/>
      <c r="P349" s="143"/>
      <c r="Q349" s="143"/>
      <c r="R349" s="143"/>
      <c r="S349" s="155"/>
      <c r="T349" s="155"/>
      <c r="U349" s="143"/>
      <c r="V349" s="143"/>
      <c r="W349" s="143"/>
      <c r="X349" s="143"/>
      <c r="Y349" s="143"/>
      <c r="Z349" s="143"/>
      <c r="AA349" s="143"/>
      <c r="AB349" s="143"/>
      <c r="AC349" s="143"/>
      <c r="AD349" s="143"/>
      <c r="AE349" s="143"/>
      <c r="AF349" s="143"/>
      <c r="AG349" s="156"/>
      <c r="AH349" s="143"/>
      <c r="AI349" s="143"/>
      <c r="AJ349" s="143"/>
      <c r="AK349" s="143"/>
      <c r="AL349" s="143"/>
      <c r="AM349" s="143"/>
      <c r="AN349" s="143"/>
      <c r="AO349" s="143"/>
      <c r="AP349" s="143"/>
      <c r="AQ349" s="143"/>
      <c r="AR349" s="143"/>
      <c r="AS349" s="143"/>
      <c r="AT349" s="156"/>
      <c r="AU349" s="143"/>
      <c r="AV349" s="143"/>
      <c r="AW349" s="143"/>
      <c r="AX349" s="143"/>
      <c r="AY349" s="143"/>
      <c r="AZ349" s="143"/>
      <c r="BA349" s="143"/>
      <c r="BB349" s="143"/>
      <c r="BC349" s="143"/>
      <c r="BD349" s="143"/>
      <c r="BE349" s="143"/>
      <c r="BF349" s="143"/>
      <c r="BG349" s="143"/>
      <c r="BH349" s="143"/>
      <c r="BI349" s="149"/>
      <c r="BK349" s="22"/>
      <c r="BS349" s="140" t="s">
        <v>222</v>
      </c>
      <c r="BT349" s="140">
        <v>0.0</v>
      </c>
      <c r="BU349" s="6">
        <f>VLOOKUP(BS349,'Item List'!$A$2:$D$300,2,FALSE)</f>
        <v>1</v>
      </c>
      <c r="BV349" s="6">
        <f>VLOOKUP(BS349,'Item List'!$A$2:$D$300,3,FALSE)</f>
        <v>3</v>
      </c>
      <c r="BW349" s="6">
        <f>VLOOKUP(BS349,'Item List'!$A$2:$D$300,4,FALSE)</f>
        <v>2</v>
      </c>
      <c r="BY349" s="140" t="s">
        <v>779</v>
      </c>
      <c r="BZ349" s="6">
        <v>10.0</v>
      </c>
      <c r="CA349" s="140">
        <v>10.0</v>
      </c>
      <c r="CC349" s="140" t="s">
        <v>779</v>
      </c>
      <c r="CD349" s="6">
        <v>100000.0</v>
      </c>
      <c r="CE349" s="140">
        <v>100000.0</v>
      </c>
    </row>
    <row r="350">
      <c r="B350" s="135"/>
      <c r="C350" s="136"/>
      <c r="D350" s="137"/>
      <c r="E350" s="137"/>
      <c r="F350" s="137"/>
      <c r="G350" s="138"/>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c r="AG350" s="138"/>
      <c r="AH350" s="137"/>
      <c r="AI350" s="137"/>
      <c r="AJ350" s="137"/>
      <c r="AK350" s="137"/>
      <c r="AL350" s="137"/>
      <c r="AM350" s="137"/>
      <c r="AN350" s="137"/>
      <c r="AO350" s="137"/>
      <c r="AP350" s="137"/>
      <c r="AQ350" s="137"/>
      <c r="AR350" s="137"/>
      <c r="AS350" s="137"/>
      <c r="AT350" s="138"/>
      <c r="AU350" s="137"/>
      <c r="AV350" s="137"/>
      <c r="AW350" s="137"/>
      <c r="AX350" s="137"/>
      <c r="AY350" s="137"/>
      <c r="AZ350" s="137"/>
      <c r="BA350" s="137"/>
      <c r="BB350" s="137"/>
      <c r="BC350" s="137"/>
      <c r="BD350" s="137"/>
      <c r="BE350" s="137"/>
      <c r="BF350" s="137"/>
      <c r="BG350" s="137"/>
      <c r="BH350" s="137"/>
      <c r="BI350" s="139"/>
      <c r="BK350" s="22"/>
      <c r="BS350" s="140" t="s">
        <v>225</v>
      </c>
      <c r="BT350" s="140">
        <v>1000.0</v>
      </c>
      <c r="BU350" s="6">
        <f>VLOOKUP(BS350,'Item List'!$A$2:$D$300,2,FALSE)</f>
        <v>1</v>
      </c>
      <c r="BV350" s="6">
        <f>VLOOKUP(BS350,'Item List'!$A$2:$D$300,3,FALSE)</f>
        <v>3</v>
      </c>
      <c r="BW350" s="6">
        <f>VLOOKUP(BS350,'Item List'!$A$2:$D$300,4,FALSE)</f>
        <v>2</v>
      </c>
      <c r="BY350" s="140" t="s">
        <v>780</v>
      </c>
      <c r="BZ350" s="6">
        <v>7000.0</v>
      </c>
      <c r="CA350" s="140">
        <v>10000.0</v>
      </c>
      <c r="CC350" s="140" t="s">
        <v>780</v>
      </c>
      <c r="CD350" s="6">
        <v>61000.0</v>
      </c>
      <c r="CE350" s="140">
        <v>100000.0</v>
      </c>
    </row>
    <row r="351">
      <c r="B351" s="31" t="s">
        <v>768</v>
      </c>
      <c r="C351" s="54"/>
      <c r="D351" s="45"/>
      <c r="E351" s="45"/>
      <c r="F351" s="47"/>
      <c r="G351" s="35"/>
      <c r="H351" s="55" t="s">
        <v>363</v>
      </c>
      <c r="I351" s="38" t="str">
        <f>VLOOKUP(H351,'Machine List'!$A$1:$I$300,9,FALSE)</f>
        <v>1T</v>
      </c>
      <c r="J351" s="38">
        <f>IF(VLOOKUP(H351,'Machine List'!$A$1:$I$300,5,FALSE)="Multi",IF(VLOOKUP(H351,'Machine List'!$A$1:$I$300,6,FALSE)="Yes",AI351*3*10^AB351,AI351*(2*3)*10^(AB351-1)),0)</f>
        <v>6000</v>
      </c>
      <c r="K351" s="38">
        <f>J351+IF(ISNUMBER(I351),I351,
  SWITCH(
      I351,
      "1T",1*10^AB351,
      "2T",2*10^AB351,
      "3T",3*10^AB351,
      "4T",4*10^AB351,
      "4000+500(7O-5)",4000+500*(7*I352-5),
      "13500 + 16C",13500+16*VLOOKUP(J353,'Machine Helper Sheet'!$G$1:$K$16,5,FALSE),
      1
  )
)</f>
        <v>16000</v>
      </c>
      <c r="L351" s="38">
        <f>IF(VLOOKUP(H351,'Machine List'!$A$1:$I$300,5,FALSE)="Multi",IF(VLOOKUP(H351,'Machine List'!$A$1:$I$300,6,FALSE)="Yes",AW351*3*10^AV351,AW351*(2*3)*10^(AV351-1)),0)</f>
        <v>600000</v>
      </c>
      <c r="M351" s="38">
        <f>L351+IF(ISNUMBER(I351),I351,
  SWITCH(
      I351,
      "1T",1*10^AV351,
      "2T",2*10^AV351,
      "3T",3*10^AV351,
      "4T",4*10^AV351,
      "4000+500(7O-5)",4000+500*(7*I352-5),
      1
  )
)</f>
        <v>1600000</v>
      </c>
      <c r="N351" s="38" t="str">
        <f>VLOOKUP(H351,'Machine List'!$A$1:$I$300,8,FALSE)</f>
        <v>Tier</v>
      </c>
      <c r="O351" s="38">
        <f>IF(ISNUMBER(N351),N351,10^AB351)</f>
        <v>10000</v>
      </c>
      <c r="P351" s="38">
        <f>IF(ISNUMBER(N351),N351,10^AV351)</f>
        <v>1000000</v>
      </c>
      <c r="Q351" s="38">
        <f>VLOOKUP(H351,'Machine List'!$A$1:$B$138,2,FALSE)</f>
        <v>1</v>
      </c>
      <c r="R351" s="38" t="s">
        <v>277</v>
      </c>
      <c r="S351" s="45">
        <f>IF(ISNUMBER(Q351),Q351,
  SWITCH(
      Q351,
      "1",1,
      "2T",AB351*2,
      "4T",AB351*4,
      "6T",AB351*6,
      "8T",AB351*8,
      "10T",AB351*10,
      "12T",AB351*12,
      "14T",AB351*14,
      "16T",AB351*16,
      "24T",AB351*24,
      "2(T+1)",2*(AB351+1),
      "1T*C",AB351*J353,
      "2*P",L353*2,
      1
  )
)</f>
        <v>1</v>
      </c>
      <c r="T351" s="38" t="s">
        <v>277</v>
      </c>
      <c r="U351" s="38">
        <f>IF(OR(T351="No",T351=""),S351,T351)</f>
        <v>1</v>
      </c>
      <c r="V351" s="38">
        <f>IF(ISNUMBER(Q351),Q351,
  SWITCH(
      Q351,
      "1",1,
      "2T",AV351*2,
      "4T",AV351*4,
      "6T",AV351*6,
      "8T",AV351*8,
      "10T",AV351*10,
      "12T",AV351*12,
      "14T",AV351*14,
      "16T",AV351*16,
      "24T",AV351*24,
      "2(T+1)",2*(AV351+1),
      "1T*C",AV351*J353,
      "2*P",L353*2,
      1
  )
)</f>
        <v>1</v>
      </c>
      <c r="W351" s="38" t="str">
        <f>T351</f>
        <v>No</v>
      </c>
      <c r="X351" s="38">
        <f>IF(OR(W351="No",W351=""),V351,W351)</f>
        <v>1</v>
      </c>
      <c r="Y351" s="38">
        <f>VLOOKUP(H351,'Machine List'!$A$1:$C$138,3,FALSE)</f>
        <v>1</v>
      </c>
      <c r="Z351" s="38">
        <f>VLOOKUP(H351,'Machine List'!$A$1:$D$138,4,FALSE)</f>
        <v>1</v>
      </c>
      <c r="AA351" s="147" t="s">
        <v>401</v>
      </c>
      <c r="AB351" s="38">
        <f>VLOOKUP(AA351,'Item Helper Sheet'!$A$2:$B$16,2,FALSE)</f>
        <v>4</v>
      </c>
      <c r="AC351" s="147">
        <v>1920.0</v>
      </c>
      <c r="AD351" s="147">
        <f>600*20</f>
        <v>12000</v>
      </c>
      <c r="AE351" s="38">
        <f>AD351*I353</f>
        <v>60000</v>
      </c>
      <c r="AF351" s="38">
        <f>AC351*AE351</f>
        <v>115200000</v>
      </c>
      <c r="AG351" s="75"/>
      <c r="AH351" s="147" t="str">
        <f>AA351</f>
        <v>04 - EV</v>
      </c>
      <c r="AI351" s="38">
        <v>1.0</v>
      </c>
      <c r="AJ351" s="38">
        <v>1.0</v>
      </c>
      <c r="AK351" s="38">
        <f>AJ351*8*4^AB351</f>
        <v>2048</v>
      </c>
      <c r="AL351" s="38">
        <f>MIN(ROUNDDOWN(AK351/AN351,0),U351)</f>
        <v>1</v>
      </c>
      <c r="AM351" s="38">
        <f>IF(OR(T351="No",T351=""),AI351*S351,AI351*T351)</f>
        <v>1</v>
      </c>
      <c r="AN351" s="38">
        <f>ROUNDUP(AC351*VLOOKUP(H351,'Machine List'!$A$2:$D$219,4,FALSE),0)</f>
        <v>1920</v>
      </c>
      <c r="AO351" s="38">
        <f>AN351*AM351</f>
        <v>1920</v>
      </c>
      <c r="AP351" s="38">
        <f>ROUNDUP(AD351*I353,0)</f>
        <v>60000</v>
      </c>
      <c r="AQ351" s="38">
        <f>IF(ISNUMBER(Y351),ROUNDUP(AP351/Y351,0),
  SWITCH(
      Y351,
      "1+0.5C",ROUNDUP(AP351/(1+0.5*VLOOKUP(J353,'Machine Helper Sheet'!$G$1:$K$16,2,FALSE)),0),
      ROUNDUP(AP351/1,0)
  )
)</f>
        <v>60000</v>
      </c>
      <c r="AR351" s="38">
        <f>ROUNDUP(AQ351/AM351,0)</f>
        <v>60000</v>
      </c>
      <c r="AS351" s="38">
        <f>AO351*AR351</f>
        <v>115200000</v>
      </c>
      <c r="AT351" s="75"/>
      <c r="AU351" s="38" t="s">
        <v>408</v>
      </c>
      <c r="AV351" s="38">
        <f>VLOOKUP(AU351,'Item Helper Sheet'!$A$2:$B$16,2,FALSE)</f>
        <v>6</v>
      </c>
      <c r="AW351" s="38">
        <v>1.0</v>
      </c>
      <c r="AX351" s="38">
        <v>1.0</v>
      </c>
      <c r="AY351" s="38">
        <f>AX351*8*4^AV351</f>
        <v>32768</v>
      </c>
      <c r="AZ351" s="38">
        <f>MIN(ROUNDDOWN(AY351/AN351,0),X351)</f>
        <v>1</v>
      </c>
      <c r="BA351" s="38">
        <f>AZ351*AW351</f>
        <v>1</v>
      </c>
      <c r="BB351" s="38">
        <f>AN351</f>
        <v>1920</v>
      </c>
      <c r="BC351" s="38">
        <f>MIN(AV351-AB351,IF(AY351&gt;=BB352*4,
IF(AY351&gt;=BB352*4^2,
IF(AY351&gt;=BB352*4^3,
IF(AY351&gt;=BB352*4^4,
IF(AY351&gt;=BB352*4^5,
IF(AY351&gt;=BB352*4^6,
IF(AY351&gt;=BB352*4^7,
IF(AY351&gt;=BB352*4^8,
IF(AY351&gt;=BB352*4^9,
IF(AY351&gt;=BB352*4^10,
9),
8),
7),
6),
5),
4),
3),
2),
1),
0))</f>
        <v>2</v>
      </c>
      <c r="BD351" s="38">
        <f>BB351*AZ351*4^BC351</f>
        <v>30720</v>
      </c>
      <c r="BE351" s="38">
        <f>BD351*AW351</f>
        <v>30720</v>
      </c>
      <c r="BF351" s="45">
        <f>ROUNDUP(IF(R351="Yes",AP351/(2^((BC351)*2)),AP351/(2^(BC351))),0)</f>
        <v>15000</v>
      </c>
      <c r="BG351" s="45">
        <f>IF(ISNUMBER(Y351),ROUNDUP(BF351/Y351,0),
  SWITCH(
      Y351,
      "1+0.5C",ROUNDUP(BF351/(1+0.5*VLOOKUP(J353,'Machine Helper Sheet'!$G$1:$K$16,2,FALSE)),0),
      ROUNDUP(BF351/1,0)
  )
)</f>
        <v>15000</v>
      </c>
      <c r="BH351" s="45">
        <f>ROUNDUP(BG351/BA351,0)</f>
        <v>15000</v>
      </c>
      <c r="BI351" s="46">
        <f>BH351*BE351</f>
        <v>460800000</v>
      </c>
      <c r="BK351" s="22"/>
      <c r="BS351" s="6" t="s">
        <v>232</v>
      </c>
      <c r="BT351" s="6">
        <v>4000.0</v>
      </c>
      <c r="BU351" s="6">
        <f>VLOOKUP(BS351,'Item List'!$A$2:$D$300,2,FALSE)</f>
        <v>1</v>
      </c>
      <c r="BV351" s="6">
        <f>VLOOKUP(BS351,'Item List'!$A$2:$D$300,3,FALSE)</f>
        <v>3</v>
      </c>
      <c r="BW351" s="6">
        <f>VLOOKUP(BS351,'Item List'!$A$2:$D$300,4,FALSE)</f>
        <v>2</v>
      </c>
      <c r="BY351" s="140" t="s">
        <v>781</v>
      </c>
      <c r="BZ351" s="6">
        <v>1000.0</v>
      </c>
      <c r="CA351" s="140">
        <v>1000.0</v>
      </c>
      <c r="CC351" s="140" t="s">
        <v>781</v>
      </c>
      <c r="CD351" s="6">
        <v>100000.0</v>
      </c>
      <c r="CE351" s="140">
        <v>100000.0</v>
      </c>
    </row>
    <row r="352">
      <c r="B352" s="40"/>
      <c r="C352" s="41" t="s">
        <v>149</v>
      </c>
      <c r="D352" s="38">
        <f>2000*I353</f>
        <v>10000</v>
      </c>
      <c r="E352" s="38" t="s">
        <v>241</v>
      </c>
      <c r="F352" s="42">
        <f>2000*I353</f>
        <v>10000</v>
      </c>
      <c r="G352" s="43"/>
      <c r="H352" s="99" t="s">
        <v>584</v>
      </c>
      <c r="I352" s="45">
        <f t="array" ref="I352">match(TRUE,ISBLANK(F352:F363),0)-1</f>
        <v>4</v>
      </c>
      <c r="J352" s="100" t="s">
        <v>420</v>
      </c>
      <c r="K352" s="100" t="s">
        <v>585</v>
      </c>
      <c r="L352" s="100" t="s">
        <v>704</v>
      </c>
      <c r="M352" s="38"/>
      <c r="N352" s="38"/>
      <c r="O352" s="38"/>
      <c r="P352" s="38"/>
      <c r="Q352" s="38"/>
      <c r="R352" s="101"/>
      <c r="S352" s="101"/>
      <c r="T352" s="101"/>
      <c r="U352" s="45"/>
      <c r="V352" s="45"/>
      <c r="W352" s="45"/>
      <c r="X352" s="45"/>
      <c r="Y352" s="45"/>
      <c r="Z352" s="45"/>
      <c r="AA352" s="45"/>
      <c r="AB352" s="45"/>
      <c r="AC352" s="45"/>
      <c r="AD352" s="45"/>
      <c r="AE352" s="45"/>
      <c r="AF352" s="45"/>
      <c r="AG352" s="79"/>
      <c r="AH352" s="45"/>
      <c r="AI352" s="45"/>
      <c r="AJ352" s="45"/>
      <c r="AK352" s="45"/>
      <c r="AL352" s="45"/>
      <c r="AM352" s="45"/>
      <c r="AN352" s="45"/>
      <c r="AO352" s="45"/>
      <c r="AP352" s="45"/>
      <c r="AQ352" s="45"/>
      <c r="AR352" s="45"/>
      <c r="AS352" s="45"/>
      <c r="AT352" s="79"/>
      <c r="AU352" s="45"/>
      <c r="AV352" s="45"/>
      <c r="AW352" s="45"/>
      <c r="AX352" s="45"/>
      <c r="AY352" s="45"/>
      <c r="AZ352" s="45"/>
      <c r="BA352" s="45"/>
      <c r="BB352" s="45">
        <f>BB351*AZ351</f>
        <v>1920</v>
      </c>
      <c r="BC352" s="45"/>
      <c r="BD352" s="45"/>
      <c r="BE352" s="45"/>
      <c r="BF352" s="45"/>
      <c r="BG352" s="45"/>
      <c r="BH352" s="45"/>
      <c r="BI352" s="46"/>
      <c r="BK352" s="22"/>
      <c r="BS352" s="6" t="s">
        <v>236</v>
      </c>
      <c r="BT352" s="6">
        <v>3500.0</v>
      </c>
      <c r="BU352" s="6">
        <f>VLOOKUP(BS352,'Item List'!$A$2:$D$300,2,FALSE)</f>
        <v>1</v>
      </c>
      <c r="BV352" s="6">
        <f>VLOOKUP(BS352,'Item List'!$A$2:$D$300,3,FALSE)</f>
        <v>3</v>
      </c>
      <c r="BW352" s="6">
        <f>VLOOKUP(BS352,'Item List'!$A$2:$D$300,4,FALSE)</f>
        <v>2</v>
      </c>
    </row>
    <row r="353">
      <c r="B353" s="40"/>
      <c r="C353" s="41" t="s">
        <v>215</v>
      </c>
      <c r="D353" s="38">
        <f>3000*I353</f>
        <v>15000</v>
      </c>
      <c r="E353" s="38" t="s">
        <v>215</v>
      </c>
      <c r="F353" s="42">
        <f>2000*I353</f>
        <v>10000</v>
      </c>
      <c r="G353" s="43"/>
      <c r="H353" s="56" t="s">
        <v>502</v>
      </c>
      <c r="I353" s="49">
        <v>5.0</v>
      </c>
      <c r="J353" s="100" t="s">
        <v>424</v>
      </c>
      <c r="K353" s="100">
        <v>0.0</v>
      </c>
      <c r="L353" s="100">
        <v>0.0</v>
      </c>
      <c r="M353" s="45"/>
      <c r="N353" s="45"/>
      <c r="O353" s="45"/>
      <c r="P353" s="45"/>
      <c r="Q353" s="45"/>
      <c r="R353" s="45"/>
      <c r="S353" s="101"/>
      <c r="T353" s="101"/>
      <c r="U353" s="45"/>
      <c r="V353" s="45"/>
      <c r="W353" s="45"/>
      <c r="X353" s="45"/>
      <c r="Y353" s="45"/>
      <c r="Z353" s="45"/>
      <c r="AA353" s="45"/>
      <c r="AB353" s="45"/>
      <c r="AC353" s="45"/>
      <c r="AD353" s="45"/>
      <c r="AE353" s="45"/>
      <c r="AF353" s="45"/>
      <c r="AG353" s="79"/>
      <c r="AH353" s="45"/>
      <c r="AI353" s="45"/>
      <c r="AJ353" s="45"/>
      <c r="AK353" s="45"/>
      <c r="AL353" s="45"/>
      <c r="AM353" s="45"/>
      <c r="AN353" s="45"/>
      <c r="AO353" s="45"/>
      <c r="AP353" s="45"/>
      <c r="AQ353" s="45"/>
      <c r="AR353" s="45"/>
      <c r="AS353" s="45"/>
      <c r="AT353" s="79"/>
      <c r="AU353" s="45"/>
      <c r="AV353" s="45"/>
      <c r="AW353" s="45"/>
      <c r="AX353" s="45"/>
      <c r="AY353" s="45"/>
      <c r="AZ353" s="45"/>
      <c r="BA353" s="45"/>
      <c r="BB353" s="45"/>
      <c r="BC353" s="45"/>
      <c r="BD353" s="45"/>
      <c r="BE353" s="45"/>
      <c r="BF353" s="45"/>
      <c r="BG353" s="45"/>
      <c r="BH353" s="45"/>
      <c r="BI353" s="46"/>
      <c r="BK353" s="22"/>
      <c r="BS353" s="6" t="s">
        <v>237</v>
      </c>
      <c r="BT353" s="6">
        <v>0.0</v>
      </c>
      <c r="BU353" s="6">
        <f>VLOOKUP(BS353,'Item List'!$A$2:$D$300,2,FALSE)</f>
        <v>1</v>
      </c>
      <c r="BV353" s="6">
        <f>VLOOKUP(BS353,'Item List'!$A$2:$D$300,3,FALSE)</f>
        <v>3</v>
      </c>
      <c r="BW353" s="6">
        <f>VLOOKUP(BS353,'Item List'!$A$2:$D$300,4,FALSE)</f>
        <v>2</v>
      </c>
    </row>
    <row r="354">
      <c r="B354" s="40"/>
      <c r="C354" s="41"/>
      <c r="D354" s="38"/>
      <c r="E354" s="38" t="s">
        <v>72</v>
      </c>
      <c r="F354" s="42">
        <f>1000*I353</f>
        <v>5000</v>
      </c>
      <c r="G354" s="43"/>
      <c r="H354" s="44"/>
      <c r="I354" s="45"/>
      <c r="J354" s="45"/>
      <c r="K354" s="45"/>
      <c r="L354" s="45"/>
      <c r="M354" s="45"/>
      <c r="N354" s="45"/>
      <c r="O354" s="45"/>
      <c r="P354" s="45"/>
      <c r="Q354" s="45"/>
      <c r="R354" s="45"/>
      <c r="S354" s="101"/>
      <c r="T354" s="101"/>
      <c r="U354" s="45"/>
      <c r="V354" s="45"/>
      <c r="W354" s="45"/>
      <c r="X354" s="45"/>
      <c r="Y354" s="45"/>
      <c r="Z354" s="45"/>
      <c r="AA354" s="45"/>
      <c r="AB354" s="45"/>
      <c r="AC354" s="45"/>
      <c r="AD354" s="45"/>
      <c r="AE354" s="45"/>
      <c r="AF354" s="45"/>
      <c r="AG354" s="79"/>
      <c r="AH354" s="45"/>
      <c r="AI354" s="45"/>
      <c r="AJ354" s="45"/>
      <c r="AK354" s="45"/>
      <c r="AL354" s="45"/>
      <c r="AM354" s="45"/>
      <c r="AN354" s="45"/>
      <c r="AO354" s="45"/>
      <c r="AP354" s="45"/>
      <c r="AQ354" s="45"/>
      <c r="AR354" s="45"/>
      <c r="AS354" s="45"/>
      <c r="AT354" s="79"/>
      <c r="AU354" s="45"/>
      <c r="AV354" s="45"/>
      <c r="AW354" s="45"/>
      <c r="AX354" s="45"/>
      <c r="AY354" s="45"/>
      <c r="AZ354" s="45"/>
      <c r="BA354" s="45"/>
      <c r="BB354" s="45"/>
      <c r="BC354" s="45"/>
      <c r="BD354" s="45"/>
      <c r="BE354" s="45"/>
      <c r="BF354" s="45"/>
      <c r="BG354" s="45"/>
      <c r="BH354" s="45"/>
      <c r="BI354" s="46"/>
      <c r="BK354" s="22"/>
      <c r="BS354" s="6" t="s">
        <v>240</v>
      </c>
      <c r="BT354" s="6">
        <v>0.0</v>
      </c>
      <c r="BU354" s="6">
        <f>VLOOKUP(BS354,'Item List'!$A$2:$D$300,2,FALSE)</f>
        <v>1</v>
      </c>
      <c r="BV354" s="6">
        <f>VLOOKUP(BS354,'Item List'!$A$2:$D$300,3,FALSE)</f>
        <v>3</v>
      </c>
      <c r="BW354" s="6">
        <f>VLOOKUP(BS354,'Item List'!$A$2:$D$300,4,FALSE)</f>
        <v>2</v>
      </c>
    </row>
    <row r="355">
      <c r="B355" s="40"/>
      <c r="C355" s="41"/>
      <c r="D355" s="133"/>
      <c r="E355" s="38" t="s">
        <v>148</v>
      </c>
      <c r="F355" s="42">
        <f>4*I353</f>
        <v>20</v>
      </c>
      <c r="G355" s="43"/>
      <c r="H355" s="44"/>
      <c r="I355" s="45"/>
      <c r="J355" s="45"/>
      <c r="K355" s="45"/>
      <c r="L355" s="45"/>
      <c r="M355" s="45"/>
      <c r="N355" s="45"/>
      <c r="O355" s="45"/>
      <c r="P355" s="45"/>
      <c r="Q355" s="45"/>
      <c r="R355" s="45"/>
      <c r="S355" s="101"/>
      <c r="T355" s="101"/>
      <c r="U355" s="45"/>
      <c r="V355" s="45"/>
      <c r="W355" s="45"/>
      <c r="X355" s="45"/>
      <c r="Y355" s="45"/>
      <c r="Z355" s="45"/>
      <c r="AA355" s="45"/>
      <c r="AB355" s="45"/>
      <c r="AC355" s="45"/>
      <c r="AD355" s="45"/>
      <c r="AE355" s="45"/>
      <c r="AF355" s="45"/>
      <c r="AG355" s="79"/>
      <c r="AH355" s="45"/>
      <c r="AI355" s="45"/>
      <c r="AJ355" s="45"/>
      <c r="AK355" s="45"/>
      <c r="AL355" s="45"/>
      <c r="AM355" s="45"/>
      <c r="AN355" s="45"/>
      <c r="AO355" s="45"/>
      <c r="AP355" s="45"/>
      <c r="AQ355" s="45"/>
      <c r="AR355" s="45"/>
      <c r="AS355" s="45"/>
      <c r="AT355" s="79"/>
      <c r="AU355" s="45"/>
      <c r="AV355" s="45"/>
      <c r="AW355" s="45"/>
      <c r="AX355" s="45"/>
      <c r="AY355" s="45"/>
      <c r="AZ355" s="45"/>
      <c r="BA355" s="45"/>
      <c r="BB355" s="45"/>
      <c r="BC355" s="45"/>
      <c r="BD355" s="45"/>
      <c r="BE355" s="45"/>
      <c r="BF355" s="45"/>
      <c r="BG355" s="45"/>
      <c r="BH355" s="45"/>
      <c r="BI355" s="46"/>
      <c r="BK355" s="22"/>
      <c r="BS355" s="140" t="s">
        <v>241</v>
      </c>
      <c r="BT355" s="140">
        <v>17500.0</v>
      </c>
      <c r="BU355" s="6">
        <f>VLOOKUP(BS355,'Item List'!$A$2:$D$300,2,FALSE)</f>
        <v>1</v>
      </c>
      <c r="BV355" s="6">
        <f>VLOOKUP(BS355,'Item List'!$A$2:$D$300,3,FALSE)</f>
        <v>3</v>
      </c>
      <c r="BW355" s="6">
        <f>VLOOKUP(BS355,'Item List'!$A$2:$D$300,4,FALSE)</f>
        <v>2</v>
      </c>
    </row>
    <row r="356">
      <c r="B356" s="135"/>
      <c r="C356" s="136"/>
      <c r="D356" s="137"/>
      <c r="E356" s="137"/>
      <c r="F356" s="137"/>
      <c r="G356" s="138"/>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c r="AG356" s="138"/>
      <c r="AH356" s="137"/>
      <c r="AI356" s="137"/>
      <c r="AJ356" s="137"/>
      <c r="AK356" s="137"/>
      <c r="AL356" s="137"/>
      <c r="AM356" s="137"/>
      <c r="AN356" s="137"/>
      <c r="AO356" s="137"/>
      <c r="AP356" s="137"/>
      <c r="AQ356" s="137"/>
      <c r="AR356" s="137"/>
      <c r="AS356" s="137"/>
      <c r="AT356" s="138"/>
      <c r="AU356" s="137"/>
      <c r="AV356" s="137"/>
      <c r="AW356" s="137"/>
      <c r="AX356" s="137"/>
      <c r="AY356" s="137"/>
      <c r="AZ356" s="137"/>
      <c r="BA356" s="137"/>
      <c r="BB356" s="137"/>
      <c r="BC356" s="137"/>
      <c r="BD356" s="137"/>
      <c r="BE356" s="137"/>
      <c r="BF356" s="137"/>
      <c r="BG356" s="137"/>
      <c r="BH356" s="137"/>
      <c r="BI356" s="139"/>
      <c r="BK356" s="22"/>
      <c r="BS356" s="6" t="s">
        <v>243</v>
      </c>
      <c r="BT356" s="6">
        <v>9.2</v>
      </c>
      <c r="BU356" s="6">
        <f>VLOOKUP(BS356,'Item List'!$A$2:$D$300,2,FALSE)</f>
        <v>1</v>
      </c>
      <c r="BV356" s="6">
        <f>VLOOKUP(BS356,'Item List'!$A$2:$D$300,3,FALSE)</f>
        <v>3</v>
      </c>
      <c r="BW356" s="6">
        <f>VLOOKUP(BS356,'Item List'!$A$2:$D$300,4,FALSE)</f>
        <v>2</v>
      </c>
    </row>
    <row r="357">
      <c r="B357" s="141" t="s">
        <v>769</v>
      </c>
      <c r="C357" s="142"/>
      <c r="D357" s="143"/>
      <c r="E357" s="143"/>
      <c r="F357" s="144"/>
      <c r="G357" s="145"/>
      <c r="H357" s="146" t="s">
        <v>349</v>
      </c>
      <c r="I357" s="147">
        <f>VLOOKUP(H357,'Machine List'!$A$1:$I$300,9,FALSE)</f>
        <v>4000</v>
      </c>
      <c r="J357" s="147">
        <f>IF(VLOOKUP(H357,'Machine List'!$A$1:$I$300,5,FALSE)="Multi",IF(VLOOKUP(H357,'Machine List'!$A$1:$I$300,6,FALSE)="Yes",AI357*3*10^AB357,AI357*(2*3)*10^(AB357-1)),0)</f>
        <v>6</v>
      </c>
      <c r="K357" s="147">
        <f>J357+IF(ISNUMBER(I357),I357,
  SWITCH(
      I357,
      "1T",1*10^AB357,
      "2T",2*10^AB357,
      "3T",3*10^AB357,
      "4T",4*10^AB357,
      "4000+500(7O-5)",4000+500*(7*I358-5),
      "13500 + 16C",13500+16*VLOOKUP(J359,'Machine Helper Sheet'!$G$1:$K$16,5,FALSE),
      1
  )
)</f>
        <v>4006</v>
      </c>
      <c r="L357" s="147">
        <f>IF(VLOOKUP(H357,'Machine List'!$A$1:$I$300,5,FALSE)="Multi",IF(VLOOKUP(H357,'Machine List'!$A$1:$I$300,6,FALSE)="Yes",AW357*3*10^AV357,AW357*(2*3)*10^(AV357-1)),0)</f>
        <v>60000</v>
      </c>
      <c r="M357" s="147">
        <f>L357+IF(ISNUMBER(I357),I357,
  SWITCH(
      I357,
      "1T",1*10^AV357,
      "2T",2*10^AV357,
      "3T",3*10^AV357,
      "4T",4*10^AV357,
      "4000+500(7O-5)",4000+500*(7*I358-5),
      1
  )
)</f>
        <v>64000</v>
      </c>
      <c r="N357" s="147" t="str">
        <f>VLOOKUP(H357,'Machine List'!$A$1:$I$300,8,FALSE)</f>
        <v>Tier</v>
      </c>
      <c r="O357" s="147">
        <f>IF(ISNUMBER(N357),N357,10^AB357)</f>
        <v>10</v>
      </c>
      <c r="P357" s="147">
        <f>IF(ISNUMBER(N357),N357,10^AV357)</f>
        <v>100000</v>
      </c>
      <c r="Q357" s="147">
        <f>VLOOKUP(H357,'Machine List'!$A$1:$B$138,2,FALSE)</f>
        <v>1</v>
      </c>
      <c r="R357" s="147" t="s">
        <v>594</v>
      </c>
      <c r="S357" s="143">
        <f>IF(ISNUMBER(Q357),Q357,
  SWITCH(
      Q357,
      "1",1,
      "2T",AB357*2,
      "4T",AB357*4,
      "6T",AB357*6,
      "8T",AB357*8,
      "10T",AB357*10,
      "12T",AB357*12,
      "14T",AB357*14,
      "16T",AB357*16,
      "24T",AB357*24,
      "2(T+1)",2*(AB357+1),
      "1T*C",AB357*J359,
      "2*P",L359*2,
      1
  )
)</f>
        <v>1</v>
      </c>
      <c r="T357" s="38" t="s">
        <v>277</v>
      </c>
      <c r="U357" s="147">
        <f>IF(OR(T357="No",T357=""),S357,T357)</f>
        <v>1</v>
      </c>
      <c r="V357" s="147">
        <f>IF(ISNUMBER(Q357),Q357,
  SWITCH(
      Q357,
      "1",1,
      "2T",AV357*2,
      "4T",AV357*4,
      "6T",AV357*6,
      "8T",AV357*8,
      "10T",AV357*10,
      "12T",AV357*12,
      "14T",AV357*14,
      "16T",AV357*16,
      "24T",AV357*24,
      "2(T+1)",2*(AV357+1),
      "1T*C",AV357*J359,
      "2*P",L359*2,
      1
  )
)</f>
        <v>1</v>
      </c>
      <c r="W357" s="147" t="str">
        <f>T357</f>
        <v>No</v>
      </c>
      <c r="X357" s="147">
        <f>IF(OR(W357="No",W357=""),V357,W357)</f>
        <v>1</v>
      </c>
      <c r="Y357" s="38">
        <f>VLOOKUP(H357,'Machine List'!$A$1:$C$138,3,FALSE)</f>
        <v>1</v>
      </c>
      <c r="Z357" s="38">
        <f>VLOOKUP(H357,'Machine List'!$A$1:$D$138,4,FALSE)</f>
        <v>1</v>
      </c>
      <c r="AA357" s="147" t="s">
        <v>390</v>
      </c>
      <c r="AB357" s="147">
        <f>VLOOKUP(AA357,'Item Helper Sheet'!$A$2:$B$16,2,FALSE)</f>
        <v>1</v>
      </c>
      <c r="AC357" s="147">
        <v>30.0</v>
      </c>
      <c r="AD357" s="147">
        <f>10*20</f>
        <v>200</v>
      </c>
      <c r="AE357" s="147">
        <f>AD357*I359</f>
        <v>9000</v>
      </c>
      <c r="AF357" s="147">
        <f>AC357*AE357</f>
        <v>270000</v>
      </c>
      <c r="AG357" s="148"/>
      <c r="AH357" s="147" t="str">
        <f>AA357</f>
        <v>01 - LV</v>
      </c>
      <c r="AI357" s="147">
        <v>1.0</v>
      </c>
      <c r="AJ357" s="147">
        <v>1.0</v>
      </c>
      <c r="AK357" s="147">
        <f>AJ357*8*4^AB357</f>
        <v>32</v>
      </c>
      <c r="AL357" s="147">
        <f>MIN(ROUNDDOWN(AK357/AN357,0),U357)</f>
        <v>1</v>
      </c>
      <c r="AM357" s="147">
        <f>IF(OR(T357="No",T357=""),AI357*S357,AI357*T357)</f>
        <v>1</v>
      </c>
      <c r="AN357" s="147">
        <f>ROUNDUP(AC357*VLOOKUP(H357,'Machine List'!$A$2:$D$219,4,FALSE),0)</f>
        <v>30</v>
      </c>
      <c r="AO357" s="147">
        <f>AN357*AM357</f>
        <v>30</v>
      </c>
      <c r="AP357" s="147">
        <f>ROUNDUP(AD357*I359,0)</f>
        <v>9000</v>
      </c>
      <c r="AQ357" s="38">
        <f>IF(ISNUMBER(Y357),ROUNDUP(AP357/Y357,0),
  SWITCH(
      Y357,
      "1+0.5C",ROUNDUP(AP357/(1+0.5*VLOOKUP(J359,'Machine Helper Sheet'!$G$1:$K$16,2,FALSE)),0),
      ROUNDUP(AP357/1,0)
  )
)</f>
        <v>9000</v>
      </c>
      <c r="AR357" s="147">
        <f>ROUNDUP(AQ357/AM357,0)</f>
        <v>9000</v>
      </c>
      <c r="AS357" s="147">
        <f>AO357*AR357</f>
        <v>270000</v>
      </c>
      <c r="AT357" s="148"/>
      <c r="AU357" s="147" t="s">
        <v>405</v>
      </c>
      <c r="AV357" s="147">
        <f>VLOOKUP(AU357,'Item Helper Sheet'!$A$2:$B$16,2,FALSE)</f>
        <v>5</v>
      </c>
      <c r="AW357" s="147">
        <f>AI357</f>
        <v>1</v>
      </c>
      <c r="AX357" s="147">
        <v>1.0</v>
      </c>
      <c r="AY357" s="147">
        <f>AX357*8*4^AV357</f>
        <v>8192</v>
      </c>
      <c r="AZ357" s="147">
        <f>MIN(ROUNDDOWN(AY357/AN357,0),X357)</f>
        <v>1</v>
      </c>
      <c r="BA357" s="147">
        <f>AZ357*AW357</f>
        <v>1</v>
      </c>
      <c r="BB357" s="147">
        <f>AN357</f>
        <v>30</v>
      </c>
      <c r="BC357" s="147">
        <f>MIN(AV357-AB357,IF(AY357&gt;=BB358*4,
IF(AY357&gt;=BB358*4^2,
IF(AY357&gt;=BB358*4^3,
IF(AY357&gt;=BB358*4^4,
IF(AY357&gt;=BB358*4^5,
IF(AY357&gt;=BB358*4^6,
IF(AY357&gt;=BB358*4^7,
IF(AY357&gt;=BB358*4^8,
IF(AY357&gt;=BB358*4^9,
IF(AY357&gt;=BB358*4^10,
9),
8),
7),
6),
5),
4),
3),
2),
1),
0))</f>
        <v>4</v>
      </c>
      <c r="BD357" s="147">
        <f>BB357*AZ357*4^BC357</f>
        <v>7680</v>
      </c>
      <c r="BE357" s="147">
        <f>BD357*AW357</f>
        <v>7680</v>
      </c>
      <c r="BF357" s="143">
        <f>ROUNDUP(IF(R357="Yes",AP357/(2^((BC357)*2)),AP357/(2^(BC357))),0)</f>
        <v>36</v>
      </c>
      <c r="BG357" s="45">
        <f>IF(ISNUMBER(Y357),ROUNDUP(BF357/Y357,0),
  SWITCH(
      Y357,
      "1+0.5C",ROUNDUP(BF357/(1+0.5*VLOOKUP(J359,'Machine Helper Sheet'!$G$1:$K$16,2,FALSE)),0),
      ROUNDUP(BF357/1,0)
  )
)</f>
        <v>36</v>
      </c>
      <c r="BH357" s="143">
        <f>ROUNDUP(BG357/BA357,0)</f>
        <v>36</v>
      </c>
      <c r="BI357" s="149">
        <f>BH357*BE357</f>
        <v>276480</v>
      </c>
      <c r="BK357" s="22"/>
      <c r="BS357" s="6" t="s">
        <v>244</v>
      </c>
      <c r="BT357" s="6">
        <v>2500.0</v>
      </c>
      <c r="BU357" s="6">
        <f>VLOOKUP(BS357,'Item List'!$A$2:$D$300,2,FALSE)</f>
        <v>1</v>
      </c>
      <c r="BV357" s="6">
        <f>VLOOKUP(BS357,'Item List'!$A$2:$D$300,3,FALSE)</f>
        <v>3</v>
      </c>
      <c r="BW357" s="6">
        <f>VLOOKUP(BS357,'Item List'!$A$2:$D$300,4,FALSE)</f>
        <v>2</v>
      </c>
    </row>
    <row r="358">
      <c r="B358" s="150"/>
      <c r="C358" s="151" t="s">
        <v>647</v>
      </c>
      <c r="D358" s="147">
        <f>1*I359</f>
        <v>45</v>
      </c>
      <c r="E358" s="147" t="s">
        <v>737</v>
      </c>
      <c r="F358" s="152">
        <f>3*I359</f>
        <v>135</v>
      </c>
      <c r="G358" s="138"/>
      <c r="H358" s="153" t="s">
        <v>584</v>
      </c>
      <c r="I358" s="143">
        <f t="array" ref="I358">match(TRUE,ISBLANK(F358:F414),0)-1</f>
        <v>2</v>
      </c>
      <c r="J358" s="154" t="s">
        <v>420</v>
      </c>
      <c r="K358" s="154" t="s">
        <v>585</v>
      </c>
      <c r="L358" s="100" t="s">
        <v>704</v>
      </c>
      <c r="M358" s="147"/>
      <c r="N358" s="147"/>
      <c r="O358" s="147"/>
      <c r="P358" s="147"/>
      <c r="Q358" s="147"/>
      <c r="R358" s="155"/>
      <c r="S358" s="155"/>
      <c r="T358" s="155"/>
      <c r="U358" s="143"/>
      <c r="V358" s="143"/>
      <c r="W358" s="143"/>
      <c r="X358" s="143"/>
      <c r="Y358" s="143"/>
      <c r="Z358" s="143"/>
      <c r="AA358" s="143"/>
      <c r="AB358" s="143"/>
      <c r="AC358" s="143"/>
      <c r="AD358" s="143"/>
      <c r="AE358" s="143"/>
      <c r="AF358" s="143"/>
      <c r="AG358" s="156"/>
      <c r="AH358" s="143"/>
      <c r="AI358" s="143"/>
      <c r="AJ358" s="143"/>
      <c r="AK358" s="143"/>
      <c r="AL358" s="143"/>
      <c r="AM358" s="143"/>
      <c r="AN358" s="143"/>
      <c r="AO358" s="143"/>
      <c r="AP358" s="143"/>
      <c r="AQ358" s="143"/>
      <c r="AR358" s="143"/>
      <c r="AS358" s="143"/>
      <c r="AT358" s="156"/>
      <c r="AU358" s="143"/>
      <c r="AV358" s="143"/>
      <c r="AW358" s="143"/>
      <c r="AX358" s="143"/>
      <c r="AY358" s="143"/>
      <c r="AZ358" s="143"/>
      <c r="BA358" s="143"/>
      <c r="BB358" s="143">
        <f>BB357*AZ357</f>
        <v>30</v>
      </c>
      <c r="BC358" s="143"/>
      <c r="BD358" s="143"/>
      <c r="BE358" s="143"/>
      <c r="BF358" s="143"/>
      <c r="BG358" s="143"/>
      <c r="BH358" s="143"/>
      <c r="BI358" s="149"/>
      <c r="BK358" s="22"/>
      <c r="BS358" s="140" t="s">
        <v>248</v>
      </c>
      <c r="BT358" s="140">
        <v>0.0</v>
      </c>
      <c r="BU358" s="6">
        <f>VLOOKUP(BS358,'Item List'!$A$2:$D$300,2,FALSE)</f>
        <v>0</v>
      </c>
      <c r="BV358" s="6">
        <f>VLOOKUP(BS358,'Item List'!$A$2:$D$300,3,FALSE)</f>
        <v>5</v>
      </c>
      <c r="BW358" s="6">
        <f>VLOOKUP(BS358,'Item List'!$A$2:$D$300,4,FALSE)</f>
        <v>0</v>
      </c>
    </row>
    <row r="359">
      <c r="B359" s="150"/>
      <c r="C359" s="151" t="s">
        <v>248</v>
      </c>
      <c r="D359" s="147">
        <f>1000*I359</f>
        <v>45000</v>
      </c>
      <c r="E359" s="147" t="s">
        <v>87</v>
      </c>
      <c r="F359" s="152">
        <f>1000*I359</f>
        <v>45000</v>
      </c>
      <c r="G359" s="138"/>
      <c r="H359" s="157" t="s">
        <v>502</v>
      </c>
      <c r="I359" s="158">
        <v>45.0</v>
      </c>
      <c r="J359" s="154" t="s">
        <v>424</v>
      </c>
      <c r="K359" s="154">
        <v>0.0</v>
      </c>
      <c r="L359" s="100">
        <v>0.0</v>
      </c>
      <c r="M359" s="143"/>
      <c r="N359" s="143"/>
      <c r="O359" s="143"/>
      <c r="P359" s="143"/>
      <c r="Q359" s="143"/>
      <c r="R359" s="143"/>
      <c r="S359" s="155"/>
      <c r="T359" s="155"/>
      <c r="U359" s="143"/>
      <c r="V359" s="143"/>
      <c r="W359" s="143"/>
      <c r="X359" s="143"/>
      <c r="Y359" s="143"/>
      <c r="Z359" s="143"/>
      <c r="AA359" s="143"/>
      <c r="AB359" s="143"/>
      <c r="AC359" s="143"/>
      <c r="AD359" s="143"/>
      <c r="AE359" s="143"/>
      <c r="AF359" s="143"/>
      <c r="AG359" s="156"/>
      <c r="AH359" s="143"/>
      <c r="AI359" s="143"/>
      <c r="AJ359" s="143"/>
      <c r="AK359" s="143"/>
      <c r="AL359" s="143"/>
      <c r="AM359" s="143"/>
      <c r="AN359" s="143"/>
      <c r="AO359" s="143"/>
      <c r="AP359" s="143"/>
      <c r="AQ359" s="143"/>
      <c r="AR359" s="143"/>
      <c r="AS359" s="143"/>
      <c r="AT359" s="156"/>
      <c r="AU359" s="143"/>
      <c r="AV359" s="143"/>
      <c r="AW359" s="143"/>
      <c r="AX359" s="143"/>
      <c r="AY359" s="143"/>
      <c r="AZ359" s="143"/>
      <c r="BA359" s="143"/>
      <c r="BB359" s="143"/>
      <c r="BC359" s="143"/>
      <c r="BD359" s="143"/>
      <c r="BE359" s="143"/>
      <c r="BF359" s="143"/>
      <c r="BG359" s="143"/>
      <c r="BH359" s="143"/>
      <c r="BI359" s="149"/>
      <c r="BK359" s="22"/>
      <c r="BS359" s="6" t="s">
        <v>251</v>
      </c>
      <c r="BT359" s="6">
        <v>10000.0</v>
      </c>
      <c r="BU359" s="6">
        <f>VLOOKUP(BS359,'Item List'!$A$2:$D$300,2,FALSE)</f>
        <v>1</v>
      </c>
      <c r="BV359" s="6">
        <f>VLOOKUP(BS359,'Item List'!$A$2:$D$300,3,FALSE)</f>
        <v>3</v>
      </c>
      <c r="BW359" s="6">
        <f>VLOOKUP(BS359,'Item List'!$A$2:$D$300,4,FALSE)</f>
        <v>2</v>
      </c>
    </row>
    <row r="360">
      <c r="B360" s="135"/>
      <c r="C360" s="136"/>
      <c r="D360" s="137"/>
      <c r="E360" s="137"/>
      <c r="F360" s="137"/>
      <c r="G360" s="138"/>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c r="AG360" s="138"/>
      <c r="AH360" s="137"/>
      <c r="AI360" s="137"/>
      <c r="AJ360" s="137"/>
      <c r="AK360" s="137"/>
      <c r="AL360" s="137"/>
      <c r="AM360" s="137"/>
      <c r="AN360" s="137"/>
      <c r="AO360" s="137"/>
      <c r="AP360" s="137"/>
      <c r="AQ360" s="137"/>
      <c r="AR360" s="137"/>
      <c r="AS360" s="137"/>
      <c r="AT360" s="138"/>
      <c r="AU360" s="137"/>
      <c r="AV360" s="137"/>
      <c r="AW360" s="137"/>
      <c r="AX360" s="137"/>
      <c r="AY360" s="137"/>
      <c r="AZ360" s="137"/>
      <c r="BA360" s="137"/>
      <c r="BB360" s="137"/>
      <c r="BC360" s="137"/>
      <c r="BD360" s="137"/>
      <c r="BE360" s="137"/>
      <c r="BF360" s="137"/>
      <c r="BG360" s="137"/>
      <c r="BH360" s="137"/>
      <c r="BI360" s="139"/>
      <c r="BK360" s="22"/>
    </row>
    <row r="361">
      <c r="B361" s="141" t="s">
        <v>770</v>
      </c>
      <c r="C361" s="142"/>
      <c r="D361" s="143"/>
      <c r="E361" s="143"/>
      <c r="F361" s="144"/>
      <c r="G361" s="145"/>
      <c r="H361" s="146" t="s">
        <v>349</v>
      </c>
      <c r="I361" s="147">
        <f>VLOOKUP(H361,'Machine List'!$A$1:$I$300,9,FALSE)</f>
        <v>4000</v>
      </c>
      <c r="J361" s="147">
        <f>IF(VLOOKUP(H361,'Machine List'!$A$1:$I$300,5,FALSE)="Multi",IF(VLOOKUP(H361,'Machine List'!$A$1:$I$300,6,FALSE)="Yes",AI361*3*10^AB361,AI361*(2*3)*10^(AB361-1)),0)</f>
        <v>6</v>
      </c>
      <c r="K361" s="147">
        <f>J361+IF(ISNUMBER(I361),I361,
  SWITCH(
      I361,
      "1T",1*10^AB361,
      "2T",2*10^AB361,
      "3T",3*10^AB361,
      "4T",4*10^AB361,
      "4000+500(7O-5)",4000+500*(7*I362-5),
      "13500 + 16C",13500+16*VLOOKUP(J363,'Machine Helper Sheet'!$G$1:$K$16,5,FALSE),
      1
  )
)</f>
        <v>4006</v>
      </c>
      <c r="L361" s="147">
        <f>IF(VLOOKUP(H361,'Machine List'!$A$1:$I$300,5,FALSE)="Multi",IF(VLOOKUP(H361,'Machine List'!$A$1:$I$300,6,FALSE)="Yes",AW361*3*10^AV361,AW361*(2*3)*10^(AV361-1)),0)</f>
        <v>60000</v>
      </c>
      <c r="M361" s="147">
        <f>L361+IF(ISNUMBER(I361),I361,
  SWITCH(
      I361,
      "1T",1*10^AV361,
      "2T",2*10^AV361,
      "3T",3*10^AV361,
      "4T",4*10^AV361,
      "4000+500(7O-5)",4000+500*(7*I362-5),
      1
  )
)</f>
        <v>64000</v>
      </c>
      <c r="N361" s="147" t="str">
        <f>VLOOKUP(H361,'Machine List'!$A$1:$I$300,8,FALSE)</f>
        <v>Tier</v>
      </c>
      <c r="O361" s="147">
        <f>IF(ISNUMBER(N361),N361,10^AB361)</f>
        <v>10</v>
      </c>
      <c r="P361" s="147">
        <f>IF(ISNUMBER(N361),N361,10^AV361)</f>
        <v>100000</v>
      </c>
      <c r="Q361" s="147">
        <f>VLOOKUP(H361,'Machine List'!$A$1:$B$138,2,FALSE)</f>
        <v>1</v>
      </c>
      <c r="R361" s="147" t="s">
        <v>594</v>
      </c>
      <c r="S361" s="143">
        <f>IF(ISNUMBER(Q361),Q361,
  SWITCH(
      Q361,
      "1",1,
      "2T",AB361*2,
      "4T",AB361*4,
      "6T",AB361*6,
      "8T",AB361*8,
      "10T",AB361*10,
      "12T",AB361*12,
      "14T",AB361*14,
      "16T",AB361*16,
      "24T",AB361*24,
      "2(T+1)",2*(AB361+1),
      "1T*C",AB361*J363,
      "2*P",L363*2,
      1
  )
)</f>
        <v>1</v>
      </c>
      <c r="T361" s="38" t="s">
        <v>277</v>
      </c>
      <c r="U361" s="147">
        <f>IF(OR(T361="No",T361=""),S361,T361)</f>
        <v>1</v>
      </c>
      <c r="V361" s="147">
        <f>IF(ISNUMBER(Q361),Q361,
  SWITCH(
      Q361,
      "1",1,
      "2T",AV361*2,
      "4T",AV361*4,
      "6T",AV361*6,
      "8T",AV361*8,
      "10T",AV361*10,
      "12T",AV361*12,
      "14T",AV361*14,
      "16T",AV361*16,
      "24T",AV361*24,
      "2(T+1)",2*(AV361+1),
      "1T*C",AV361*J363,
      "2*P",L363*2,
      1
  )
)</f>
        <v>1</v>
      </c>
      <c r="W361" s="147" t="str">
        <f>T361</f>
        <v>No</v>
      </c>
      <c r="X361" s="147">
        <f>IF(OR(W361="No",W361=""),V361,W361)</f>
        <v>1</v>
      </c>
      <c r="Y361" s="38">
        <f>VLOOKUP(H361,'Machine List'!$A$1:$C$138,3,FALSE)</f>
        <v>1</v>
      </c>
      <c r="Z361" s="38">
        <f>VLOOKUP(H361,'Machine List'!$A$1:$D$138,4,FALSE)</f>
        <v>1</v>
      </c>
      <c r="AA361" s="147" t="s">
        <v>390</v>
      </c>
      <c r="AB361" s="147">
        <f>VLOOKUP(AA361,'Item Helper Sheet'!$A$2:$B$16,2,FALSE)</f>
        <v>1</v>
      </c>
      <c r="AC361" s="147">
        <v>30.0</v>
      </c>
      <c r="AD361" s="147">
        <f>60*20</f>
        <v>1200</v>
      </c>
      <c r="AE361" s="147">
        <f>AD361*I363</f>
        <v>54000</v>
      </c>
      <c r="AF361" s="147">
        <f>AC361*AE361</f>
        <v>1620000</v>
      </c>
      <c r="AG361" s="148"/>
      <c r="AH361" s="147" t="str">
        <f>AA361</f>
        <v>01 - LV</v>
      </c>
      <c r="AI361" s="147">
        <v>1.0</v>
      </c>
      <c r="AJ361" s="147">
        <v>1.0</v>
      </c>
      <c r="AK361" s="147">
        <f>AJ361*8*4^AB361</f>
        <v>32</v>
      </c>
      <c r="AL361" s="147">
        <f>MIN(ROUNDDOWN(AK361/AN361,0),U361)</f>
        <v>1</v>
      </c>
      <c r="AM361" s="147">
        <f>IF(OR(T361="No",T361=""),AI361*S361,AI361*T361)</f>
        <v>1</v>
      </c>
      <c r="AN361" s="147">
        <f>ROUNDUP(AC361*VLOOKUP(H361,'Machine List'!$A$2:$D$219,4,FALSE),0)</f>
        <v>30</v>
      </c>
      <c r="AO361" s="147">
        <f>AN361*AM361</f>
        <v>30</v>
      </c>
      <c r="AP361" s="147">
        <f>ROUNDUP(AD361*I363,0)</f>
        <v>54000</v>
      </c>
      <c r="AQ361" s="38">
        <f>IF(ISNUMBER(Y361),ROUNDUP(AP361/Y361,0),
  SWITCH(
      Y361,
      "1+0.5C",ROUNDUP(AP361/(1+0.5*VLOOKUP(J363,'Machine Helper Sheet'!$G$1:$K$16,2,FALSE)),0),
      ROUNDUP(AP361/1,0)
  )
)</f>
        <v>54000</v>
      </c>
      <c r="AR361" s="147">
        <f>ROUNDUP(AQ361/AM361,0)</f>
        <v>54000</v>
      </c>
      <c r="AS361" s="147">
        <f>AO361*AR361</f>
        <v>1620000</v>
      </c>
      <c r="AT361" s="148"/>
      <c r="AU361" s="147" t="s">
        <v>405</v>
      </c>
      <c r="AV361" s="147">
        <f>VLOOKUP(AU361,'Item Helper Sheet'!$A$2:$B$16,2,FALSE)</f>
        <v>5</v>
      </c>
      <c r="AW361" s="147">
        <f>AI361</f>
        <v>1</v>
      </c>
      <c r="AX361" s="147">
        <v>1.0</v>
      </c>
      <c r="AY361" s="147">
        <f>AX361*8*4^AV361</f>
        <v>8192</v>
      </c>
      <c r="AZ361" s="147">
        <f>MIN(ROUNDDOWN(AY361/AN361,0),X361)</f>
        <v>1</v>
      </c>
      <c r="BA361" s="147">
        <f>AZ361*AW361</f>
        <v>1</v>
      </c>
      <c r="BB361" s="147">
        <f>AN361</f>
        <v>30</v>
      </c>
      <c r="BC361" s="147">
        <f>MIN(AV361-AB361,IF(AY361&gt;=BB362*4,
IF(AY361&gt;=BB362*4^2,
IF(AY361&gt;=BB362*4^3,
IF(AY361&gt;=BB362*4^4,
IF(AY361&gt;=BB362*4^5,
IF(AY361&gt;=BB362*4^6,
IF(AY361&gt;=BB362*4^7,
IF(AY361&gt;=BB362*4^8,
IF(AY361&gt;=BB362*4^9,
IF(AY361&gt;=BB362*4^10,
9),
8),
7),
6),
5),
4),
3),
2),
1),
0))</f>
        <v>4</v>
      </c>
      <c r="BD361" s="147">
        <f>BB361*AZ361*4^BC361</f>
        <v>7680</v>
      </c>
      <c r="BE361" s="147">
        <f>BD361*AW361</f>
        <v>7680</v>
      </c>
      <c r="BF361" s="143">
        <f>ROUNDUP(IF(R361="Yes",AP361/(2^((BC361)*2)),AP361/(2^(BC361))),0)</f>
        <v>211</v>
      </c>
      <c r="BG361" s="45">
        <f>IF(ISNUMBER(Y361),ROUNDUP(BF361/Y361,0),
  SWITCH(
      Y361,
      "1+0.5C",ROUNDUP(BF361/(1+0.5*VLOOKUP(J363,'Machine Helper Sheet'!$G$1:$K$16,2,FALSE)),0),
      ROUNDUP(BF361/1,0)
  )
)</f>
        <v>211</v>
      </c>
      <c r="BH361" s="143">
        <f>ROUNDUP(BG361/BA361,0)</f>
        <v>211</v>
      </c>
      <c r="BI361" s="149">
        <f>BH361*BE361</f>
        <v>1620480</v>
      </c>
      <c r="BK361" s="22"/>
    </row>
    <row r="362">
      <c r="B362" s="150"/>
      <c r="C362" s="151" t="s">
        <v>737</v>
      </c>
      <c r="D362" s="147">
        <f>3*I363</f>
        <v>135</v>
      </c>
      <c r="E362" s="147" t="s">
        <v>214</v>
      </c>
      <c r="F362" s="152">
        <f>2*I363</f>
        <v>90</v>
      </c>
      <c r="G362" s="138"/>
      <c r="H362" s="153" t="s">
        <v>584</v>
      </c>
      <c r="I362" s="143">
        <f t="array" ref="I362">match(TRUE,ISBLANK(F362:F418),0)-1</f>
        <v>2</v>
      </c>
      <c r="J362" s="154" t="s">
        <v>420</v>
      </c>
      <c r="K362" s="154" t="s">
        <v>585</v>
      </c>
      <c r="L362" s="100" t="s">
        <v>704</v>
      </c>
      <c r="M362" s="147"/>
      <c r="N362" s="147"/>
      <c r="O362" s="147"/>
      <c r="P362" s="147"/>
      <c r="Q362" s="147"/>
      <c r="R362" s="155"/>
      <c r="S362" s="155"/>
      <c r="T362" s="155"/>
      <c r="U362" s="143"/>
      <c r="V362" s="143"/>
      <c r="W362" s="143"/>
      <c r="X362" s="143"/>
      <c r="Y362" s="143"/>
      <c r="Z362" s="143"/>
      <c r="AA362" s="143"/>
      <c r="AB362" s="143"/>
      <c r="AC362" s="143"/>
      <c r="AD362" s="143"/>
      <c r="AE362" s="143"/>
      <c r="AF362" s="143"/>
      <c r="AG362" s="156"/>
      <c r="AH362" s="143"/>
      <c r="AI362" s="143"/>
      <c r="AJ362" s="143"/>
      <c r="AK362" s="143"/>
      <c r="AL362" s="143"/>
      <c r="AM362" s="143"/>
      <c r="AN362" s="143"/>
      <c r="AO362" s="143"/>
      <c r="AP362" s="143"/>
      <c r="AQ362" s="143"/>
      <c r="AR362" s="143"/>
      <c r="AS362" s="143"/>
      <c r="AT362" s="156"/>
      <c r="AU362" s="143"/>
      <c r="AV362" s="143"/>
      <c r="AW362" s="143"/>
      <c r="AX362" s="143"/>
      <c r="AY362" s="143"/>
      <c r="AZ362" s="143"/>
      <c r="BA362" s="143"/>
      <c r="BB362" s="143">
        <f>BB361*AZ361</f>
        <v>30</v>
      </c>
      <c r="BC362" s="143"/>
      <c r="BD362" s="143"/>
      <c r="BE362" s="143"/>
      <c r="BF362" s="143"/>
      <c r="BG362" s="143"/>
      <c r="BH362" s="143"/>
      <c r="BI362" s="149"/>
      <c r="BK362" s="22"/>
      <c r="BM362" s="6" t="s">
        <v>457</v>
      </c>
      <c r="BN362" s="6" t="s">
        <v>467</v>
      </c>
      <c r="BO362" s="6" t="s">
        <v>471</v>
      </c>
      <c r="BP362" s="6" t="s">
        <v>457</v>
      </c>
      <c r="BQ362" s="6" t="s">
        <v>466</v>
      </c>
      <c r="BR362" s="6" t="s">
        <v>470</v>
      </c>
      <c r="BS362" s="6" t="s">
        <v>457</v>
      </c>
      <c r="BT362" s="6" t="s">
        <v>701</v>
      </c>
      <c r="BU362" s="6" t="s">
        <v>605</v>
      </c>
      <c r="BV362" s="6" t="s">
        <v>645</v>
      </c>
    </row>
    <row r="363">
      <c r="B363" s="150"/>
      <c r="C363" s="151" t="s">
        <v>91</v>
      </c>
      <c r="D363" s="147">
        <f>500*I363</f>
        <v>22500</v>
      </c>
      <c r="E363" s="147" t="s">
        <v>248</v>
      </c>
      <c r="F363" s="152">
        <f>1000*I363</f>
        <v>45000</v>
      </c>
      <c r="G363" s="138"/>
      <c r="H363" s="157" t="s">
        <v>502</v>
      </c>
      <c r="I363" s="158">
        <v>45.0</v>
      </c>
      <c r="J363" s="154" t="s">
        <v>424</v>
      </c>
      <c r="K363" s="154">
        <v>0.0</v>
      </c>
      <c r="L363" s="100">
        <v>0.0</v>
      </c>
      <c r="M363" s="143"/>
      <c r="N363" s="143"/>
      <c r="O363" s="143"/>
      <c r="P363" s="143"/>
      <c r="Q363" s="143"/>
      <c r="R363" s="143"/>
      <c r="S363" s="155"/>
      <c r="T363" s="155"/>
      <c r="U363" s="143"/>
      <c r="V363" s="143"/>
      <c r="W363" s="143"/>
      <c r="X363" s="143"/>
      <c r="Y363" s="143"/>
      <c r="Z363" s="143"/>
      <c r="AA363" s="143"/>
      <c r="AB363" s="143"/>
      <c r="AC363" s="143"/>
      <c r="AD363" s="143"/>
      <c r="AE363" s="143"/>
      <c r="AF363" s="143"/>
      <c r="AG363" s="156"/>
      <c r="AH363" s="143"/>
      <c r="AI363" s="143"/>
      <c r="AJ363" s="143"/>
      <c r="AK363" s="143"/>
      <c r="AL363" s="143"/>
      <c r="AM363" s="143"/>
      <c r="AN363" s="143"/>
      <c r="AO363" s="143"/>
      <c r="AP363" s="143"/>
      <c r="AQ363" s="143"/>
      <c r="AR363" s="143"/>
      <c r="AS363" s="143"/>
      <c r="AT363" s="156"/>
      <c r="AU363" s="143"/>
      <c r="AV363" s="143"/>
      <c r="AW363" s="143"/>
      <c r="AX363" s="143"/>
      <c r="AY363" s="143"/>
      <c r="AZ363" s="143"/>
      <c r="BA363" s="143"/>
      <c r="BB363" s="143"/>
      <c r="BC363" s="143"/>
      <c r="BD363" s="143"/>
      <c r="BE363" s="143"/>
      <c r="BF363" s="143"/>
      <c r="BG363" s="143"/>
      <c r="BH363" s="143"/>
      <c r="BI363" s="149"/>
      <c r="BK363" s="22"/>
      <c r="BM363" s="6" t="s">
        <v>763</v>
      </c>
      <c r="BN363" s="6">
        <v>7.68E8</v>
      </c>
      <c r="BO363" s="6">
        <v>1.536E9</v>
      </c>
      <c r="BP363" s="6" t="s">
        <v>763</v>
      </c>
      <c r="BQ363" s="6">
        <v>100000.0</v>
      </c>
      <c r="BR363" s="6">
        <v>25000.0</v>
      </c>
      <c r="BS363" s="6" t="s">
        <v>763</v>
      </c>
      <c r="BT363" s="6">
        <v>5.0</v>
      </c>
      <c r="BU363" s="6">
        <v>6.0</v>
      </c>
      <c r="BV363" s="6">
        <v>2.0</v>
      </c>
    </row>
    <row r="364">
      <c r="B364" s="135"/>
      <c r="C364" s="136"/>
      <c r="D364" s="137"/>
      <c r="E364" s="137"/>
      <c r="F364" s="137"/>
      <c r="G364" s="138"/>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c r="AG364" s="138"/>
      <c r="AH364" s="137"/>
      <c r="AI364" s="137"/>
      <c r="AJ364" s="137"/>
      <c r="AK364" s="137"/>
      <c r="AL364" s="137"/>
      <c r="AM364" s="137"/>
      <c r="AN364" s="137"/>
      <c r="AO364" s="137"/>
      <c r="AP364" s="137"/>
      <c r="AQ364" s="137"/>
      <c r="AR364" s="137"/>
      <c r="AS364" s="137"/>
      <c r="AT364" s="138"/>
      <c r="AU364" s="137"/>
      <c r="AV364" s="137"/>
      <c r="AW364" s="137"/>
      <c r="AX364" s="137"/>
      <c r="AY364" s="137"/>
      <c r="AZ364" s="137"/>
      <c r="BA364" s="137"/>
      <c r="BB364" s="137"/>
      <c r="BC364" s="137"/>
      <c r="BD364" s="137"/>
      <c r="BE364" s="137"/>
      <c r="BF364" s="137"/>
      <c r="BG364" s="137"/>
      <c r="BH364" s="137"/>
      <c r="BI364" s="139"/>
      <c r="BK364" s="22"/>
      <c r="BM364" s="6" t="s">
        <v>764</v>
      </c>
      <c r="BN364" s="6">
        <v>100.0</v>
      </c>
      <c r="BO364" s="6">
        <v>100000.0</v>
      </c>
      <c r="BP364" s="6" t="s">
        <v>764</v>
      </c>
      <c r="BQ364" s="6">
        <v>100000.0</v>
      </c>
      <c r="BR364" s="6">
        <v>25000.0</v>
      </c>
      <c r="BS364" s="6" t="s">
        <v>764</v>
      </c>
      <c r="BT364" s="6">
        <v>6.0</v>
      </c>
      <c r="BU364" s="6">
        <v>6.0</v>
      </c>
      <c r="BV364" s="6">
        <v>4.0</v>
      </c>
    </row>
    <row r="365">
      <c r="B365" s="141" t="s">
        <v>771</v>
      </c>
      <c r="C365" s="142"/>
      <c r="D365" s="143"/>
      <c r="E365" s="143"/>
      <c r="F365" s="144"/>
      <c r="G365" s="145"/>
      <c r="H365" s="146" t="s">
        <v>310</v>
      </c>
      <c r="I365" s="147" t="str">
        <f>VLOOKUP(H365,'Machine List'!$A$1:$I$300,9,FALSE)</f>
        <v>1T</v>
      </c>
      <c r="J365" s="147">
        <f>IF(VLOOKUP(H365,'Machine List'!$A$1:$I$300,5,FALSE)="Multi",IF(VLOOKUP(H365,'Machine List'!$A$1:$I$300,6,FALSE)="Yes",AI365*3*10^AB365,AI365*(2*3)*10^(AB365-1)),0)</f>
        <v>0</v>
      </c>
      <c r="K365" s="147">
        <f>J365+IF(ISNUMBER(I365),I365,
  SWITCH(
      I365,
      "1T",1*10^AB365,
      "2T",2*10^AB365,
      "3T",3*10^AB365,
      "4T",4*10^AB365,
      "4000+500(7O-5)",4000+500*(7*I366-5),
      "13500 + 16C",13500+16*VLOOKUP(J367,'Machine Helper Sheet'!$G$1:$K$16,5,FALSE),
      1
  )
)</f>
        <v>1000</v>
      </c>
      <c r="L365" s="147">
        <f>IF(VLOOKUP(H365,'Machine List'!$A$1:$I$300,5,FALSE)="Multi",IF(VLOOKUP(H365,'Machine List'!$A$1:$I$300,6,FALSE)="Yes",AW365*3*10^AV365,AW365*(2*3)*10^(AV365-1)),0)</f>
        <v>0</v>
      </c>
      <c r="M365" s="147">
        <f>L365+IF(ISNUMBER(I365),I365,
  SWITCH(
      I365,
      "1T",1*10^AV365,
      "2T",2*10^AV365,
      "3T",3*10^AV365,
      "4T",4*10^AV365,
      "4000+500(7O-5)",4000+500*(7*I366-5),
      1
  )
)</f>
        <v>100000</v>
      </c>
      <c r="N365" s="147" t="str">
        <f>VLOOKUP(H365,'Machine List'!$A$1:$I$300,8,FALSE)</f>
        <v>Tier</v>
      </c>
      <c r="O365" s="147">
        <f>IF(ISNUMBER(N365),N365,10^AB365)</f>
        <v>1000</v>
      </c>
      <c r="P365" s="147">
        <f>IF(ISNUMBER(N365),N365,10^AV365)</f>
        <v>100000</v>
      </c>
      <c r="Q365" s="147">
        <f>VLOOKUP(H365,'Machine List'!$A$1:$B$138,2,FALSE)</f>
        <v>1</v>
      </c>
      <c r="R365" s="147" t="s">
        <v>277</v>
      </c>
      <c r="S365" s="143">
        <f>IF(ISNUMBER(Q365),Q365,
  SWITCH(
      Q365,
      "1",1,
      "2T",AB365*2,
      "4T",AB365*4,
      "6T",AB365*6,
      "8T",AB365*8,
      "10T",AB365*10,
      "12T",AB365*12,
      "14T",AB365*14,
      "16T",AB365*16,
      "24T",AB365*24,
      "2(T+1)",2*(AB365+1),
      "1T*C",AB365*J367,
      "2*P",L367*2,
      1
  )
)</f>
        <v>1</v>
      </c>
      <c r="T365" s="38" t="s">
        <v>277</v>
      </c>
      <c r="U365" s="147">
        <f>IF(OR(T365="No",T365=""),S365,T365)</f>
        <v>1</v>
      </c>
      <c r="V365" s="147">
        <f>IF(ISNUMBER(Q365),Q365,
  SWITCH(
      Q365,
      "1",1,
      "2T",AV365*2,
      "4T",AV365*4,
      "6T",AV365*6,
      "8T",AV365*8,
      "10T",AV365*10,
      "12T",AV365*12,
      "14T",AV365*14,
      "16T",AV365*16,
      "24T",AV365*24,
      "2(T+1)",2*(AV365+1),
      "1T*C",AV365*J367,
      "2*P",L367*2,
      1
  )
)</f>
        <v>1</v>
      </c>
      <c r="W365" s="147" t="str">
        <f>T365</f>
        <v>No</v>
      </c>
      <c r="X365" s="147">
        <f>IF(OR(W365="No",W365=""),V365,W365)</f>
        <v>1</v>
      </c>
      <c r="Y365" s="38">
        <f>VLOOKUP(H365,'Machine List'!$A$1:$C$138,3,FALSE)</f>
        <v>1</v>
      </c>
      <c r="Z365" s="38">
        <f>VLOOKUP(H365,'Machine List'!$A$1:$D$138,4,FALSE)</f>
        <v>1</v>
      </c>
      <c r="AA365" s="147" t="s">
        <v>397</v>
      </c>
      <c r="AB365" s="147">
        <f>VLOOKUP(AA365,'Item Helper Sheet'!$A$2:$B$16,2,FALSE)</f>
        <v>3</v>
      </c>
      <c r="AC365" s="147">
        <v>480.0</v>
      </c>
      <c r="AD365" s="147">
        <f>30*20</f>
        <v>600</v>
      </c>
      <c r="AE365" s="147">
        <f>AD365*I367</f>
        <v>54000</v>
      </c>
      <c r="AF365" s="147">
        <f>AC365*AE365</f>
        <v>25920000</v>
      </c>
      <c r="AG365" s="148"/>
      <c r="AH365" s="147" t="str">
        <f>AA365</f>
        <v>03 - HV</v>
      </c>
      <c r="AI365" s="147">
        <v>1.0</v>
      </c>
      <c r="AJ365" s="147">
        <v>1.0</v>
      </c>
      <c r="AK365" s="147">
        <f>AJ365*8*4^AB365</f>
        <v>512</v>
      </c>
      <c r="AL365" s="147">
        <f>MIN(ROUNDDOWN(AK365/AN365,0),U365)</f>
        <v>1</v>
      </c>
      <c r="AM365" s="147">
        <f>IF(OR(T365="No",T365=""),AI365*S365,AI365*T365)</f>
        <v>1</v>
      </c>
      <c r="AN365" s="147">
        <f>ROUNDUP(AC365*VLOOKUP(H365,'Machine List'!$A$2:$D$219,4,FALSE),0)</f>
        <v>480</v>
      </c>
      <c r="AO365" s="147">
        <f>AN365*AM365</f>
        <v>480</v>
      </c>
      <c r="AP365" s="147">
        <f>ROUNDUP(AD365*I367,0)</f>
        <v>54000</v>
      </c>
      <c r="AQ365" s="38">
        <f>IF(ISNUMBER(Y365),ROUNDUP(AP365/Y365,0),
  SWITCH(
      Y365,
      "1+0.5C",ROUNDUP(AP365/(1+0.5*VLOOKUP(J367,'Machine Helper Sheet'!$G$1:$K$16,2,FALSE)),0),
      ROUNDUP(AP365/1,0)
  )
)</f>
        <v>54000</v>
      </c>
      <c r="AR365" s="147">
        <f>ROUNDUP(AQ365/AM365,0)</f>
        <v>54000</v>
      </c>
      <c r="AS365" s="147">
        <f>AO365*AR365</f>
        <v>25920000</v>
      </c>
      <c r="AT365" s="148"/>
      <c r="AU365" s="147" t="s">
        <v>405</v>
      </c>
      <c r="AV365" s="147">
        <f>VLOOKUP(AU365,'Item Helper Sheet'!$A$2:$B$16,2,FALSE)</f>
        <v>5</v>
      </c>
      <c r="AW365" s="147">
        <f>AI365</f>
        <v>1</v>
      </c>
      <c r="AX365" s="147">
        <v>1.0</v>
      </c>
      <c r="AY365" s="147">
        <f>AX365*8*4^AV365</f>
        <v>8192</v>
      </c>
      <c r="AZ365" s="147">
        <f>MIN(ROUNDDOWN(AY365/AN365,0),X365)</f>
        <v>1</v>
      </c>
      <c r="BA365" s="147">
        <f>AZ365*AW365</f>
        <v>1</v>
      </c>
      <c r="BB365" s="147">
        <f>AN365</f>
        <v>480</v>
      </c>
      <c r="BC365" s="147">
        <f>MIN(AV365-AB365,IF(AY365&gt;=BB366*4,
IF(AY365&gt;=BB366*4^2,
IF(AY365&gt;=BB366*4^3,
IF(AY365&gt;=BB366*4^4,
IF(AY365&gt;=BB366*4^5,
IF(AY365&gt;=BB366*4^6,
IF(AY365&gt;=BB366*4^7,
IF(AY365&gt;=BB366*4^8,
IF(AY365&gt;=BB366*4^9,
IF(AY365&gt;=BB366*4^10,
9),
8),
7),
6),
5),
4),
3),
2),
1),
0))</f>
        <v>2</v>
      </c>
      <c r="BD365" s="147">
        <f>BB365*AZ365*4^BC365</f>
        <v>7680</v>
      </c>
      <c r="BE365" s="147">
        <f>BD365*AW365</f>
        <v>7680</v>
      </c>
      <c r="BF365" s="143">
        <f>ROUNDUP(IF(R365="Yes",AP365/(2^((BC365)*2)),AP365/(2^(BC365))),0)</f>
        <v>13500</v>
      </c>
      <c r="BG365" s="45">
        <f>IF(ISNUMBER(Y365),ROUNDUP(BF365/Y365,0),
  SWITCH(
      Y365,
      "1+0.5C",ROUNDUP(BF365/(1+0.5*VLOOKUP(J367,'Machine Helper Sheet'!$G$1:$K$16,2,FALSE)),0),
      ROUNDUP(BF365/1,0)
  )
)</f>
        <v>13500</v>
      </c>
      <c r="BH365" s="143">
        <f>ROUNDUP(BG365/BA365,0)</f>
        <v>13500</v>
      </c>
      <c r="BI365" s="149">
        <f>BH365*BE365</f>
        <v>103680000</v>
      </c>
      <c r="BK365" s="22"/>
      <c r="BM365" s="6" t="s">
        <v>765</v>
      </c>
      <c r="BN365" s="6">
        <v>3.84E8</v>
      </c>
      <c r="BO365" s="6">
        <v>7.68E8</v>
      </c>
      <c r="BP365" s="6" t="s">
        <v>765</v>
      </c>
      <c r="BQ365" s="6">
        <v>50000.0</v>
      </c>
      <c r="BR365" s="6">
        <v>25000.0</v>
      </c>
      <c r="BS365" s="6" t="s">
        <v>765</v>
      </c>
      <c r="BT365" s="6">
        <v>5.0</v>
      </c>
      <c r="BU365" s="6">
        <v>6.0</v>
      </c>
      <c r="BV365" s="6">
        <v>1.0</v>
      </c>
    </row>
    <row r="366">
      <c r="B366" s="150"/>
      <c r="C366" s="151" t="s">
        <v>214</v>
      </c>
      <c r="D366" s="147">
        <f>1*I367</f>
        <v>90</v>
      </c>
      <c r="E366" s="147" t="s">
        <v>215</v>
      </c>
      <c r="F366" s="152">
        <f>144*I367</f>
        <v>12960</v>
      </c>
      <c r="G366" s="138"/>
      <c r="H366" s="153" t="s">
        <v>584</v>
      </c>
      <c r="I366" s="143">
        <f t="array" ref="I366">match(TRUE,ISBLANK(F366:F378),0)-1</f>
        <v>1</v>
      </c>
      <c r="J366" s="154" t="s">
        <v>420</v>
      </c>
      <c r="K366" s="154" t="s">
        <v>585</v>
      </c>
      <c r="L366" s="100" t="s">
        <v>704</v>
      </c>
      <c r="M366" s="147"/>
      <c r="N366" s="147"/>
      <c r="O366" s="147"/>
      <c r="P366" s="147"/>
      <c r="Q366" s="147"/>
      <c r="R366" s="155"/>
      <c r="S366" s="155"/>
      <c r="T366" s="155"/>
      <c r="U366" s="143"/>
      <c r="V366" s="143"/>
      <c r="W366" s="143"/>
      <c r="X366" s="143"/>
      <c r="Y366" s="143"/>
      <c r="Z366" s="143"/>
      <c r="AA366" s="143"/>
      <c r="AB366" s="143"/>
      <c r="AC366" s="143"/>
      <c r="AD366" s="143"/>
      <c r="AE366" s="143"/>
      <c r="AF366" s="143"/>
      <c r="AG366" s="156"/>
      <c r="AH366" s="143"/>
      <c r="AI366" s="143"/>
      <c r="AJ366" s="143"/>
      <c r="AK366" s="143"/>
      <c r="AL366" s="143"/>
      <c r="AM366" s="143"/>
      <c r="AN366" s="143"/>
      <c r="AO366" s="143"/>
      <c r="AP366" s="143"/>
      <c r="AQ366" s="143"/>
      <c r="AR366" s="143"/>
      <c r="AS366" s="143"/>
      <c r="AT366" s="156"/>
      <c r="AU366" s="143"/>
      <c r="AV366" s="143"/>
      <c r="AW366" s="143"/>
      <c r="AX366" s="143"/>
      <c r="AY366" s="143"/>
      <c r="AZ366" s="143"/>
      <c r="BA366" s="143"/>
      <c r="BB366" s="143">
        <f>BB365*AZ365</f>
        <v>480</v>
      </c>
      <c r="BC366" s="143"/>
      <c r="BD366" s="143"/>
      <c r="BE366" s="143"/>
      <c r="BF366" s="143"/>
      <c r="BG366" s="143"/>
      <c r="BH366" s="143"/>
      <c r="BI366" s="149"/>
      <c r="BK366" s="22"/>
      <c r="BM366" s="6" t="s">
        <v>766</v>
      </c>
      <c r="BN366" s="6">
        <v>1.536E9</v>
      </c>
      <c r="BO366" s="6">
        <v>3.072E9</v>
      </c>
      <c r="BP366" s="6" t="s">
        <v>766</v>
      </c>
      <c r="BQ366" s="6">
        <v>200000.0</v>
      </c>
      <c r="BR366" s="6">
        <v>25000.0</v>
      </c>
      <c r="BS366" s="6" t="s">
        <v>766</v>
      </c>
      <c r="BT366" s="6">
        <v>5.0</v>
      </c>
      <c r="BU366" s="6">
        <v>6.0</v>
      </c>
      <c r="BV366" s="6">
        <v>4.0</v>
      </c>
    </row>
    <row r="367">
      <c r="B367" s="150"/>
      <c r="C367" s="151"/>
      <c r="D367" s="147"/>
      <c r="E367" s="147"/>
      <c r="F367" s="152"/>
      <c r="G367" s="138"/>
      <c r="H367" s="157" t="s">
        <v>502</v>
      </c>
      <c r="I367" s="158">
        <v>90.0</v>
      </c>
      <c r="J367" s="154" t="s">
        <v>424</v>
      </c>
      <c r="K367" s="154">
        <v>0.0</v>
      </c>
      <c r="L367" s="100">
        <v>0.0</v>
      </c>
      <c r="M367" s="143"/>
      <c r="N367" s="143"/>
      <c r="O367" s="143"/>
      <c r="P367" s="143"/>
      <c r="Q367" s="143"/>
      <c r="R367" s="143"/>
      <c r="S367" s="155"/>
      <c r="T367" s="155"/>
      <c r="U367" s="143"/>
      <c r="V367" s="143"/>
      <c r="W367" s="143"/>
      <c r="X367" s="143"/>
      <c r="Y367" s="143"/>
      <c r="Z367" s="143"/>
      <c r="AA367" s="143"/>
      <c r="AB367" s="143"/>
      <c r="AC367" s="143"/>
      <c r="AD367" s="143"/>
      <c r="AE367" s="143"/>
      <c r="AF367" s="143"/>
      <c r="AG367" s="156"/>
      <c r="AH367" s="143"/>
      <c r="AI367" s="143"/>
      <c r="AJ367" s="143"/>
      <c r="AK367" s="143"/>
      <c r="AL367" s="143"/>
      <c r="AM367" s="143"/>
      <c r="AN367" s="143"/>
      <c r="AO367" s="143"/>
      <c r="AP367" s="143"/>
      <c r="AQ367" s="143"/>
      <c r="AR367" s="143"/>
      <c r="AS367" s="143"/>
      <c r="AT367" s="156"/>
      <c r="AU367" s="143"/>
      <c r="AV367" s="143"/>
      <c r="AW367" s="143"/>
      <c r="AX367" s="143"/>
      <c r="AY367" s="143"/>
      <c r="AZ367" s="143"/>
      <c r="BA367" s="143"/>
      <c r="BB367" s="143"/>
      <c r="BC367" s="143"/>
      <c r="BD367" s="143"/>
      <c r="BE367" s="143"/>
      <c r="BF367" s="143"/>
      <c r="BG367" s="143"/>
      <c r="BH367" s="143"/>
      <c r="BI367" s="149"/>
      <c r="BK367" s="22"/>
      <c r="BM367" s="140" t="s">
        <v>767</v>
      </c>
      <c r="BN367" s="140">
        <v>1.728E8</v>
      </c>
      <c r="BO367" s="140">
        <v>6.912E7</v>
      </c>
      <c r="BP367" s="140" t="s">
        <v>767</v>
      </c>
      <c r="BQ367" s="140">
        <v>24000.0</v>
      </c>
      <c r="BR367" s="140">
        <v>14400.0</v>
      </c>
      <c r="BS367" s="140" t="s">
        <v>767</v>
      </c>
      <c r="BT367" s="140">
        <v>3.0</v>
      </c>
      <c r="BU367" s="140">
        <v>5.0</v>
      </c>
      <c r="BV367" s="140">
        <v>10.0</v>
      </c>
    </row>
    <row r="368">
      <c r="B368" s="135"/>
      <c r="C368" s="136"/>
      <c r="D368" s="137"/>
      <c r="E368" s="137"/>
      <c r="F368" s="137"/>
      <c r="G368" s="138"/>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8"/>
      <c r="AH368" s="137"/>
      <c r="AI368" s="137"/>
      <c r="AJ368" s="137"/>
      <c r="AK368" s="137"/>
      <c r="AL368" s="137"/>
      <c r="AM368" s="137"/>
      <c r="AN368" s="137"/>
      <c r="AO368" s="137"/>
      <c r="AP368" s="137"/>
      <c r="AQ368" s="137"/>
      <c r="AR368" s="137"/>
      <c r="AS368" s="137"/>
      <c r="AT368" s="138"/>
      <c r="AU368" s="137"/>
      <c r="AV368" s="137"/>
      <c r="AW368" s="137"/>
      <c r="AX368" s="137"/>
      <c r="AY368" s="137"/>
      <c r="AZ368" s="137"/>
      <c r="BA368" s="137"/>
      <c r="BB368" s="137"/>
      <c r="BC368" s="137"/>
      <c r="BD368" s="137"/>
      <c r="BE368" s="137"/>
      <c r="BF368" s="137"/>
      <c r="BG368" s="137"/>
      <c r="BH368" s="137"/>
      <c r="BI368" s="139"/>
      <c r="BK368" s="22"/>
      <c r="BM368" s="6" t="s">
        <v>768</v>
      </c>
      <c r="BN368" s="6">
        <v>1.152E8</v>
      </c>
      <c r="BO368" s="6">
        <v>4.608E8</v>
      </c>
      <c r="BP368" s="6" t="s">
        <v>768</v>
      </c>
      <c r="BQ368" s="6">
        <v>60000.0</v>
      </c>
      <c r="BR368" s="6">
        <v>15000.0</v>
      </c>
      <c r="BS368" s="6" t="s">
        <v>768</v>
      </c>
      <c r="BT368" s="6">
        <v>4.0</v>
      </c>
      <c r="BU368" s="6">
        <v>6.0</v>
      </c>
      <c r="BV368" s="6">
        <v>1.0</v>
      </c>
    </row>
    <row r="369">
      <c r="B369" s="141" t="s">
        <v>772</v>
      </c>
      <c r="C369" s="142"/>
      <c r="D369" s="143"/>
      <c r="E369" s="143"/>
      <c r="F369" s="144"/>
      <c r="G369" s="145"/>
      <c r="H369" s="146" t="s">
        <v>356</v>
      </c>
      <c r="I369" s="147" t="str">
        <f>VLOOKUP(H369,'Machine List'!$A$1:$I$300,9,FALSE)</f>
        <v>1T</v>
      </c>
      <c r="J369" s="147">
        <f>IF(VLOOKUP(H369,'Machine List'!$A$1:$I$300,5,FALSE)="Multi",IF(VLOOKUP(H369,'Machine List'!$A$1:$I$300,6,FALSE)="Yes",AI369*3*10^AB369,AI369*(2*3)*10^(AB369-1)),0)</f>
        <v>60000</v>
      </c>
      <c r="K369" s="147">
        <f>J369+IF(ISNUMBER(I369),I369,
  SWITCH(
      I369,
      "1T",1*10^AB369,
      "2T",2*10^AB369,
      "3T",3*10^AB369,
      "4T",4*10^AB369,
      "4000+500(7O-5)",4000+500*(7*I370-5),
      "13500 + 16C",13500+16*VLOOKUP(J371,'Machine Helper Sheet'!$G$1:$K$16,5,FALSE),
      1
  )
)</f>
        <v>160000</v>
      </c>
      <c r="L369" s="147">
        <f>IF(VLOOKUP(H369,'Machine List'!$A$1:$I$300,5,FALSE)="Multi",IF(VLOOKUP(H369,'Machine List'!$A$1:$I$300,6,FALSE)="Yes",AW369*3*10^AV369,AW369*(2*3)*10^(AV369-1)),0)</f>
        <v>60000</v>
      </c>
      <c r="M369" s="147">
        <f>L369+IF(ISNUMBER(I369),I369,
  SWITCH(
      I369,
      "1T",1*10^AV369,
      "2T",2*10^AV369,
      "3T",3*10^AV369,
      "4T",4*10^AV369,
      "4000+500(7O-5)",4000+500*(7*I370-5),
      1
  )
)</f>
        <v>160000</v>
      </c>
      <c r="N369" s="147" t="str">
        <f>VLOOKUP(H369,'Machine List'!$A$1:$I$300,8,FALSE)</f>
        <v>Tier</v>
      </c>
      <c r="O369" s="147">
        <f>IF(ISNUMBER(N369),N369,10^AB369)</f>
        <v>100000</v>
      </c>
      <c r="P369" s="147">
        <f>IF(ISNUMBER(N369),N369,10^AV369)</f>
        <v>100000</v>
      </c>
      <c r="Q369" s="147" t="str">
        <f>VLOOKUP(H369,'Machine List'!$A$1:$B$138,2,FALSE)</f>
        <v>2T</v>
      </c>
      <c r="R369" s="147" t="s">
        <v>277</v>
      </c>
      <c r="S369" s="45">
        <f>IF(ISNUMBER(Q369),Q369,
  SWITCH(
      Q369,
      "1",1,
      "2T",AB369*2,
      "4T",AB369*4,
      "6T",AB369*6,
      "8T",AB369*8,
      "10T",AB369*10,
      "12T",AB369*12,
      "14T",AB369*14,
      "16T",AB369*16,
      "24T",AB369*24,
      "2(T+1)",2*(AB369+1),
      "1T*C",AB369*J371,
      "2*P",L371*2,
      1
  )
)</f>
        <v>10</v>
      </c>
      <c r="T369" s="38" t="s">
        <v>277</v>
      </c>
      <c r="U369" s="38">
        <f>IF(OR(T369="No",T369=""),S369,T369)</f>
        <v>10</v>
      </c>
      <c r="V369" s="38">
        <f>IF(ISNUMBER(Q369),Q369,
  SWITCH(
      Q369,
      "1",1,
      "2T",AV369*2,
      "4T",AV369*4,
      "6T",AV369*6,
      "8T",AV369*8,
      "10T",AV369*10,
      "12T",AV369*12,
      "14T",AV369*14,
      "16T",AV369*16,
      "24T",AV369*24,
      "2(T+1)",2*(AV369+1),
      "1T*C",AV369*J371,
      "2*P",L371*2,
      1
  )
)</f>
        <v>10</v>
      </c>
      <c r="W369" s="147" t="str">
        <f>T369</f>
        <v>No</v>
      </c>
      <c r="X369" s="147">
        <f>IF(OR(W369="No",W369=""),V369,W369)</f>
        <v>10</v>
      </c>
      <c r="Y369" s="38">
        <f>VLOOKUP(H369,'Machine List'!$A$1:$C$138,3,FALSE)</f>
        <v>2.5</v>
      </c>
      <c r="Z369" s="38">
        <f>VLOOKUP(H369,'Machine List'!$A$1:$D$138,4,FALSE)</f>
        <v>1</v>
      </c>
      <c r="AA369" s="147" t="s">
        <v>405</v>
      </c>
      <c r="AB369" s="147">
        <f>VLOOKUP(AA369,'Item Helper Sheet'!$A$2:$B$16,2,FALSE)</f>
        <v>5</v>
      </c>
      <c r="AC369" s="147">
        <v>7680.0</v>
      </c>
      <c r="AD369" s="147">
        <f>300*20</f>
        <v>6000</v>
      </c>
      <c r="AE369" s="147">
        <f>AD369*I371</f>
        <v>12000</v>
      </c>
      <c r="AF369" s="147">
        <f>AC369*AE369</f>
        <v>92160000</v>
      </c>
      <c r="AG369" s="148"/>
      <c r="AH369" s="147" t="str">
        <f>AA369</f>
        <v>05 - IV</v>
      </c>
      <c r="AI369" s="147">
        <v>1.0</v>
      </c>
      <c r="AJ369" s="147">
        <v>1.0</v>
      </c>
      <c r="AK369" s="147">
        <f>AJ369*8*4^AB369</f>
        <v>8192</v>
      </c>
      <c r="AL369" s="147">
        <f>MIN(ROUNDDOWN(AK369/AN369,0),U369)</f>
        <v>1</v>
      </c>
      <c r="AM369" s="147">
        <f>IF(OR(T369="No",T369=""),AI369*S369,AI369*T369)</f>
        <v>10</v>
      </c>
      <c r="AN369" s="147">
        <f>ROUNDUP(AC369*VLOOKUP(H369,'Machine List'!$A$2:$D$219,4,FALSE),0)</f>
        <v>7680</v>
      </c>
      <c r="AO369" s="147">
        <f>AN369*AM369</f>
        <v>76800</v>
      </c>
      <c r="AP369" s="147">
        <f>ROUNDUP(AD369*I371,0)</f>
        <v>12000</v>
      </c>
      <c r="AQ369" s="38">
        <f>IF(ISNUMBER(Y369),ROUNDUP(AP369/Y369,0),
  SWITCH(
      Y369,
      "1+0.5C",ROUNDUP(AP369/(1+0.5*VLOOKUP(J371,'Machine Helper Sheet'!$G$1:$K$16,2,FALSE)),0),
      ROUNDUP(AP369/1,0)
  )
)</f>
        <v>4800</v>
      </c>
      <c r="AR369" s="147">
        <f>ROUNDUP(AQ369/AM369,0)</f>
        <v>480</v>
      </c>
      <c r="AS369" s="147">
        <f>AO369*AR369</f>
        <v>36864000</v>
      </c>
      <c r="AT369" s="148"/>
      <c r="AU369" s="147" t="s">
        <v>405</v>
      </c>
      <c r="AV369" s="147">
        <f>VLOOKUP(AU369,'Item Helper Sheet'!$A$2:$B$16,2,FALSE)</f>
        <v>5</v>
      </c>
      <c r="AW369" s="147">
        <f>AI369</f>
        <v>1</v>
      </c>
      <c r="AX369" s="147">
        <v>1.0</v>
      </c>
      <c r="AY369" s="147">
        <f>AX369*8*4^AV369</f>
        <v>8192</v>
      </c>
      <c r="AZ369" s="147">
        <f>MIN(ROUNDDOWN(AY369/AN369,0),X369)</f>
        <v>1</v>
      </c>
      <c r="BA369" s="147">
        <f>AZ369*AW369</f>
        <v>1</v>
      </c>
      <c r="BB369" s="147">
        <f>AN369</f>
        <v>7680</v>
      </c>
      <c r="BC369" s="147">
        <f>MIN(AV369-AB369,IF(AY369&gt;=BB370*4,
IF(AY369&gt;=BB370*4^2,
IF(AY369&gt;=BB370*4^3,
IF(AY369&gt;=BB370*4^4,
IF(AY369&gt;=BB370*4^5,
IF(AY369&gt;=BB370*4^6,
IF(AY369&gt;=BB370*4^7,
IF(AY369&gt;=BB370*4^8,
IF(AY369&gt;=BB370*4^9,
IF(AY369&gt;=BB370*4^10,
9),
8),
7),
6),
5),
4),
3),
2),
1),
0))</f>
        <v>0</v>
      </c>
      <c r="BD369" s="147">
        <f>BB369*AZ369*4^BC369</f>
        <v>7680</v>
      </c>
      <c r="BE369" s="147">
        <f>BD369*AW369</f>
        <v>7680</v>
      </c>
      <c r="BF369" s="143">
        <f>ROUNDUP(IF(R369="Yes",AP369/(2^((BC369)*2)),AP369/(2^(BC369))),0)</f>
        <v>12000</v>
      </c>
      <c r="BG369" s="45">
        <f>IF(ISNUMBER(Y369),ROUNDUP(BF369/Y369,0),
  SWITCH(
      Y369,
      "1+0.5C",ROUNDUP(BF369/(1+0.5*VLOOKUP(J371,'Machine Helper Sheet'!$G$1:$K$16,2,FALSE)),0),
      ROUNDUP(BF369/1,0)
  )
)</f>
        <v>4800</v>
      </c>
      <c r="BH369" s="143">
        <f>ROUNDUP(BG369/BA369,0)</f>
        <v>4800</v>
      </c>
      <c r="BI369" s="149">
        <f>BH369*BE369</f>
        <v>36864000</v>
      </c>
      <c r="BK369" s="22"/>
      <c r="BM369" s="140" t="s">
        <v>769</v>
      </c>
      <c r="BN369" s="140">
        <v>270000.0</v>
      </c>
      <c r="BO369" s="140">
        <v>276480.0</v>
      </c>
      <c r="BP369" s="140" t="s">
        <v>769</v>
      </c>
      <c r="BQ369" s="140">
        <v>9000.0</v>
      </c>
      <c r="BR369" s="140">
        <v>36.0</v>
      </c>
      <c r="BS369" s="140" t="s">
        <v>769</v>
      </c>
      <c r="BT369" s="140">
        <v>1.0</v>
      </c>
      <c r="BU369" s="140">
        <v>5.0</v>
      </c>
      <c r="BV369" s="140">
        <v>1.0</v>
      </c>
    </row>
    <row r="370">
      <c r="B370" s="150"/>
      <c r="C370" s="151" t="s">
        <v>221</v>
      </c>
      <c r="D370" s="147">
        <f>10000*I371</f>
        <v>20000</v>
      </c>
      <c r="E370" s="147" t="s">
        <v>71</v>
      </c>
      <c r="F370" s="152">
        <f>6000*I371</f>
        <v>12000</v>
      </c>
      <c r="G370" s="138"/>
      <c r="H370" s="153" t="s">
        <v>584</v>
      </c>
      <c r="I370" s="143">
        <f t="array" ref="I370">match(TRUE,ISBLANK(F370:F426),0)-1</f>
        <v>4</v>
      </c>
      <c r="J370" s="154" t="s">
        <v>420</v>
      </c>
      <c r="K370" s="154" t="s">
        <v>585</v>
      </c>
      <c r="L370" s="100" t="s">
        <v>704</v>
      </c>
      <c r="M370" s="147"/>
      <c r="N370" s="147"/>
      <c r="O370" s="147"/>
      <c r="P370" s="147"/>
      <c r="Q370" s="147"/>
      <c r="R370" s="155"/>
      <c r="S370" s="155"/>
      <c r="T370" s="155"/>
      <c r="U370" s="143"/>
      <c r="V370" s="143"/>
      <c r="W370" s="143"/>
      <c r="X370" s="143"/>
      <c r="Y370" s="143"/>
      <c r="Z370" s="143"/>
      <c r="AA370" s="143"/>
      <c r="AB370" s="143"/>
      <c r="AC370" s="143"/>
      <c r="AD370" s="143"/>
      <c r="AE370" s="143"/>
      <c r="AF370" s="143"/>
      <c r="AG370" s="156"/>
      <c r="AH370" s="143"/>
      <c r="AI370" s="143"/>
      <c r="AJ370" s="143"/>
      <c r="AK370" s="143"/>
      <c r="AL370" s="143"/>
      <c r="AM370" s="143"/>
      <c r="AN370" s="143"/>
      <c r="AO370" s="143"/>
      <c r="AP370" s="143"/>
      <c r="AQ370" s="143"/>
      <c r="AR370" s="143"/>
      <c r="AS370" s="143"/>
      <c r="AT370" s="156"/>
      <c r="AU370" s="143"/>
      <c r="AV370" s="143"/>
      <c r="AW370" s="143"/>
      <c r="AX370" s="143"/>
      <c r="AY370" s="143"/>
      <c r="AZ370" s="143"/>
      <c r="BA370" s="143"/>
      <c r="BB370" s="143">
        <f>BB369*AZ369</f>
        <v>7680</v>
      </c>
      <c r="BC370" s="143"/>
      <c r="BD370" s="143"/>
      <c r="BE370" s="143"/>
      <c r="BF370" s="143"/>
      <c r="BG370" s="143"/>
      <c r="BH370" s="143"/>
      <c r="BI370" s="149"/>
      <c r="BK370" s="22"/>
      <c r="BM370" s="140" t="s">
        <v>770</v>
      </c>
      <c r="BN370" s="140">
        <v>1620000.0</v>
      </c>
      <c r="BO370" s="140">
        <v>1620480.0</v>
      </c>
      <c r="BP370" s="140" t="s">
        <v>770</v>
      </c>
      <c r="BQ370" s="140">
        <v>54000.0</v>
      </c>
      <c r="BR370" s="140">
        <v>211.0</v>
      </c>
      <c r="BS370" s="140" t="s">
        <v>770</v>
      </c>
      <c r="BT370" s="140">
        <v>1.0</v>
      </c>
      <c r="BU370" s="140">
        <v>5.0</v>
      </c>
      <c r="BV370" s="140">
        <v>1.0</v>
      </c>
    </row>
    <row r="371">
      <c r="B371" s="150"/>
      <c r="C371" s="151" t="s">
        <v>72</v>
      </c>
      <c r="D371" s="147">
        <f>6000*I371</f>
        <v>12000</v>
      </c>
      <c r="E371" s="147" t="s">
        <v>109</v>
      </c>
      <c r="F371" s="152">
        <f>2000*I371</f>
        <v>4000</v>
      </c>
      <c r="G371" s="138"/>
      <c r="H371" s="157" t="s">
        <v>502</v>
      </c>
      <c r="I371" s="158">
        <v>2.0</v>
      </c>
      <c r="J371" s="154" t="s">
        <v>424</v>
      </c>
      <c r="K371" s="154">
        <v>0.0</v>
      </c>
      <c r="L371" s="100">
        <v>0.0</v>
      </c>
      <c r="M371" s="143"/>
      <c r="N371" s="143"/>
      <c r="O371" s="143"/>
      <c r="P371" s="143"/>
      <c r="Q371" s="143"/>
      <c r="R371" s="143"/>
      <c r="S371" s="155"/>
      <c r="T371" s="155"/>
      <c r="U371" s="143"/>
      <c r="V371" s="143"/>
      <c r="W371" s="143"/>
      <c r="X371" s="143"/>
      <c r="Y371" s="143"/>
      <c r="Z371" s="143"/>
      <c r="AA371" s="143"/>
      <c r="AB371" s="143"/>
      <c r="AC371" s="143"/>
      <c r="AD371" s="143"/>
      <c r="AE371" s="143"/>
      <c r="AF371" s="143"/>
      <c r="AG371" s="156"/>
      <c r="AH371" s="143"/>
      <c r="AI371" s="143"/>
      <c r="AJ371" s="143"/>
      <c r="AK371" s="143"/>
      <c r="AL371" s="143"/>
      <c r="AM371" s="143"/>
      <c r="AN371" s="143"/>
      <c r="AO371" s="143"/>
      <c r="AP371" s="143"/>
      <c r="AQ371" s="143"/>
      <c r="AR371" s="143"/>
      <c r="AS371" s="143"/>
      <c r="AT371" s="156"/>
      <c r="AU371" s="143"/>
      <c r="AV371" s="143"/>
      <c r="AW371" s="143"/>
      <c r="AX371" s="143"/>
      <c r="AY371" s="143"/>
      <c r="AZ371" s="143"/>
      <c r="BA371" s="143"/>
      <c r="BB371" s="143"/>
      <c r="BC371" s="143"/>
      <c r="BD371" s="143"/>
      <c r="BE371" s="143"/>
      <c r="BF371" s="143"/>
      <c r="BG371" s="143"/>
      <c r="BH371" s="143"/>
      <c r="BI371" s="149"/>
      <c r="BK371" s="22"/>
      <c r="BM371" s="140" t="s">
        <v>771</v>
      </c>
      <c r="BN371" s="140">
        <v>2.592E7</v>
      </c>
      <c r="BO371" s="140">
        <v>1.0368E8</v>
      </c>
      <c r="BP371" s="140" t="s">
        <v>771</v>
      </c>
      <c r="BQ371" s="140">
        <v>54000.0</v>
      </c>
      <c r="BR371" s="140">
        <v>13500.0</v>
      </c>
      <c r="BS371" s="140" t="s">
        <v>771</v>
      </c>
      <c r="BT371" s="140">
        <v>3.0</v>
      </c>
      <c r="BU371" s="140">
        <v>5.0</v>
      </c>
      <c r="BV371" s="140">
        <v>1.0</v>
      </c>
    </row>
    <row r="372">
      <c r="B372" s="40"/>
      <c r="C372" s="41"/>
      <c r="D372" s="38"/>
      <c r="E372" s="38" t="s">
        <v>33</v>
      </c>
      <c r="F372" s="42">
        <f>2000*I371</f>
        <v>4000</v>
      </c>
      <c r="G372" s="43"/>
      <c r="H372" s="44"/>
      <c r="I372" s="45"/>
      <c r="J372" s="45"/>
      <c r="K372" s="45"/>
      <c r="L372" s="45"/>
      <c r="M372" s="45"/>
      <c r="N372" s="45"/>
      <c r="O372" s="45"/>
      <c r="P372" s="45"/>
      <c r="Q372" s="45"/>
      <c r="R372" s="45"/>
      <c r="S372" s="101"/>
      <c r="T372" s="101"/>
      <c r="U372" s="45"/>
      <c r="V372" s="45"/>
      <c r="W372" s="45"/>
      <c r="X372" s="45"/>
      <c r="Y372" s="45"/>
      <c r="Z372" s="45"/>
      <c r="AA372" s="45"/>
      <c r="AB372" s="45"/>
      <c r="AC372" s="45"/>
      <c r="AD372" s="45"/>
      <c r="AE372" s="45"/>
      <c r="AF372" s="45"/>
      <c r="AG372" s="79"/>
      <c r="AH372" s="45"/>
      <c r="AI372" s="45"/>
      <c r="AJ372" s="45"/>
      <c r="AK372" s="45"/>
      <c r="AL372" s="45"/>
      <c r="AM372" s="45"/>
      <c r="AN372" s="45"/>
      <c r="AO372" s="45"/>
      <c r="AP372" s="45"/>
      <c r="AQ372" s="45"/>
      <c r="AR372" s="45"/>
      <c r="AS372" s="45"/>
      <c r="AT372" s="79"/>
      <c r="AU372" s="45"/>
      <c r="AV372" s="45"/>
      <c r="AW372" s="45"/>
      <c r="AX372" s="45"/>
      <c r="AY372" s="45"/>
      <c r="AZ372" s="45"/>
      <c r="BA372" s="45"/>
      <c r="BB372" s="45"/>
      <c r="BC372" s="45"/>
      <c r="BD372" s="45"/>
      <c r="BE372" s="45"/>
      <c r="BF372" s="45"/>
      <c r="BG372" s="45"/>
      <c r="BH372" s="45"/>
      <c r="BI372" s="46"/>
      <c r="BK372" s="22"/>
      <c r="BM372" s="140" t="s">
        <v>772</v>
      </c>
      <c r="BN372" s="140">
        <v>9.216E7</v>
      </c>
      <c r="BO372" s="140">
        <v>3.6864E7</v>
      </c>
      <c r="BP372" s="140" t="s">
        <v>772</v>
      </c>
      <c r="BQ372" s="140">
        <v>480.0</v>
      </c>
      <c r="BR372" s="140">
        <v>4800.0</v>
      </c>
      <c r="BS372" s="140" t="s">
        <v>772</v>
      </c>
      <c r="BT372" s="140">
        <v>5.0</v>
      </c>
      <c r="BU372" s="140">
        <v>5.0</v>
      </c>
      <c r="BV372" s="140">
        <v>1.0</v>
      </c>
    </row>
    <row r="373">
      <c r="B373" s="40"/>
      <c r="C373" s="41"/>
      <c r="D373" s="38"/>
      <c r="E373" s="38" t="s">
        <v>163</v>
      </c>
      <c r="F373" s="42">
        <f>3.6*I371</f>
        <v>7.2</v>
      </c>
      <c r="G373" s="43"/>
      <c r="H373" s="44"/>
      <c r="I373" s="45"/>
      <c r="J373" s="45"/>
      <c r="K373" s="45"/>
      <c r="L373" s="45"/>
      <c r="M373" s="45"/>
      <c r="N373" s="45"/>
      <c r="O373" s="45"/>
      <c r="P373" s="45"/>
      <c r="Q373" s="45"/>
      <c r="R373" s="45"/>
      <c r="S373" s="101"/>
      <c r="T373" s="101"/>
      <c r="U373" s="45"/>
      <c r="V373" s="45"/>
      <c r="W373" s="45"/>
      <c r="X373" s="45"/>
      <c r="Y373" s="45"/>
      <c r="Z373" s="45"/>
      <c r="AA373" s="45"/>
      <c r="AB373" s="45"/>
      <c r="AC373" s="45"/>
      <c r="AD373" s="45"/>
      <c r="AE373" s="45"/>
      <c r="AF373" s="45"/>
      <c r="AG373" s="79"/>
      <c r="AH373" s="45"/>
      <c r="AI373" s="45"/>
      <c r="AJ373" s="45"/>
      <c r="AK373" s="45"/>
      <c r="AL373" s="45"/>
      <c r="AM373" s="45"/>
      <c r="AN373" s="45"/>
      <c r="AO373" s="45"/>
      <c r="AP373" s="45"/>
      <c r="AQ373" s="45"/>
      <c r="AR373" s="45"/>
      <c r="AS373" s="45"/>
      <c r="AT373" s="79"/>
      <c r="AU373" s="45"/>
      <c r="AV373" s="45"/>
      <c r="AW373" s="45"/>
      <c r="AX373" s="45"/>
      <c r="AY373" s="45"/>
      <c r="AZ373" s="45"/>
      <c r="BA373" s="45"/>
      <c r="BB373" s="45"/>
      <c r="BC373" s="45"/>
      <c r="BD373" s="45"/>
      <c r="BE373" s="45"/>
      <c r="BF373" s="45"/>
      <c r="BG373" s="45"/>
      <c r="BH373" s="45"/>
      <c r="BI373" s="46"/>
      <c r="BK373" s="22"/>
      <c r="BM373" s="6" t="s">
        <v>773</v>
      </c>
      <c r="BN373" s="6">
        <v>2.304E7</v>
      </c>
      <c r="BO373" s="6">
        <v>9.216E7</v>
      </c>
      <c r="BP373" s="6" t="s">
        <v>773</v>
      </c>
      <c r="BQ373" s="6">
        <v>48000.0</v>
      </c>
      <c r="BR373" s="6">
        <v>12000.0</v>
      </c>
      <c r="BS373" s="6" t="s">
        <v>773</v>
      </c>
      <c r="BT373" s="6">
        <v>3.0</v>
      </c>
      <c r="BU373" s="6">
        <v>5.0</v>
      </c>
      <c r="BV373" s="6">
        <v>1.0</v>
      </c>
    </row>
    <row r="374">
      <c r="B374" s="135"/>
      <c r="C374" s="136"/>
      <c r="D374" s="137"/>
      <c r="E374" s="137"/>
      <c r="F374" s="137"/>
      <c r="G374" s="138"/>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c r="AG374" s="138"/>
      <c r="AH374" s="137"/>
      <c r="AI374" s="137"/>
      <c r="AJ374" s="137"/>
      <c r="AK374" s="137"/>
      <c r="AL374" s="137"/>
      <c r="AM374" s="137"/>
      <c r="AN374" s="137"/>
      <c r="AO374" s="137"/>
      <c r="AP374" s="137"/>
      <c r="AQ374" s="137"/>
      <c r="AR374" s="137"/>
      <c r="AS374" s="137"/>
      <c r="AT374" s="138"/>
      <c r="AU374" s="137"/>
      <c r="AV374" s="137"/>
      <c r="AW374" s="137"/>
      <c r="AX374" s="137"/>
      <c r="AY374" s="137"/>
      <c r="AZ374" s="137"/>
      <c r="BA374" s="137"/>
      <c r="BB374" s="137"/>
      <c r="BC374" s="137"/>
      <c r="BD374" s="137"/>
      <c r="BE374" s="137"/>
      <c r="BF374" s="137"/>
      <c r="BG374" s="137"/>
      <c r="BH374" s="137"/>
      <c r="BI374" s="139"/>
      <c r="BK374" s="22"/>
      <c r="BM374" s="140" t="s">
        <v>774</v>
      </c>
      <c r="BN374" s="140">
        <v>16800.0</v>
      </c>
      <c r="BO374" s="140">
        <v>17920.0</v>
      </c>
      <c r="BP374" s="140" t="s">
        <v>774</v>
      </c>
      <c r="BQ374" s="140">
        <v>2400.0</v>
      </c>
      <c r="BR374" s="140">
        <v>10.0</v>
      </c>
      <c r="BS374" s="140" t="s">
        <v>774</v>
      </c>
      <c r="BT374" s="140">
        <v>1.0</v>
      </c>
      <c r="BU374" s="140">
        <v>5.0</v>
      </c>
      <c r="BV374" s="140">
        <v>1.0</v>
      </c>
    </row>
    <row r="375">
      <c r="B375" s="31" t="s">
        <v>773</v>
      </c>
      <c r="C375" s="54"/>
      <c r="D375" s="45"/>
      <c r="E375" s="45"/>
      <c r="F375" s="47"/>
      <c r="G375" s="35"/>
      <c r="H375" s="55" t="s">
        <v>363</v>
      </c>
      <c r="I375" s="38" t="str">
        <f>VLOOKUP(H375,'Machine List'!$A$1:$I$300,9,FALSE)</f>
        <v>1T</v>
      </c>
      <c r="J375" s="38">
        <f>IF(VLOOKUP(H375,'Machine List'!$A$1:$I$300,5,FALSE)="Multi",IF(VLOOKUP(H375,'Machine List'!$A$1:$I$300,6,FALSE)="Yes",AI375*3*10^AB375,AI375*(2*3)*10^(AB375-1)),0)</f>
        <v>600</v>
      </c>
      <c r="K375" s="38">
        <f>J375+IF(ISNUMBER(I375),I375,
  SWITCH(
      I375,
      "1T",1*10^AB375,
      "2T",2*10^AB375,
      "3T",3*10^AB375,
      "4T",4*10^AB375,
      "4000+500(7O-5)",4000+500*(7*I376-5),
      "13500 + 16C",13500+16*VLOOKUP(J377,'Machine Helper Sheet'!$G$1:$K$16,5,FALSE),
      1
  )
)</f>
        <v>1600</v>
      </c>
      <c r="L375" s="38">
        <f>IF(VLOOKUP(H375,'Machine List'!$A$1:$I$300,5,FALSE)="Multi",IF(VLOOKUP(H375,'Machine List'!$A$1:$I$300,6,FALSE)="Yes",AW375*3*10^AV375,AW375*(2*3)*10^(AV375-1)),0)</f>
        <v>60000</v>
      </c>
      <c r="M375" s="38">
        <f>L375+IF(ISNUMBER(I375),I375,
  SWITCH(
      I375,
      "1T",1*10^AV375,
      "2T",2*10^AV375,
      "3T",3*10^AV375,
      "4T",4*10^AV375,
      "4000+500(7O-5)",4000+500*(7*I376-5),
      1
  )
)</f>
        <v>160000</v>
      </c>
      <c r="N375" s="38" t="str">
        <f>VLOOKUP(H375,'Machine List'!$A$1:$I$300,8,FALSE)</f>
        <v>Tier</v>
      </c>
      <c r="O375" s="38">
        <f>IF(ISNUMBER(N375),N375,10^AB375)</f>
        <v>1000</v>
      </c>
      <c r="P375" s="38">
        <f>IF(ISNUMBER(N375),N375,10^AV375)</f>
        <v>100000</v>
      </c>
      <c r="Q375" s="38">
        <f>VLOOKUP(H375,'Machine List'!$A$1:$B$138,2,FALSE)</f>
        <v>1</v>
      </c>
      <c r="R375" s="38" t="s">
        <v>277</v>
      </c>
      <c r="S375" s="45">
        <f>IF(ISNUMBER(Q375),Q375,
  SWITCH(
      Q375,
      "1",1,
      "2T",AB375*2,
      "4T",AB375*4,
      "6T",AB375*6,
      "8T",AB375*8,
      "10T",AB375*10,
      "12T",AB375*12,
      "14T",AB375*14,
      "16T",AB375*16,
      "24T",AB375*24,
      "2(T+1)",2*(AB375+1),
      "1T*C",AB375*J377,
      "2*P",L377*2,
      1
  )
)</f>
        <v>1</v>
      </c>
      <c r="T375" s="38" t="s">
        <v>277</v>
      </c>
      <c r="U375" s="38">
        <f>IF(OR(T375="No",T375=""),S375,T375)</f>
        <v>1</v>
      </c>
      <c r="V375" s="38">
        <f>IF(ISNUMBER(Q375),Q375,
  SWITCH(
      Q375,
      "1",1,
      "2T",AV375*2,
      "4T",AV375*4,
      "6T",AV375*6,
      "8T",AV375*8,
      "10T",AV375*10,
      "12T",AV375*12,
      "14T",AV375*14,
      "16T",AV375*16,
      "24T",AV375*24,
      "2(T+1)",2*(AV375+1),
      "1T*C",AV375*J377,
      "2*P",L377*2,
      1
  )
)</f>
        <v>1</v>
      </c>
      <c r="W375" s="38" t="str">
        <f>T375</f>
        <v>No</v>
      </c>
      <c r="X375" s="38">
        <f>IF(OR(W375="No",W375=""),V375,W375)</f>
        <v>1</v>
      </c>
      <c r="Y375" s="38">
        <f>VLOOKUP(H375,'Machine List'!$A$1:$C$138,3,FALSE)</f>
        <v>1</v>
      </c>
      <c r="Z375" s="38">
        <f>VLOOKUP(H375,'Machine List'!$A$1:$D$138,4,FALSE)</f>
        <v>1</v>
      </c>
      <c r="AA375" s="147" t="s">
        <v>397</v>
      </c>
      <c r="AB375" s="38">
        <f>VLOOKUP(AA375,'Item Helper Sheet'!$A$2:$B$16,2,FALSE)</f>
        <v>3</v>
      </c>
      <c r="AC375" s="147">
        <v>480.0</v>
      </c>
      <c r="AD375" s="147">
        <f>600*20</f>
        <v>12000</v>
      </c>
      <c r="AE375" s="38">
        <f>AD375*I377</f>
        <v>48000</v>
      </c>
      <c r="AF375" s="38">
        <f>AC375*AE375</f>
        <v>23040000</v>
      </c>
      <c r="AG375" s="75"/>
      <c r="AH375" s="147" t="str">
        <f>AA375</f>
        <v>03 - HV</v>
      </c>
      <c r="AI375" s="38">
        <v>1.0</v>
      </c>
      <c r="AJ375" s="38">
        <v>1.0</v>
      </c>
      <c r="AK375" s="38">
        <f>AJ375*8*4^AB375</f>
        <v>512</v>
      </c>
      <c r="AL375" s="38">
        <f>MIN(ROUNDDOWN(AK375/AN375,0),U375)</f>
        <v>1</v>
      </c>
      <c r="AM375" s="38">
        <f>IF(OR(T375="No",T375=""),AI375*S375,AI375*T375)</f>
        <v>1</v>
      </c>
      <c r="AN375" s="38">
        <f>ROUNDUP(AC375*VLOOKUP(H375,'Machine List'!$A$2:$D$219,4,FALSE),0)</f>
        <v>480</v>
      </c>
      <c r="AO375" s="38">
        <f>AN375*AM375</f>
        <v>480</v>
      </c>
      <c r="AP375" s="38">
        <f>ROUNDUP(AD375*I377,0)</f>
        <v>48000</v>
      </c>
      <c r="AQ375" s="38">
        <f>IF(ISNUMBER(Y375),ROUNDUP(AP375/Y375,0),
  SWITCH(
      Y375,
      "1+0.5C",ROUNDUP(AP375/(1+0.5*VLOOKUP(J377,'Machine Helper Sheet'!$G$1:$K$16,2,FALSE)),0),
      ROUNDUP(AP375/1,0)
  )
)</f>
        <v>48000</v>
      </c>
      <c r="AR375" s="38">
        <f>ROUNDUP(AQ375/AM375,0)</f>
        <v>48000</v>
      </c>
      <c r="AS375" s="38">
        <f>AO375*AR375</f>
        <v>23040000</v>
      </c>
      <c r="AT375" s="75"/>
      <c r="AU375" s="38" t="s">
        <v>405</v>
      </c>
      <c r="AV375" s="38">
        <f>VLOOKUP(AU375,'Item Helper Sheet'!$A$2:$B$16,2,FALSE)</f>
        <v>5</v>
      </c>
      <c r="AW375" s="38">
        <v>1.0</v>
      </c>
      <c r="AX375" s="38">
        <v>1.0</v>
      </c>
      <c r="AY375" s="38">
        <f>AX375*8*4^AV375</f>
        <v>8192</v>
      </c>
      <c r="AZ375" s="38">
        <f>MIN(ROUNDDOWN(AY375/AN375,0),X375)</f>
        <v>1</v>
      </c>
      <c r="BA375" s="38">
        <f>AZ375*AW375</f>
        <v>1</v>
      </c>
      <c r="BB375" s="38">
        <f>AN375</f>
        <v>480</v>
      </c>
      <c r="BC375" s="38">
        <f>MIN(AV375-AB375,IF(AY375&gt;=BB376*4,
IF(AY375&gt;=BB376*4^2,
IF(AY375&gt;=BB376*4^3,
IF(AY375&gt;=BB376*4^4,
IF(AY375&gt;=BB376*4^5,
IF(AY375&gt;=BB376*4^6,
IF(AY375&gt;=BB376*4^7,
IF(AY375&gt;=BB376*4^8,
IF(AY375&gt;=BB376*4^9,
IF(AY375&gt;=BB376*4^10,
9),
8),
7),
6),
5),
4),
3),
2),
1),
0))</f>
        <v>2</v>
      </c>
      <c r="BD375" s="38">
        <f>BB375*AZ375*4^BC375</f>
        <v>7680</v>
      </c>
      <c r="BE375" s="38">
        <f>BD375*AW375</f>
        <v>7680</v>
      </c>
      <c r="BF375" s="45">
        <f>ROUNDUP(IF(R375="Yes",AP375/(2^((BC375)*2)),AP375/(2^(BC375))),0)</f>
        <v>12000</v>
      </c>
      <c r="BG375" s="45">
        <f>IF(ISNUMBER(Y375),ROUNDUP(BF375/Y375,0),
  SWITCH(
      Y375,
      "1+0.5C",ROUNDUP(BF375/(1+0.5*VLOOKUP(J377,'Machine Helper Sheet'!$G$1:$K$16,2,FALSE)),0),
      ROUNDUP(BF375/1,0)
  )
)</f>
        <v>12000</v>
      </c>
      <c r="BH375" s="45">
        <f>ROUNDUP(BG375/BA375,0)</f>
        <v>12000</v>
      </c>
      <c r="BI375" s="46">
        <f>BH375*BE375</f>
        <v>92160000</v>
      </c>
      <c r="BK375" s="22"/>
      <c r="BM375" s="140" t="s">
        <v>775</v>
      </c>
      <c r="BN375" s="140">
        <v>2304000.0</v>
      </c>
      <c r="BO375" s="140">
        <v>3072000.0</v>
      </c>
      <c r="BP375" s="140" t="s">
        <v>775</v>
      </c>
      <c r="BQ375" s="140">
        <v>1600.0</v>
      </c>
      <c r="BR375" s="140">
        <v>800.0</v>
      </c>
      <c r="BS375" s="140" t="s">
        <v>775</v>
      </c>
      <c r="BT375" s="140">
        <v>3.0</v>
      </c>
      <c r="BU375" s="140">
        <v>5.0</v>
      </c>
      <c r="BV375" s="140">
        <v>2.0</v>
      </c>
    </row>
    <row r="376">
      <c r="B376" s="40"/>
      <c r="C376" s="41" t="s">
        <v>71</v>
      </c>
      <c r="D376" s="38">
        <f>3000*I377</f>
        <v>12000</v>
      </c>
      <c r="E376" s="38" t="s">
        <v>241</v>
      </c>
      <c r="F376" s="42">
        <f>2000*I377</f>
        <v>8000</v>
      </c>
      <c r="G376" s="43"/>
      <c r="H376" s="99" t="s">
        <v>584</v>
      </c>
      <c r="I376" s="45">
        <f t="array" ref="I376">match(TRUE,ISBLANK(F376:F387),0)-1</f>
        <v>4</v>
      </c>
      <c r="J376" s="100" t="s">
        <v>420</v>
      </c>
      <c r="K376" s="100" t="s">
        <v>585</v>
      </c>
      <c r="L376" s="100" t="s">
        <v>704</v>
      </c>
      <c r="M376" s="38"/>
      <c r="N376" s="38"/>
      <c r="O376" s="38"/>
      <c r="P376" s="38"/>
      <c r="Q376" s="38"/>
      <c r="R376" s="101"/>
      <c r="S376" s="101"/>
      <c r="T376" s="101"/>
      <c r="U376" s="45"/>
      <c r="V376" s="45"/>
      <c r="W376" s="45"/>
      <c r="X376" s="45"/>
      <c r="Y376" s="45"/>
      <c r="Z376" s="45"/>
      <c r="AA376" s="45"/>
      <c r="AB376" s="45"/>
      <c r="AC376" s="45"/>
      <c r="AD376" s="45"/>
      <c r="AE376" s="45"/>
      <c r="AF376" s="45"/>
      <c r="AG376" s="79"/>
      <c r="AH376" s="45"/>
      <c r="AI376" s="45"/>
      <c r="AJ376" s="45"/>
      <c r="AK376" s="45"/>
      <c r="AL376" s="45"/>
      <c r="AM376" s="45"/>
      <c r="AN376" s="45"/>
      <c r="AO376" s="45"/>
      <c r="AP376" s="45"/>
      <c r="AQ376" s="45"/>
      <c r="AR376" s="45"/>
      <c r="AS376" s="45"/>
      <c r="AT376" s="79"/>
      <c r="AU376" s="45"/>
      <c r="AV376" s="45"/>
      <c r="AW376" s="45"/>
      <c r="AX376" s="45"/>
      <c r="AY376" s="45"/>
      <c r="AZ376" s="45"/>
      <c r="BA376" s="45"/>
      <c r="BB376" s="45">
        <f>BB375*AZ375</f>
        <v>480</v>
      </c>
      <c r="BC376" s="45"/>
      <c r="BD376" s="45"/>
      <c r="BE376" s="45"/>
      <c r="BF376" s="45"/>
      <c r="BG376" s="45"/>
      <c r="BH376" s="45"/>
      <c r="BI376" s="46"/>
      <c r="BK376" s="22"/>
      <c r="BM376" s="140" t="s">
        <v>776</v>
      </c>
      <c r="BN376" s="140">
        <v>6.912E8</v>
      </c>
      <c r="BO376" s="6" t="e">
        <v>#N/A</v>
      </c>
      <c r="BP376" s="140" t="s">
        <v>776</v>
      </c>
      <c r="BQ376" s="6" t="e">
        <v>#N/A</v>
      </c>
      <c r="BR376" s="6" t="e">
        <v>#N/A</v>
      </c>
      <c r="BS376" s="140" t="s">
        <v>776</v>
      </c>
      <c r="BT376" s="140">
        <v>5.0</v>
      </c>
      <c r="BU376" s="140">
        <v>6.0</v>
      </c>
      <c r="BV376" s="6" t="e">
        <v>#N/A</v>
      </c>
    </row>
    <row r="377">
      <c r="B377" s="40"/>
      <c r="C377" s="41" t="s">
        <v>215</v>
      </c>
      <c r="D377" s="38">
        <f>4000*I377</f>
        <v>16000</v>
      </c>
      <c r="E377" s="38" t="s">
        <v>215</v>
      </c>
      <c r="F377" s="42">
        <f>2000*I377</f>
        <v>8000</v>
      </c>
      <c r="G377" s="43"/>
      <c r="H377" s="56" t="s">
        <v>502</v>
      </c>
      <c r="I377" s="49">
        <v>4.0</v>
      </c>
      <c r="J377" s="100" t="s">
        <v>424</v>
      </c>
      <c r="K377" s="100">
        <v>0.0</v>
      </c>
      <c r="L377" s="100">
        <v>0.0</v>
      </c>
      <c r="M377" s="45"/>
      <c r="N377" s="45"/>
      <c r="O377" s="45"/>
      <c r="P377" s="45"/>
      <c r="Q377" s="45"/>
      <c r="R377" s="45"/>
      <c r="S377" s="101"/>
      <c r="T377" s="101"/>
      <c r="U377" s="45"/>
      <c r="V377" s="45"/>
      <c r="W377" s="45"/>
      <c r="X377" s="45"/>
      <c r="Y377" s="45"/>
      <c r="Z377" s="45"/>
      <c r="AA377" s="45"/>
      <c r="AB377" s="45"/>
      <c r="AC377" s="45"/>
      <c r="AD377" s="45"/>
      <c r="AE377" s="45"/>
      <c r="AF377" s="45"/>
      <c r="AG377" s="79"/>
      <c r="AH377" s="45"/>
      <c r="AI377" s="45"/>
      <c r="AJ377" s="45"/>
      <c r="AK377" s="45"/>
      <c r="AL377" s="45"/>
      <c r="AM377" s="45"/>
      <c r="AN377" s="45"/>
      <c r="AO377" s="45"/>
      <c r="AP377" s="45"/>
      <c r="AQ377" s="45"/>
      <c r="AR377" s="45"/>
      <c r="AS377" s="45"/>
      <c r="AT377" s="79"/>
      <c r="AU377" s="45"/>
      <c r="AV377" s="45"/>
      <c r="AW377" s="45"/>
      <c r="AX377" s="45"/>
      <c r="AY377" s="45"/>
      <c r="AZ377" s="45"/>
      <c r="BA377" s="45"/>
      <c r="BB377" s="45"/>
      <c r="BC377" s="45"/>
      <c r="BD377" s="45"/>
      <c r="BE377" s="45"/>
      <c r="BF377" s="45"/>
      <c r="BG377" s="45"/>
      <c r="BH377" s="45"/>
      <c r="BI377" s="46"/>
      <c r="BK377" s="22"/>
      <c r="BM377" s="140" t="s">
        <v>777</v>
      </c>
      <c r="BN377" s="140">
        <v>4.608E7</v>
      </c>
      <c r="BO377" s="140">
        <v>3.072E7</v>
      </c>
      <c r="BP377" s="140" t="s">
        <v>777</v>
      </c>
      <c r="BQ377" s="140">
        <v>2000.0</v>
      </c>
      <c r="BR377" s="140">
        <v>4000.0</v>
      </c>
      <c r="BS377" s="140" t="s">
        <v>777</v>
      </c>
      <c r="BT377" s="140">
        <v>5.0</v>
      </c>
      <c r="BU377" s="140">
        <v>5.0</v>
      </c>
      <c r="BV377" s="140">
        <v>1.0</v>
      </c>
    </row>
    <row r="378">
      <c r="B378" s="40"/>
      <c r="C378" s="41"/>
      <c r="D378" s="38"/>
      <c r="E378" s="38" t="s">
        <v>72</v>
      </c>
      <c r="F378" s="42">
        <f>2000*I377</f>
        <v>8000</v>
      </c>
      <c r="G378" s="43"/>
      <c r="H378" s="44"/>
      <c r="I378" s="45"/>
      <c r="J378" s="45"/>
      <c r="K378" s="45"/>
      <c r="L378" s="45"/>
      <c r="M378" s="45"/>
      <c r="N378" s="45"/>
      <c r="O378" s="45"/>
      <c r="P378" s="45"/>
      <c r="Q378" s="45"/>
      <c r="R378" s="45"/>
      <c r="S378" s="101"/>
      <c r="T378" s="101"/>
      <c r="U378" s="45"/>
      <c r="V378" s="45"/>
      <c r="W378" s="45"/>
      <c r="X378" s="45"/>
      <c r="Y378" s="45"/>
      <c r="Z378" s="45"/>
      <c r="AA378" s="45"/>
      <c r="AB378" s="45"/>
      <c r="AC378" s="45"/>
      <c r="AD378" s="45"/>
      <c r="AE378" s="45"/>
      <c r="AF378" s="45"/>
      <c r="AG378" s="79"/>
      <c r="AH378" s="45"/>
      <c r="AI378" s="45"/>
      <c r="AJ378" s="45"/>
      <c r="AK378" s="45"/>
      <c r="AL378" s="45"/>
      <c r="AM378" s="45"/>
      <c r="AN378" s="45"/>
      <c r="AO378" s="45"/>
      <c r="AP378" s="45"/>
      <c r="AQ378" s="45"/>
      <c r="AR378" s="45"/>
      <c r="AS378" s="45"/>
      <c r="AT378" s="79"/>
      <c r="AU378" s="45"/>
      <c r="AV378" s="45"/>
      <c r="AW378" s="45"/>
      <c r="AX378" s="45"/>
      <c r="AY378" s="45"/>
      <c r="AZ378" s="45"/>
      <c r="BA378" s="45"/>
      <c r="BB378" s="45"/>
      <c r="BC378" s="45"/>
      <c r="BD378" s="45"/>
      <c r="BE378" s="45"/>
      <c r="BF378" s="45"/>
      <c r="BG378" s="45"/>
      <c r="BH378" s="45"/>
      <c r="BI378" s="46"/>
      <c r="BK378" s="22"/>
      <c r="BM378" s="140" t="s">
        <v>778</v>
      </c>
      <c r="BN378" s="140">
        <v>4608000.0</v>
      </c>
      <c r="BO378" s="140">
        <v>7.3728E7</v>
      </c>
      <c r="BP378" s="140" t="s">
        <v>778</v>
      </c>
      <c r="BQ378" s="140">
        <v>288000.0</v>
      </c>
      <c r="BR378" s="140">
        <v>18000.0</v>
      </c>
      <c r="BS378" s="140" t="s">
        <v>778</v>
      </c>
      <c r="BT378" s="140">
        <v>1.0</v>
      </c>
      <c r="BU378" s="140">
        <v>5.0</v>
      </c>
      <c r="BV378" s="140">
        <v>1.0</v>
      </c>
    </row>
    <row r="379">
      <c r="B379" s="40"/>
      <c r="C379" s="41"/>
      <c r="D379" s="133"/>
      <c r="E379" s="38" t="s">
        <v>243</v>
      </c>
      <c r="F379" s="42">
        <f>2.3*I377</f>
        <v>9.2</v>
      </c>
      <c r="G379" s="43"/>
      <c r="H379" s="44"/>
      <c r="I379" s="45"/>
      <c r="J379" s="45"/>
      <c r="K379" s="45"/>
      <c r="L379" s="45"/>
      <c r="M379" s="45"/>
      <c r="N379" s="45"/>
      <c r="O379" s="45"/>
      <c r="P379" s="45"/>
      <c r="Q379" s="45"/>
      <c r="R379" s="45"/>
      <c r="S379" s="101"/>
      <c r="T379" s="101"/>
      <c r="U379" s="45"/>
      <c r="V379" s="45"/>
      <c r="W379" s="45"/>
      <c r="X379" s="45"/>
      <c r="Y379" s="45"/>
      <c r="Z379" s="45"/>
      <c r="AA379" s="45"/>
      <c r="AB379" s="45"/>
      <c r="AC379" s="45"/>
      <c r="AD379" s="45"/>
      <c r="AE379" s="45"/>
      <c r="AF379" s="45"/>
      <c r="AG379" s="79"/>
      <c r="AH379" s="45"/>
      <c r="AI379" s="45"/>
      <c r="AJ379" s="45"/>
      <c r="AK379" s="45"/>
      <c r="AL379" s="45"/>
      <c r="AM379" s="45"/>
      <c r="AN379" s="45"/>
      <c r="AO379" s="45"/>
      <c r="AP379" s="45"/>
      <c r="AQ379" s="45"/>
      <c r="AR379" s="45"/>
      <c r="AS379" s="45"/>
      <c r="AT379" s="79"/>
      <c r="AU379" s="45"/>
      <c r="AV379" s="45"/>
      <c r="AW379" s="45"/>
      <c r="AX379" s="45"/>
      <c r="AY379" s="45"/>
      <c r="AZ379" s="45"/>
      <c r="BA379" s="45"/>
      <c r="BB379" s="45"/>
      <c r="BC379" s="45"/>
      <c r="BD379" s="45"/>
      <c r="BE379" s="45"/>
      <c r="BF379" s="45"/>
      <c r="BG379" s="45"/>
      <c r="BH379" s="45"/>
      <c r="BI379" s="46"/>
      <c r="BK379" s="22"/>
      <c r="BM379" s="140" t="s">
        <v>779</v>
      </c>
      <c r="BN379" s="140">
        <v>6144000.0</v>
      </c>
      <c r="BO379" s="140">
        <v>9.8304E7</v>
      </c>
      <c r="BP379" s="140" t="s">
        <v>779</v>
      </c>
      <c r="BQ379" s="140">
        <v>384000.0</v>
      </c>
      <c r="BR379" s="140">
        <v>24000.0</v>
      </c>
      <c r="BS379" s="140" t="s">
        <v>779</v>
      </c>
      <c r="BT379" s="140">
        <v>1.0</v>
      </c>
      <c r="BU379" s="140">
        <v>5.0</v>
      </c>
      <c r="BV379" s="140">
        <v>1.0</v>
      </c>
    </row>
    <row r="380">
      <c r="B380" s="135"/>
      <c r="C380" s="136"/>
      <c r="D380" s="137"/>
      <c r="E380" s="137"/>
      <c r="F380" s="137"/>
      <c r="G380" s="138"/>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c r="AG380" s="138"/>
      <c r="AH380" s="137"/>
      <c r="AI380" s="137"/>
      <c r="AJ380" s="137"/>
      <c r="AK380" s="137"/>
      <c r="AL380" s="137"/>
      <c r="AM380" s="137"/>
      <c r="AN380" s="137"/>
      <c r="AO380" s="137"/>
      <c r="AP380" s="137"/>
      <c r="AQ380" s="137"/>
      <c r="AR380" s="137"/>
      <c r="AS380" s="137"/>
      <c r="AT380" s="138"/>
      <c r="AU380" s="137"/>
      <c r="AV380" s="137"/>
      <c r="AW380" s="137"/>
      <c r="AX380" s="137"/>
      <c r="AY380" s="137"/>
      <c r="AZ380" s="137"/>
      <c r="BA380" s="137"/>
      <c r="BB380" s="137"/>
      <c r="BC380" s="137"/>
      <c r="BD380" s="137"/>
      <c r="BE380" s="137"/>
      <c r="BF380" s="137"/>
      <c r="BG380" s="137"/>
      <c r="BH380" s="137"/>
      <c r="BI380" s="139"/>
      <c r="BK380" s="22"/>
      <c r="BM380" s="140" t="s">
        <v>780</v>
      </c>
      <c r="BN380" s="140">
        <v>5.376E7</v>
      </c>
      <c r="BO380" s="140">
        <v>1.0752E8</v>
      </c>
      <c r="BP380" s="140" t="s">
        <v>780</v>
      </c>
      <c r="BQ380" s="140">
        <v>28000.0</v>
      </c>
      <c r="BR380" s="140">
        <v>14000.0</v>
      </c>
      <c r="BS380" s="140" t="s">
        <v>780</v>
      </c>
      <c r="BT380" s="140">
        <v>4.0</v>
      </c>
      <c r="BU380" s="140">
        <v>5.0</v>
      </c>
      <c r="BV380" s="140">
        <v>1.0</v>
      </c>
    </row>
    <row r="381">
      <c r="B381" s="141" t="s">
        <v>774</v>
      </c>
      <c r="C381" s="142"/>
      <c r="D381" s="143"/>
      <c r="E381" s="143"/>
      <c r="F381" s="144"/>
      <c r="G381" s="145"/>
      <c r="H381" s="146" t="s">
        <v>349</v>
      </c>
      <c r="I381" s="147">
        <f>VLOOKUP(H381,'Machine List'!$A$1:$I$300,9,FALSE)</f>
        <v>4000</v>
      </c>
      <c r="J381" s="147">
        <f>IF(VLOOKUP(H381,'Machine List'!$A$1:$I$300,5,FALSE)="Multi",IF(VLOOKUP(H381,'Machine List'!$A$1:$I$300,6,FALSE)="Yes",AI381*3*10^AB381,AI381*(2*3)*10^(AB381-1)),0)</f>
        <v>6</v>
      </c>
      <c r="K381" s="147">
        <f>J381+IF(ISNUMBER(I381),I381,
  SWITCH(
      I381,
      "1T",1*10^AB381,
      "2T",2*10^AB381,
      "3T",3*10^AB381,
      "4T",4*10^AB381,
      "4000+500(7O-5)",4000+500*(7*I382-5),
      "13500 + 16C",13500+16*VLOOKUP(J383,'Machine Helper Sheet'!$G$1:$K$16,5,FALSE),
      1
  )
)</f>
        <v>4006</v>
      </c>
      <c r="L381" s="147">
        <f>IF(VLOOKUP(H381,'Machine List'!$A$1:$I$300,5,FALSE)="Multi",IF(VLOOKUP(H381,'Machine List'!$A$1:$I$300,6,FALSE)="Yes",AW381*3*10^AV381,AW381*(2*3)*10^(AV381-1)),0)</f>
        <v>60000</v>
      </c>
      <c r="M381" s="147">
        <f>L381+IF(ISNUMBER(I381),I381,
  SWITCH(
      I381,
      "1T",1*10^AV381,
      "2T",2*10^AV381,
      "3T",3*10^AV381,
      "4T",4*10^AV381,
      "4000+500(7O-5)",4000+500*(7*I382-5),
      1
  )
)</f>
        <v>64000</v>
      </c>
      <c r="N381" s="147" t="str">
        <f>VLOOKUP(H381,'Machine List'!$A$1:$I$300,8,FALSE)</f>
        <v>Tier</v>
      </c>
      <c r="O381" s="147">
        <f>IF(ISNUMBER(N381),N381,10^AB381)</f>
        <v>10</v>
      </c>
      <c r="P381" s="147">
        <f>IF(ISNUMBER(N381),N381,10^AV381)</f>
        <v>100000</v>
      </c>
      <c r="Q381" s="147">
        <f>VLOOKUP(H381,'Machine List'!$A$1:$B$138,2,FALSE)</f>
        <v>1</v>
      </c>
      <c r="R381" s="147" t="s">
        <v>594</v>
      </c>
      <c r="S381" s="143">
        <f>IF(ISNUMBER(Q381),Q381,
  SWITCH(
      Q381,
      "1",1,
      "2T",AB381*2,
      "4T",AB381*4,
      "6T",AB381*6,
      "8T",AB381*8,
      "10T",AB381*10,
      "12T",AB381*12,
      "14T",AB381*14,
      "16T",AB381*16,
      "24T",AB381*24,
      "2(T+1)",2*(AB381+1),
      "1T*C",AB381*J383,
      "2*P",L383*2,
      1
  )
)</f>
        <v>1</v>
      </c>
      <c r="T381" s="38" t="s">
        <v>277</v>
      </c>
      <c r="U381" s="147">
        <f>IF(OR(T381="No",T381=""),S381,T381)</f>
        <v>1</v>
      </c>
      <c r="V381" s="147">
        <f>IF(ISNUMBER(Q381),Q381,
  SWITCH(
      Q381,
      "1",1,
      "2T",AV381*2,
      "4T",AV381*4,
      "6T",AV381*6,
      "8T",AV381*8,
      "10T",AV381*10,
      "12T",AV381*12,
      "14T",AV381*14,
      "16T",AV381*16,
      "24T",AV381*24,
      "2(T+1)",2*(AV381+1),
      "1T*C",AV381*J383,
      "2*P",L383*2,
      1
  )
)</f>
        <v>1</v>
      </c>
      <c r="W381" s="147" t="str">
        <f>T381</f>
        <v>No</v>
      </c>
      <c r="X381" s="147">
        <f>IF(OR(W381="No",W381=""),V381,W381)</f>
        <v>1</v>
      </c>
      <c r="Y381" s="38">
        <f>VLOOKUP(H381,'Machine List'!$A$1:$C$138,3,FALSE)</f>
        <v>1</v>
      </c>
      <c r="Z381" s="38">
        <f>VLOOKUP(H381,'Machine List'!$A$1:$D$138,4,FALSE)</f>
        <v>1</v>
      </c>
      <c r="AA381" s="147" t="s">
        <v>390</v>
      </c>
      <c r="AB381" s="147">
        <f>VLOOKUP(AA381,'Item Helper Sheet'!$A$2:$B$16,2,FALSE)</f>
        <v>1</v>
      </c>
      <c r="AC381" s="147">
        <v>7.0</v>
      </c>
      <c r="AD381" s="147">
        <f>3*20</f>
        <v>60</v>
      </c>
      <c r="AE381" s="147">
        <f>AD381*I383</f>
        <v>2400</v>
      </c>
      <c r="AF381" s="147">
        <f>AC381*AE381</f>
        <v>16800</v>
      </c>
      <c r="AG381" s="148"/>
      <c r="AH381" s="147" t="str">
        <f>AA381</f>
        <v>01 - LV</v>
      </c>
      <c r="AI381" s="147">
        <v>1.0</v>
      </c>
      <c r="AJ381" s="147">
        <v>1.0</v>
      </c>
      <c r="AK381" s="147">
        <f>AJ381*8*4^AB381</f>
        <v>32</v>
      </c>
      <c r="AL381" s="147">
        <f>MIN(ROUNDDOWN(AK381/AN381,0),U381)</f>
        <v>1</v>
      </c>
      <c r="AM381" s="147">
        <f>IF(OR(T381="No",T381=""),AI381*S381,AI381*T381)</f>
        <v>1</v>
      </c>
      <c r="AN381" s="147">
        <f>ROUNDUP(AC381*VLOOKUP(H381,'Machine List'!$A$2:$D$219,4,FALSE),0)</f>
        <v>7</v>
      </c>
      <c r="AO381" s="147">
        <f>AN381*AM381</f>
        <v>7</v>
      </c>
      <c r="AP381" s="147">
        <f>ROUNDUP(AD381*I383,0)</f>
        <v>2400</v>
      </c>
      <c r="AQ381" s="38">
        <f>IF(ISNUMBER(Y381),ROUNDUP(AP381/Y381,0),
  SWITCH(
      Y381,
      "1+0.5C",ROUNDUP(AP381/(1+0.5*VLOOKUP(J383,'Machine Helper Sheet'!$G$1:$K$16,2,FALSE)),0),
      ROUNDUP(AP381/1,0)
  )
)</f>
        <v>2400</v>
      </c>
      <c r="AR381" s="147">
        <f>ROUNDUP(AQ381/AM381,0)</f>
        <v>2400</v>
      </c>
      <c r="AS381" s="147">
        <f>AO381*AR381</f>
        <v>16800</v>
      </c>
      <c r="AT381" s="148"/>
      <c r="AU381" s="147" t="s">
        <v>405</v>
      </c>
      <c r="AV381" s="147">
        <f>VLOOKUP(AU381,'Item Helper Sheet'!$A$2:$B$16,2,FALSE)</f>
        <v>5</v>
      </c>
      <c r="AW381" s="147">
        <f>AI381</f>
        <v>1</v>
      </c>
      <c r="AX381" s="147">
        <v>1.0</v>
      </c>
      <c r="AY381" s="147">
        <f>AX381*8*4^AV381</f>
        <v>8192</v>
      </c>
      <c r="AZ381" s="147">
        <f>MIN(ROUNDDOWN(AY381/AN381,0),X381)</f>
        <v>1</v>
      </c>
      <c r="BA381" s="147">
        <f>AZ381*AW381</f>
        <v>1</v>
      </c>
      <c r="BB381" s="147">
        <f>AN381</f>
        <v>7</v>
      </c>
      <c r="BC381" s="147">
        <f>MIN(AV381-AB381,IF(AY381&gt;=BB382*4,
IF(AY381&gt;=BB382*4^2,
IF(AY381&gt;=BB382*4^3,
IF(AY381&gt;=BB382*4^4,
IF(AY381&gt;=BB382*4^5,
IF(AY381&gt;=BB382*4^6,
IF(AY381&gt;=BB382*4^7,
IF(AY381&gt;=BB382*4^8,
IF(AY381&gt;=BB382*4^9,
IF(AY381&gt;=BB382*4^10,
9),
8),
7),
6),
5),
4),
3),
2),
1),
0))</f>
        <v>4</v>
      </c>
      <c r="BD381" s="147">
        <f>BB381*AZ381*4^BC381</f>
        <v>1792</v>
      </c>
      <c r="BE381" s="147">
        <f>BD381*AW381</f>
        <v>1792</v>
      </c>
      <c r="BF381" s="143">
        <f>ROUNDUP(IF(R381="Yes",AP381/(2^((BC381)*2)),AP381/(2^(BC381))),0)</f>
        <v>10</v>
      </c>
      <c r="BG381" s="45">
        <f>IF(ISNUMBER(Y381),ROUNDUP(BF381/Y381,0),
  SWITCH(
      Y381,
      "1+0.5C",ROUNDUP(BF381/(1+0.5*VLOOKUP(J383,'Machine Helper Sheet'!$G$1:$K$16,2,FALSE)),0),
      ROUNDUP(BF381/1,0)
  )
)</f>
        <v>10</v>
      </c>
      <c r="BH381" s="143">
        <f>ROUNDUP(BG381/BA381,0)</f>
        <v>10</v>
      </c>
      <c r="BI381" s="149">
        <f>BH381*BE381</f>
        <v>17920</v>
      </c>
      <c r="BK381" s="22"/>
      <c r="BM381" s="140" t="s">
        <v>781</v>
      </c>
      <c r="BN381" s="140">
        <v>3360000.0</v>
      </c>
      <c r="BO381" s="140">
        <v>1.344E7</v>
      </c>
      <c r="BP381" s="140" t="s">
        <v>781</v>
      </c>
      <c r="BQ381" s="140">
        <v>7000.0</v>
      </c>
      <c r="BR381" s="140">
        <v>1750.0</v>
      </c>
      <c r="BS381" s="140" t="s">
        <v>781</v>
      </c>
      <c r="BT381" s="140">
        <v>3.0</v>
      </c>
      <c r="BU381" s="140">
        <v>5.0</v>
      </c>
      <c r="BV381" s="140">
        <v>1.0</v>
      </c>
    </row>
    <row r="382">
      <c r="B382" s="150"/>
      <c r="C382" s="151" t="s">
        <v>87</v>
      </c>
      <c r="D382" s="147">
        <f>1000*I383</f>
        <v>40000</v>
      </c>
      <c r="E382" s="147" t="s">
        <v>86</v>
      </c>
      <c r="F382" s="152">
        <f>1000*I383</f>
        <v>40000</v>
      </c>
      <c r="G382" s="138"/>
      <c r="H382" s="153" t="s">
        <v>584</v>
      </c>
      <c r="I382" s="143">
        <f t="array" ref="I382">match(TRUE,ISBLANK(F382:F394),0)-1</f>
        <v>1</v>
      </c>
      <c r="J382" s="154" t="s">
        <v>420</v>
      </c>
      <c r="K382" s="154" t="s">
        <v>585</v>
      </c>
      <c r="L382" s="100" t="s">
        <v>704</v>
      </c>
      <c r="M382" s="147"/>
      <c r="N382" s="147"/>
      <c r="O382" s="147"/>
      <c r="P382" s="147"/>
      <c r="Q382" s="147"/>
      <c r="R382" s="155"/>
      <c r="S382" s="155"/>
      <c r="T382" s="155"/>
      <c r="U382" s="143"/>
      <c r="V382" s="143"/>
      <c r="W382" s="143"/>
      <c r="X382" s="143"/>
      <c r="Y382" s="143"/>
      <c r="Z382" s="143"/>
      <c r="AA382" s="143"/>
      <c r="AB382" s="143"/>
      <c r="AC382" s="143"/>
      <c r="AD382" s="143"/>
      <c r="AE382" s="143"/>
      <c r="AF382" s="143"/>
      <c r="AG382" s="156"/>
      <c r="AH382" s="143"/>
      <c r="AI382" s="143"/>
      <c r="AJ382" s="143"/>
      <c r="AK382" s="143"/>
      <c r="AL382" s="143"/>
      <c r="AM382" s="143"/>
      <c r="AN382" s="143"/>
      <c r="AO382" s="143"/>
      <c r="AP382" s="143"/>
      <c r="AQ382" s="143"/>
      <c r="AR382" s="143"/>
      <c r="AS382" s="143"/>
      <c r="AT382" s="156"/>
      <c r="AU382" s="143"/>
      <c r="AV382" s="143"/>
      <c r="AW382" s="143"/>
      <c r="AX382" s="143"/>
      <c r="AY382" s="143"/>
      <c r="AZ382" s="143"/>
      <c r="BA382" s="143"/>
      <c r="BB382" s="143">
        <f>BB381*AZ381</f>
        <v>7</v>
      </c>
      <c r="BC382" s="143"/>
      <c r="BD382" s="143"/>
      <c r="BE382" s="143"/>
      <c r="BF382" s="143"/>
      <c r="BG382" s="143"/>
      <c r="BH382" s="143"/>
      <c r="BI382" s="149"/>
      <c r="BK382" s="22"/>
      <c r="BM382" s="6" t="s">
        <v>487</v>
      </c>
      <c r="BN382" s="6">
        <v>3.9264829E9</v>
      </c>
      <c r="BO382" s="6" t="e">
        <v>#N/A</v>
      </c>
    </row>
    <row r="383">
      <c r="B383" s="150"/>
      <c r="C383" s="151" t="s">
        <v>72</v>
      </c>
      <c r="D383" s="147">
        <f>1000*I383</f>
        <v>40000</v>
      </c>
      <c r="E383" s="147"/>
      <c r="F383" s="152"/>
      <c r="G383" s="138"/>
      <c r="H383" s="157" t="s">
        <v>502</v>
      </c>
      <c r="I383" s="158">
        <v>40.0</v>
      </c>
      <c r="J383" s="154" t="s">
        <v>424</v>
      </c>
      <c r="K383" s="154">
        <v>0.0</v>
      </c>
      <c r="L383" s="100">
        <v>0.0</v>
      </c>
      <c r="M383" s="143"/>
      <c r="N383" s="143"/>
      <c r="O383" s="143"/>
      <c r="P383" s="143"/>
      <c r="Q383" s="143"/>
      <c r="R383" s="143"/>
      <c r="S383" s="155"/>
      <c r="T383" s="155"/>
      <c r="U383" s="143"/>
      <c r="V383" s="143"/>
      <c r="W383" s="143"/>
      <c r="X383" s="143"/>
      <c r="Y383" s="143"/>
      <c r="Z383" s="143"/>
      <c r="AA383" s="143"/>
      <c r="AB383" s="143"/>
      <c r="AC383" s="143"/>
      <c r="AD383" s="143"/>
      <c r="AE383" s="143"/>
      <c r="AF383" s="143"/>
      <c r="AG383" s="156"/>
      <c r="AH383" s="143"/>
      <c r="AI383" s="143"/>
      <c r="AJ383" s="143"/>
      <c r="AK383" s="143"/>
      <c r="AL383" s="143"/>
      <c r="AM383" s="143"/>
      <c r="AN383" s="143"/>
      <c r="AO383" s="143"/>
      <c r="AP383" s="143"/>
      <c r="AQ383" s="143"/>
      <c r="AR383" s="143"/>
      <c r="AS383" s="143"/>
      <c r="AT383" s="156"/>
      <c r="AU383" s="143"/>
      <c r="AV383" s="143"/>
      <c r="AW383" s="143"/>
      <c r="AX383" s="143"/>
      <c r="AY383" s="143"/>
      <c r="AZ383" s="143"/>
      <c r="BA383" s="143"/>
      <c r="BB383" s="143"/>
      <c r="BC383" s="143"/>
      <c r="BD383" s="143"/>
      <c r="BE383" s="143"/>
      <c r="BF383" s="143"/>
      <c r="BG383" s="143"/>
      <c r="BH383" s="143"/>
      <c r="BI383" s="149"/>
      <c r="BK383" s="22"/>
    </row>
    <row r="384">
      <c r="B384" s="135"/>
      <c r="C384" s="136"/>
      <c r="D384" s="137"/>
      <c r="E384" s="137"/>
      <c r="F384" s="137"/>
      <c r="G384" s="138"/>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c r="AG384" s="138"/>
      <c r="AH384" s="137"/>
      <c r="AI384" s="137"/>
      <c r="AJ384" s="137"/>
      <c r="AK384" s="137"/>
      <c r="AL384" s="137"/>
      <c r="AM384" s="137"/>
      <c r="AN384" s="137"/>
      <c r="AO384" s="137"/>
      <c r="AP384" s="137"/>
      <c r="AQ384" s="137"/>
      <c r="AR384" s="137"/>
      <c r="AS384" s="137"/>
      <c r="AT384" s="138"/>
      <c r="AU384" s="137"/>
      <c r="AV384" s="137"/>
      <c r="AW384" s="137"/>
      <c r="AX384" s="137"/>
      <c r="AY384" s="137"/>
      <c r="AZ384" s="137"/>
      <c r="BA384" s="137"/>
      <c r="BB384" s="137"/>
      <c r="BC384" s="137"/>
      <c r="BD384" s="137"/>
      <c r="BE384" s="137"/>
      <c r="BF384" s="137"/>
      <c r="BG384" s="137"/>
      <c r="BH384" s="137"/>
      <c r="BI384" s="139"/>
      <c r="BK384" s="22"/>
    </row>
    <row r="385">
      <c r="B385" s="141" t="s">
        <v>775</v>
      </c>
      <c r="C385" s="142"/>
      <c r="D385" s="143"/>
      <c r="E385" s="143"/>
      <c r="F385" s="144"/>
      <c r="G385" s="145"/>
      <c r="H385" s="146" t="s">
        <v>376</v>
      </c>
      <c r="I385" s="147" t="str">
        <f>VLOOKUP(H385,'Machine List'!$A$1:$I$300,9,FALSE)</f>
        <v>1T</v>
      </c>
      <c r="J385" s="147">
        <f>IF(VLOOKUP(H385,'Machine List'!$A$1:$I$300,5,FALSE)="Multi",IF(VLOOKUP(H385,'Machine List'!$A$1:$I$300,6,FALSE)="Yes",AI385*3*10^AB385,AI385*(2*3)*10^(AB385-1)),0)</f>
        <v>600</v>
      </c>
      <c r="K385" s="147">
        <f>J385+IF(ISNUMBER(I385),I385,
  SWITCH(
      I385,
      "1T",1*10^AB385,
      "2T",2*10^AB385,
      "3T",3*10^AB385,
      "4T",4*10^AB385,
      "4000+500(7O-5)",4000+500*(7*I386-5),
      "13500 + 16C",13500+16*VLOOKUP(J387,'Machine Helper Sheet'!$G$1:$K$16,5,FALSE),
      1
  )
)</f>
        <v>1600</v>
      </c>
      <c r="L385" s="147">
        <f>IF(VLOOKUP(H385,'Machine List'!$A$1:$I$300,5,FALSE)="Multi",IF(VLOOKUP(H385,'Machine List'!$A$1:$I$300,6,FALSE)="Yes",AW385*3*10^AV385,AW385*(2*3)*10^(AV385-1)),0)</f>
        <v>60000</v>
      </c>
      <c r="M385" s="147">
        <f>L385+IF(ISNUMBER(I385),I385,
  SWITCH(
      I385,
      "1T",1*10^AV385,
      "2T",2*10^AV385,
      "3T",3*10^AV385,
      "4T",4*10^AV385,
      "4000+500(7O-5)",4000+500*(7*I386-5),
      1
  )
)</f>
        <v>160000</v>
      </c>
      <c r="N385" s="147" t="str">
        <f>VLOOKUP(H385,'Machine List'!$A$1:$I$300,8,FALSE)</f>
        <v>Tier</v>
      </c>
      <c r="O385" s="147">
        <f>IF(ISNUMBER(N385),N385,10^AB385)</f>
        <v>1000</v>
      </c>
      <c r="P385" s="147">
        <f>IF(ISNUMBER(N385),N385,10^AV385)</f>
        <v>100000</v>
      </c>
      <c r="Q385" s="147" t="str">
        <f>VLOOKUP(H385,'Machine List'!$A$1:$B$138,2,FALSE)</f>
        <v>2*P</v>
      </c>
      <c r="R385" s="147" t="s">
        <v>277</v>
      </c>
      <c r="S385" s="45">
        <f>IF(ISNUMBER(Q385),Q385,
  SWITCH(
      Q385,
      "1",1,
      "2T",AB385*2,
      "4T",AB385*4,
      "6T",AB385*6,
      "8T",AB385*8,
      "10T",AB385*10,
      "12T",AB385*12,
      "14T",AB385*14,
      "16T",AB385*16,
      "24T",AB385*24,
      "2(T+1)",2*(AB385+1),
      "1T*C",AB385*J387,
      "2*P",L387*2,
      1
  )
)</f>
        <v>2</v>
      </c>
      <c r="T385" s="38" t="s">
        <v>277</v>
      </c>
      <c r="U385" s="38">
        <f>IF(OR(T385="No",T385=""),S385,T385)</f>
        <v>2</v>
      </c>
      <c r="V385" s="38">
        <f>IF(ISNUMBER(Q385),Q385,
  SWITCH(
      Q385,
      "1",1,
      "2T",AV385*2,
      "4T",AV385*4,
      "6T",AV385*6,
      "8T",AV385*8,
      "10T",AV385*10,
      "12T",AV385*12,
      "14T",AV385*14,
      "16T",AV385*16,
      "24T",AV385*24,
      "2(T+1)",2*(AV385+1),
      "1T*C",AV385*J387,
      "2*P",L387*2,
      1
  )
)</f>
        <v>2</v>
      </c>
      <c r="W385" s="147" t="str">
        <f>T385</f>
        <v>No</v>
      </c>
      <c r="X385" s="147">
        <f>IF(OR(W385="No",W385=""),V385,W385)</f>
        <v>2</v>
      </c>
      <c r="Y385" s="38" t="str">
        <f>VLOOKUP(H385,'Machine List'!$A$1:$C$138,3,FALSE)</f>
        <v>1+0.5C</v>
      </c>
      <c r="Z385" s="38">
        <f>VLOOKUP(H385,'Machine List'!$A$1:$D$138,4,FALSE)</f>
        <v>1</v>
      </c>
      <c r="AA385" s="147" t="s">
        <v>397</v>
      </c>
      <c r="AB385" s="147">
        <f>VLOOKUP(AA385,'Item Helper Sheet'!$A$2:$B$16,2,FALSE)</f>
        <v>3</v>
      </c>
      <c r="AC385" s="147">
        <v>480.0</v>
      </c>
      <c r="AD385" s="147">
        <f>30*20</f>
        <v>600</v>
      </c>
      <c r="AE385" s="147">
        <f>AD385*I387</f>
        <v>4800</v>
      </c>
      <c r="AF385" s="147">
        <f>AC385*AE385</f>
        <v>2304000</v>
      </c>
      <c r="AG385" s="148"/>
      <c r="AH385" s="147" t="str">
        <f>AA385</f>
        <v>03 - HV</v>
      </c>
      <c r="AI385" s="147">
        <v>1.0</v>
      </c>
      <c r="AJ385" s="147">
        <v>1.0</v>
      </c>
      <c r="AK385" s="147">
        <f>AJ385*8*4^AB385</f>
        <v>512</v>
      </c>
      <c r="AL385" s="147">
        <f>MIN(ROUNDDOWN(AK385/AN385,0),U385)</f>
        <v>1</v>
      </c>
      <c r="AM385" s="147">
        <f>IF(OR(T385="No",T385=""),AI385*S385,AI385*T385)</f>
        <v>2</v>
      </c>
      <c r="AN385" s="147">
        <f>ROUNDUP(AC385*VLOOKUP(H385,'Machine List'!$A$2:$D$219,4,FALSE),0)</f>
        <v>480</v>
      </c>
      <c r="AO385" s="147">
        <f>AN385*AM385</f>
        <v>960</v>
      </c>
      <c r="AP385" s="147">
        <f>ROUNDUP(AD385*I387,0)</f>
        <v>4800</v>
      </c>
      <c r="AQ385" s="38">
        <f>IF(ISNUMBER(Y385),ROUNDUP(AP385/Y385,0),
  SWITCH(
      Y385,
      "1+0.5C",ROUNDUP(AP385/(1+0.5*VLOOKUP(J387,'Machine Helper Sheet'!$G$1:$K$16,2,FALSE)),0),
      ROUNDUP(AP385/1,0)
  )
)</f>
        <v>3200</v>
      </c>
      <c r="AR385" s="147">
        <f>ROUNDUP(AQ385/AM385,0)</f>
        <v>1600</v>
      </c>
      <c r="AS385" s="147">
        <f>AO385*AR385</f>
        <v>1536000</v>
      </c>
      <c r="AT385" s="148"/>
      <c r="AU385" s="147" t="s">
        <v>405</v>
      </c>
      <c r="AV385" s="147">
        <f>VLOOKUP(AU385,'Item Helper Sheet'!$A$2:$B$16,2,FALSE)</f>
        <v>5</v>
      </c>
      <c r="AW385" s="147">
        <f>AI385</f>
        <v>1</v>
      </c>
      <c r="AX385" s="147">
        <v>1.0</v>
      </c>
      <c r="AY385" s="147">
        <f>AX385*8*4^AV385</f>
        <v>8192</v>
      </c>
      <c r="AZ385" s="147">
        <f>MIN(ROUNDDOWN(AY385/AN385,0),X385)</f>
        <v>2</v>
      </c>
      <c r="BA385" s="147">
        <f>AZ385*AW385</f>
        <v>2</v>
      </c>
      <c r="BB385" s="147">
        <f>AN385</f>
        <v>480</v>
      </c>
      <c r="BC385" s="147">
        <f>MIN(AV385-AB385,IF(AY385&gt;=BB386*4,
IF(AY385&gt;=BB386*4^2,
IF(AY385&gt;=BB386*4^3,
IF(AY385&gt;=BB386*4^4,
IF(AY385&gt;=BB386*4^5,
IF(AY385&gt;=BB386*4^6,
IF(AY385&gt;=BB386*4^7,
IF(AY385&gt;=BB386*4^8,
IF(AY385&gt;=BB386*4^9,
IF(AY385&gt;=BB386*4^10,
9),
8),
7),
6),
5),
4),
3),
2),
1),
0))</f>
        <v>1</v>
      </c>
      <c r="BD385" s="147">
        <f>BB385*AZ385*4^BC385</f>
        <v>3840</v>
      </c>
      <c r="BE385" s="147">
        <f>BD385*AW385</f>
        <v>3840</v>
      </c>
      <c r="BF385" s="143">
        <f>ROUNDUP(IF(R385="Yes",AP385/(2^((BC385)*2)),AP385/(2^(BC385))),0)</f>
        <v>2400</v>
      </c>
      <c r="BG385" s="45">
        <f>IF(ISNUMBER(Y385),ROUNDUP(BF385/Y385,0),
  SWITCH(
      Y385,
      "1+0.5C",ROUNDUP(BF385/(1+0.5*VLOOKUP(J387,'Machine Helper Sheet'!$G$1:$K$16,2,FALSE)),0),
      ROUNDUP(BF385/1,0)
  )
)</f>
        <v>1600</v>
      </c>
      <c r="BH385" s="143">
        <f>ROUNDUP(BG385/BA385,0)</f>
        <v>800</v>
      </c>
      <c r="BI385" s="149">
        <f>BH385*BE385</f>
        <v>3072000</v>
      </c>
      <c r="BK385" s="22"/>
      <c r="BM385" s="6" t="s">
        <v>475</v>
      </c>
      <c r="BN385" s="6" t="s">
        <v>462</v>
      </c>
      <c r="BO385" s="6"/>
      <c r="BP385" s="6"/>
      <c r="BQ385" s="6"/>
      <c r="BR385" s="6"/>
      <c r="BS385" s="6"/>
      <c r="BT385" s="6"/>
      <c r="BU385" s="6"/>
      <c r="BV385" s="6"/>
      <c r="BW385" s="6"/>
      <c r="BX385" s="6"/>
      <c r="BY385" s="6"/>
      <c r="BZ385" s="6" t="s">
        <v>619</v>
      </c>
      <c r="CA385" s="6" t="s">
        <v>495</v>
      </c>
      <c r="CB385" s="6"/>
      <c r="CC385" s="6"/>
      <c r="CD385" s="6"/>
      <c r="CE385" s="6"/>
      <c r="CF385" s="6"/>
      <c r="CH385" s="6" t="s">
        <v>560</v>
      </c>
      <c r="CI385" s="6" t="s">
        <v>694</v>
      </c>
      <c r="CJ385" s="6"/>
      <c r="CK385" s="6"/>
      <c r="CL385" s="6"/>
      <c r="CM385" s="6"/>
    </row>
    <row r="386">
      <c r="B386" s="150"/>
      <c r="C386" s="151" t="s">
        <v>91</v>
      </c>
      <c r="D386" s="147">
        <f>2000*I387</f>
        <v>16000</v>
      </c>
      <c r="E386" s="147" t="s">
        <v>91</v>
      </c>
      <c r="F386" s="152">
        <f>4500*I387</f>
        <v>36000</v>
      </c>
      <c r="G386" s="138"/>
      <c r="H386" s="153" t="s">
        <v>584</v>
      </c>
      <c r="I386" s="143">
        <f t="array" ref="I386">match(TRUE,ISBLANK(F386:F398),0)-1</f>
        <v>1</v>
      </c>
      <c r="J386" s="154" t="s">
        <v>420</v>
      </c>
      <c r="K386" s="154" t="s">
        <v>585</v>
      </c>
      <c r="L386" s="100" t="s">
        <v>704</v>
      </c>
      <c r="M386" s="147"/>
      <c r="N386" s="147"/>
      <c r="O386" s="147"/>
      <c r="P386" s="147"/>
      <c r="Q386" s="147"/>
      <c r="R386" s="155"/>
      <c r="S386" s="155"/>
      <c r="T386" s="155"/>
      <c r="U386" s="143"/>
      <c r="V386" s="143"/>
      <c r="W386" s="143"/>
      <c r="X386" s="143"/>
      <c r="Y386" s="143"/>
      <c r="Z386" s="143"/>
      <c r="AA386" s="143"/>
      <c r="AB386" s="143"/>
      <c r="AC386" s="143"/>
      <c r="AD386" s="143"/>
      <c r="AE386" s="143"/>
      <c r="AF386" s="143"/>
      <c r="AG386" s="156"/>
      <c r="AH386" s="143"/>
      <c r="AI386" s="143"/>
      <c r="AJ386" s="143"/>
      <c r="AK386" s="143"/>
      <c r="AL386" s="143"/>
      <c r="AM386" s="143"/>
      <c r="AN386" s="143"/>
      <c r="AO386" s="143"/>
      <c r="AP386" s="143"/>
      <c r="AQ386" s="143"/>
      <c r="AR386" s="143"/>
      <c r="AS386" s="143"/>
      <c r="AT386" s="156"/>
      <c r="AU386" s="143"/>
      <c r="AV386" s="143"/>
      <c r="AW386" s="143"/>
      <c r="AX386" s="143"/>
      <c r="AY386" s="143"/>
      <c r="AZ386" s="143"/>
      <c r="BA386" s="143"/>
      <c r="BB386" s="143">
        <f>BB385*AZ385</f>
        <v>960</v>
      </c>
      <c r="BC386" s="143"/>
      <c r="BD386" s="143"/>
      <c r="BE386" s="143"/>
      <c r="BF386" s="143"/>
      <c r="BG386" s="143"/>
      <c r="BH386" s="143"/>
      <c r="BI386" s="149"/>
      <c r="BK386" s="22"/>
      <c r="BM386" s="6" t="s">
        <v>457</v>
      </c>
      <c r="BN386" s="140" t="s">
        <v>376</v>
      </c>
      <c r="BO386" s="140" t="s">
        <v>297</v>
      </c>
      <c r="BP386" s="140" t="s">
        <v>301</v>
      </c>
      <c r="BQ386" s="140" t="s">
        <v>309</v>
      </c>
      <c r="BR386" s="140" t="s">
        <v>310</v>
      </c>
      <c r="BS386" s="140" t="s">
        <v>782</v>
      </c>
      <c r="BT386" s="140" t="s">
        <v>349</v>
      </c>
      <c r="BU386" s="6" t="s">
        <v>350</v>
      </c>
      <c r="BV386" s="140" t="s">
        <v>356</v>
      </c>
      <c r="BW386" s="6" t="s">
        <v>363</v>
      </c>
      <c r="BX386" s="6" t="s">
        <v>369</v>
      </c>
      <c r="BY386" s="6" t="s">
        <v>487</v>
      </c>
      <c r="BZ386" s="6" t="s">
        <v>462</v>
      </c>
      <c r="CA386" s="140" t="s">
        <v>390</v>
      </c>
      <c r="CB386" s="140" t="s">
        <v>397</v>
      </c>
      <c r="CC386" s="140" t="s">
        <v>401</v>
      </c>
      <c r="CD386" s="140" t="s">
        <v>405</v>
      </c>
      <c r="CE386" s="140" t="s">
        <v>408</v>
      </c>
      <c r="CF386" s="6" t="s">
        <v>487</v>
      </c>
      <c r="CH386" s="6" t="s">
        <v>462</v>
      </c>
      <c r="CI386" s="6">
        <v>1.0</v>
      </c>
      <c r="CJ386" s="6">
        <v>2.5</v>
      </c>
      <c r="CK386" s="6" t="s">
        <v>378</v>
      </c>
      <c r="CL386" s="6" t="e">
        <v>#N/A</v>
      </c>
      <c r="CM386" s="6" t="s">
        <v>487</v>
      </c>
    </row>
    <row r="387">
      <c r="B387" s="150"/>
      <c r="C387" s="151" t="s">
        <v>86</v>
      </c>
      <c r="D387" s="147">
        <f>5000*I387</f>
        <v>40000</v>
      </c>
      <c r="E387" s="147"/>
      <c r="F387" s="152"/>
      <c r="G387" s="138"/>
      <c r="H387" s="157" t="s">
        <v>502</v>
      </c>
      <c r="I387" s="158">
        <v>8.0</v>
      </c>
      <c r="J387" s="154" t="s">
        <v>427</v>
      </c>
      <c r="K387" s="154">
        <v>0.0</v>
      </c>
      <c r="L387" s="100">
        <v>1.0</v>
      </c>
      <c r="M387" s="143"/>
      <c r="N387" s="143"/>
      <c r="O387" s="143"/>
      <c r="P387" s="143"/>
      <c r="Q387" s="143"/>
      <c r="R387" s="143"/>
      <c r="S387" s="155"/>
      <c r="T387" s="155"/>
      <c r="U387" s="143"/>
      <c r="V387" s="143"/>
      <c r="W387" s="143"/>
      <c r="X387" s="143"/>
      <c r="Y387" s="143"/>
      <c r="Z387" s="143"/>
      <c r="AA387" s="143"/>
      <c r="AB387" s="143"/>
      <c r="AC387" s="143"/>
      <c r="AD387" s="143"/>
      <c r="AE387" s="143"/>
      <c r="AF387" s="143"/>
      <c r="AG387" s="156"/>
      <c r="AH387" s="143"/>
      <c r="AI387" s="143"/>
      <c r="AJ387" s="143"/>
      <c r="AK387" s="143"/>
      <c r="AL387" s="143"/>
      <c r="AM387" s="143"/>
      <c r="AN387" s="143"/>
      <c r="AO387" s="143"/>
      <c r="AP387" s="143"/>
      <c r="AQ387" s="143"/>
      <c r="AR387" s="143"/>
      <c r="AS387" s="143"/>
      <c r="AT387" s="156"/>
      <c r="AU387" s="143"/>
      <c r="AV387" s="143"/>
      <c r="AW387" s="143"/>
      <c r="AX387" s="143"/>
      <c r="AY387" s="143"/>
      <c r="AZ387" s="143"/>
      <c r="BA387" s="143"/>
      <c r="BB387" s="143"/>
      <c r="BC387" s="143"/>
      <c r="BD387" s="143"/>
      <c r="BE387" s="143"/>
      <c r="BF387" s="143"/>
      <c r="BG387" s="143"/>
      <c r="BH387" s="143"/>
      <c r="BI387" s="149"/>
      <c r="BK387" s="22"/>
      <c r="BM387" s="6" t="s">
        <v>763</v>
      </c>
      <c r="BN387" s="6"/>
      <c r="BO387" s="6"/>
      <c r="BP387" s="6"/>
      <c r="BQ387" s="6"/>
      <c r="BR387" s="6"/>
      <c r="BS387" s="6"/>
      <c r="BT387" s="6"/>
      <c r="BU387" s="6"/>
      <c r="BV387" s="6"/>
      <c r="BW387" s="6">
        <v>1.0</v>
      </c>
      <c r="BX387" s="6"/>
      <c r="BY387" s="6">
        <v>1.0</v>
      </c>
      <c r="BZ387" s="140" t="s">
        <v>376</v>
      </c>
      <c r="CA387" s="6"/>
      <c r="CB387" s="6">
        <v>1.0</v>
      </c>
      <c r="CC387" s="6"/>
      <c r="CD387" s="6">
        <v>1.0</v>
      </c>
      <c r="CE387" s="6"/>
      <c r="CF387" s="6">
        <v>2.0</v>
      </c>
      <c r="CH387" s="140" t="s">
        <v>376</v>
      </c>
      <c r="CI387" s="6"/>
      <c r="CJ387" s="6"/>
      <c r="CK387" s="140">
        <v>8704.0</v>
      </c>
      <c r="CL387" s="6"/>
      <c r="CM387" s="140">
        <v>8704.0</v>
      </c>
    </row>
    <row r="388">
      <c r="B388" s="135"/>
      <c r="C388" s="136"/>
      <c r="D388" s="137"/>
      <c r="E388" s="137"/>
      <c r="F388" s="137"/>
      <c r="G388" s="138"/>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c r="AG388" s="138"/>
      <c r="AH388" s="137"/>
      <c r="AI388" s="137"/>
      <c r="AJ388" s="137"/>
      <c r="AK388" s="137"/>
      <c r="AL388" s="137"/>
      <c r="AM388" s="137"/>
      <c r="AN388" s="137"/>
      <c r="AO388" s="137"/>
      <c r="AP388" s="137"/>
      <c r="AQ388" s="137"/>
      <c r="AR388" s="137"/>
      <c r="AS388" s="137"/>
      <c r="AT388" s="138"/>
      <c r="AU388" s="137"/>
      <c r="AV388" s="137"/>
      <c r="AW388" s="137"/>
      <c r="AX388" s="137"/>
      <c r="AY388" s="137"/>
      <c r="AZ388" s="137"/>
      <c r="BA388" s="137"/>
      <c r="BB388" s="137"/>
      <c r="BC388" s="137"/>
      <c r="BD388" s="137"/>
      <c r="BE388" s="137"/>
      <c r="BF388" s="137"/>
      <c r="BG388" s="137"/>
      <c r="BH388" s="137"/>
      <c r="BI388" s="139"/>
      <c r="BK388" s="22"/>
      <c r="BM388" s="6" t="s">
        <v>764</v>
      </c>
      <c r="BN388" s="6"/>
      <c r="BO388" s="6"/>
      <c r="BP388" s="6"/>
      <c r="BQ388" s="6"/>
      <c r="BR388" s="6"/>
      <c r="BS388" s="6"/>
      <c r="BT388" s="6"/>
      <c r="BU388" s="6">
        <v>1.0</v>
      </c>
      <c r="BV388" s="6"/>
      <c r="BW388" s="6"/>
      <c r="BX388" s="6"/>
      <c r="BY388" s="6">
        <v>1.0</v>
      </c>
      <c r="BZ388" s="140" t="s">
        <v>297</v>
      </c>
      <c r="CA388" s="6">
        <v>2.0</v>
      </c>
      <c r="CB388" s="6"/>
      <c r="CC388" s="6"/>
      <c r="CD388" s="6"/>
      <c r="CE388" s="6"/>
      <c r="CF388" s="6">
        <v>2.0</v>
      </c>
      <c r="CH388" s="140" t="s">
        <v>297</v>
      </c>
      <c r="CI388" s="140">
        <v>64.0</v>
      </c>
      <c r="CJ388" s="6"/>
      <c r="CK388" s="6"/>
      <c r="CL388" s="6"/>
      <c r="CM388" s="140">
        <v>64.0</v>
      </c>
    </row>
    <row r="389">
      <c r="B389" s="141" t="s">
        <v>776</v>
      </c>
      <c r="C389" s="142"/>
      <c r="D389" s="143"/>
      <c r="E389" s="143"/>
      <c r="F389" s="144"/>
      <c r="G389" s="145"/>
      <c r="H389" s="146" t="s">
        <v>782</v>
      </c>
      <c r="I389" s="147" t="str">
        <f>VLOOKUP(H389,'Machine List'!$A$1:$I$300,9,FALSE)</f>
        <v>#N/A</v>
      </c>
      <c r="J389" s="147" t="str">
        <f>IF(VLOOKUP(H389,'Machine List'!$A$1:$I$300,5,FALSE)="Multi",IF(VLOOKUP(H389,'Machine List'!$A$1:$I$300,6,FALSE)="Yes",AI389*3*10^AB389,AI389*(2*3)*10^(AB389-1)),0)</f>
        <v>#N/A</v>
      </c>
      <c r="K389" s="38" t="str">
        <f>J389+IF(ISNUMBER(I389),I389,
  SWITCH(
      I389,
      "1T",1*10^AB389,
      "2T",2*10^AB389,
      "3T",3*10^AB389,
      "4T",4*10^AB389,
      "4000+500(7O-5)",4000+500*(7*I390-5),
      "13500 + 16C",13500+16*VLOOKUP(J391,'Machine Helper Sheet'!$G$1:$K$16,5,FALSE),
      1
  )
)</f>
        <v>#N/A</v>
      </c>
      <c r="L389" s="147" t="str">
        <f>IF(VLOOKUP(H389,'Machine List'!$A$1:$I$300,5,FALSE)="Multi",IF(VLOOKUP(H389,'Machine List'!$A$1:$I$300,6,FALSE)="Yes",AW389*3*10^AV389,AW389*(2*3)*10^(AV389-1)),0)</f>
        <v>#N/A</v>
      </c>
      <c r="M389" s="147" t="str">
        <f>L389+IF(ISNUMBER(I389),I389,
  SWITCH(
      I389,
      "1T",1*10^AV389,
      "2T",2*10^AV389,
      "3T",3*10^AV389,
      "4T",4*10^AV389,
      "4000+500(7O-5)",4000+500*(7*I390-5),
      1
  )
)</f>
        <v>#N/A</v>
      </c>
      <c r="N389" s="147" t="str">
        <f>VLOOKUP(H389,'Machine List'!$A$1:$I$300,8,FALSE)</f>
        <v>#N/A</v>
      </c>
      <c r="O389" s="147">
        <f>IF(ISNUMBER(N389),N389,10^AB389)</f>
        <v>100000</v>
      </c>
      <c r="P389" s="147">
        <f>IF(ISNUMBER(N389),N389,10^AV389)</f>
        <v>1000000</v>
      </c>
      <c r="Q389" s="147" t="str">
        <f>VLOOKUP(H389,'Machine List'!$A$1:$B$138,2,FALSE)</f>
        <v>#N/A</v>
      </c>
      <c r="R389" s="147" t="s">
        <v>277</v>
      </c>
      <c r="S389" s="45" t="str">
        <f>IF(ISNUMBER(Q389),Q389,
  SWITCH(
      Q389,
      "1",1,
      "2T",AB389*2,
      "4T",AB389*4,
      "6T",AB389*6,
      "8T",AB389*8,
      "10T",AB389*10,
      "12T",AB389*12,
      "14T",AB389*14,
      "16T",AB389*16,
      "24T",AB389*24,
      "2(T+1)",2*(AB389+1),
      "1T*C",AB389*J391,
      "2*P",L391*2,
      1
  )
)</f>
        <v>#N/A</v>
      </c>
      <c r="T389" s="38" t="s">
        <v>277</v>
      </c>
      <c r="U389" s="38" t="str">
        <f>IF(OR(T389="No",T389=""),S389,T389)</f>
        <v>#N/A</v>
      </c>
      <c r="V389" s="38" t="str">
        <f>IF(ISNUMBER(Q389),Q389,
  SWITCH(
      Q389,
      "1",1,
      "2T",AV389*2,
      "4T",AV389*4,
      "6T",AV389*6,
      "8T",AV389*8,
      "10T",AV389*10,
      "12T",AV389*12,
      "14T",AV389*14,
      "16T",AV389*16,
      "24T",AV389*24,
      "2(T+1)",2*(AV389+1),
      "1T*C",AV389*J391,
      "2*P",L391*2,
      1
  )
)</f>
        <v>#N/A</v>
      </c>
      <c r="W389" s="147" t="str">
        <f>T389</f>
        <v>No</v>
      </c>
      <c r="X389" s="147" t="str">
        <f>IF(OR(W389="No",W389=""),V389,W389)</f>
        <v>#N/A</v>
      </c>
      <c r="Y389" s="38" t="str">
        <f>VLOOKUP(H389,'Machine List'!$A$1:$C$138,3,FALSE)</f>
        <v>#N/A</v>
      </c>
      <c r="Z389" s="38" t="str">
        <f>VLOOKUP(H389,'Machine List'!$A$1:$D$138,4,FALSE)</f>
        <v>#N/A</v>
      </c>
      <c r="AA389" s="147" t="s">
        <v>405</v>
      </c>
      <c r="AB389" s="147">
        <f>VLOOKUP(AA389,'Item Helper Sheet'!$A$2:$B$16,2,FALSE)</f>
        <v>5</v>
      </c>
      <c r="AC389" s="147">
        <v>7680.0</v>
      </c>
      <c r="AD389" s="147">
        <f>450*20</f>
        <v>9000</v>
      </c>
      <c r="AE389" s="147">
        <f>AD389*I391</f>
        <v>90000</v>
      </c>
      <c r="AF389" s="147">
        <f>AC389*AE389</f>
        <v>691200000</v>
      </c>
      <c r="AG389" s="148"/>
      <c r="AH389" s="147" t="str">
        <f>AA389</f>
        <v>05 - IV</v>
      </c>
      <c r="AI389" s="147">
        <v>1.0</v>
      </c>
      <c r="AJ389" s="147">
        <v>1.0</v>
      </c>
      <c r="AK389" s="147">
        <f>AJ389*8*4^AB389</f>
        <v>8192</v>
      </c>
      <c r="AL389" s="147" t="str">
        <f>MIN(ROUNDDOWN(AK389/AN389,0),U389)</f>
        <v>#N/A</v>
      </c>
      <c r="AM389" s="147" t="str">
        <f>IF(OR(T389="No",T389=""),AI389*S389,AI389*T389)</f>
        <v>#N/A</v>
      </c>
      <c r="AN389" s="147" t="str">
        <f>ROUNDUP(AC389*VLOOKUP(H389,'Machine List'!$A$2:$D$219,4,FALSE),0)</f>
        <v>#N/A</v>
      </c>
      <c r="AO389" s="147" t="str">
        <f>AN389*AM389</f>
        <v>#N/A</v>
      </c>
      <c r="AP389" s="147">
        <f>ROUNDUP(AD389*I391,0)</f>
        <v>90000</v>
      </c>
      <c r="AQ389" s="38" t="str">
        <f>IF(ISNUMBER(Y389),ROUNDUP(AP389/Y389,0),
  SWITCH(
      Y389,
      "1+0.5C",ROUNDUP(AP389/(1+0.5*VLOOKUP(J391,'Machine Helper Sheet'!$G$1:$K$16,2,FALSE)),0),
      ROUNDUP(AP389/1,0)
  )
)</f>
        <v>#N/A</v>
      </c>
      <c r="AR389" s="147" t="str">
        <f>ROUNDUP(AQ389/AM389,0)</f>
        <v>#N/A</v>
      </c>
      <c r="AS389" s="147" t="str">
        <f>AO389*AR389</f>
        <v>#N/A</v>
      </c>
      <c r="AT389" s="148"/>
      <c r="AU389" s="147" t="s">
        <v>408</v>
      </c>
      <c r="AV389" s="147">
        <f>VLOOKUP(AU389,'Item Helper Sheet'!$A$2:$B$16,2,FALSE)</f>
        <v>6</v>
      </c>
      <c r="AW389" s="147">
        <f>AI389</f>
        <v>1</v>
      </c>
      <c r="AX389" s="147">
        <v>1.0</v>
      </c>
      <c r="AY389" s="147">
        <f>AX389*8*4^AV389</f>
        <v>32768</v>
      </c>
      <c r="AZ389" s="147" t="str">
        <f>MIN(ROUNDDOWN(AY389/AN389,0),X389)</f>
        <v>#N/A</v>
      </c>
      <c r="BA389" s="147" t="str">
        <f>AZ389*AW389</f>
        <v>#N/A</v>
      </c>
      <c r="BB389" s="147" t="str">
        <f>AN389</f>
        <v>#N/A</v>
      </c>
      <c r="BC389" s="147" t="str">
        <f>MIN(AV389-AB389,IF(AY389&gt;=BB390*4,
IF(AY389&gt;=BB390*4^2,
IF(AY389&gt;=BB390*4^3,
IF(AY389&gt;=BB390*4^4,
IF(AY389&gt;=BB390*4^5,
IF(AY389&gt;=BB390*4^6,
IF(AY389&gt;=BB390*4^7,
IF(AY389&gt;=BB390*4^8,
IF(AY389&gt;=BB390*4^9,
IF(AY389&gt;=BB390*4^10,
9),
8),
7),
6),
5),
4),
3),
2),
1),
0))</f>
        <v>#N/A</v>
      </c>
      <c r="BD389" s="147" t="str">
        <f>BB389*AZ389*4^BC389</f>
        <v>#N/A</v>
      </c>
      <c r="BE389" s="147" t="str">
        <f>BD389*AW389</f>
        <v>#N/A</v>
      </c>
      <c r="BF389" s="143" t="str">
        <f>ROUNDUP(IF(R389="Yes",AP389/(2^((BC389)*2)),AP389/(2^(BC389))),0)</f>
        <v>#N/A</v>
      </c>
      <c r="BG389" s="45" t="str">
        <f>IF(ISNUMBER(Y389),ROUNDUP(BF389/Y389,0),
  SWITCH(
      Y389,
      "1+0.5C",ROUNDUP(BF389/(1+0.5*VLOOKUP(J391,'Machine Helper Sheet'!$G$1:$K$16,2,FALSE)),0),
      ROUNDUP(BF389/1,0)
  )
)</f>
        <v>#N/A</v>
      </c>
      <c r="BH389" s="143" t="str">
        <f>ROUNDUP(BG389/BA389,0)</f>
        <v>#N/A</v>
      </c>
      <c r="BI389" s="149" t="str">
        <f>BH389*BE389</f>
        <v>#N/A</v>
      </c>
      <c r="BK389" s="22"/>
      <c r="BM389" s="6" t="s">
        <v>765</v>
      </c>
      <c r="BN389" s="6"/>
      <c r="BO389" s="6"/>
      <c r="BP389" s="6"/>
      <c r="BQ389" s="6"/>
      <c r="BR389" s="6"/>
      <c r="BS389" s="6"/>
      <c r="BT389" s="6"/>
      <c r="BU389" s="6"/>
      <c r="BV389" s="6"/>
      <c r="BW389" s="6"/>
      <c r="BX389" s="6">
        <v>1.0</v>
      </c>
      <c r="BY389" s="6">
        <v>1.0</v>
      </c>
      <c r="BZ389" s="140" t="s">
        <v>301</v>
      </c>
      <c r="CA389" s="6"/>
      <c r="CB389" s="6"/>
      <c r="CC389" s="6">
        <v>1.0</v>
      </c>
      <c r="CD389" s="6"/>
      <c r="CE389" s="6"/>
      <c r="CF389" s="6">
        <v>1.0</v>
      </c>
      <c r="CH389" s="140" t="s">
        <v>301</v>
      </c>
      <c r="CI389" s="140">
        <v>2048.0</v>
      </c>
      <c r="CJ389" s="6"/>
      <c r="CK389" s="6"/>
      <c r="CL389" s="6"/>
      <c r="CM389" s="140">
        <v>2048.0</v>
      </c>
    </row>
    <row r="390">
      <c r="B390" s="150"/>
      <c r="C390" s="151" t="s">
        <v>90</v>
      </c>
      <c r="D390" s="147">
        <f>1000*I391</f>
        <v>10000</v>
      </c>
      <c r="E390" s="147" t="s">
        <v>225</v>
      </c>
      <c r="F390" s="152">
        <f>300*I391</f>
        <v>3000</v>
      </c>
      <c r="G390" s="138"/>
      <c r="H390" s="153" t="s">
        <v>584</v>
      </c>
      <c r="I390" s="143">
        <f t="array" ref="I390">match(TRUE,ISBLANK(F390:F402),0)-1</f>
        <v>1</v>
      </c>
      <c r="J390" s="154" t="s">
        <v>420</v>
      </c>
      <c r="K390" s="154" t="s">
        <v>585</v>
      </c>
      <c r="L390" s="100" t="s">
        <v>704</v>
      </c>
      <c r="M390" s="147"/>
      <c r="N390" s="147"/>
      <c r="O390" s="147"/>
      <c r="P390" s="147"/>
      <c r="Q390" s="147"/>
      <c r="R390" s="155"/>
      <c r="S390" s="155"/>
      <c r="T390" s="155"/>
      <c r="U390" s="143"/>
      <c r="V390" s="143"/>
      <c r="W390" s="143"/>
      <c r="X390" s="143"/>
      <c r="Y390" s="143"/>
      <c r="Z390" s="143"/>
      <c r="AA390" s="143"/>
      <c r="AB390" s="143"/>
      <c r="AC390" s="143"/>
      <c r="AD390" s="143"/>
      <c r="AE390" s="143"/>
      <c r="AF390" s="143"/>
      <c r="AG390" s="156"/>
      <c r="AH390" s="143"/>
      <c r="AI390" s="143"/>
      <c r="AJ390" s="143"/>
      <c r="AK390" s="143"/>
      <c r="AL390" s="143"/>
      <c r="AM390" s="143"/>
      <c r="AN390" s="143"/>
      <c r="AO390" s="143"/>
      <c r="AP390" s="143"/>
      <c r="AQ390" s="143"/>
      <c r="AR390" s="143"/>
      <c r="AS390" s="143"/>
      <c r="AT390" s="156"/>
      <c r="AU390" s="143"/>
      <c r="AV390" s="143"/>
      <c r="AW390" s="143"/>
      <c r="AX390" s="143"/>
      <c r="AY390" s="143"/>
      <c r="AZ390" s="143"/>
      <c r="BA390" s="143"/>
      <c r="BB390" s="143" t="str">
        <f>BB389*AZ389</f>
        <v>#N/A</v>
      </c>
      <c r="BC390" s="143"/>
      <c r="BD390" s="143"/>
      <c r="BE390" s="143"/>
      <c r="BF390" s="143"/>
      <c r="BG390" s="143"/>
      <c r="BH390" s="143"/>
      <c r="BI390" s="149"/>
      <c r="BK390" s="22"/>
      <c r="BM390" s="6" t="s">
        <v>766</v>
      </c>
      <c r="BN390" s="6"/>
      <c r="BO390" s="6"/>
      <c r="BP390" s="6"/>
      <c r="BQ390" s="6"/>
      <c r="BR390" s="6"/>
      <c r="BS390" s="6"/>
      <c r="BT390" s="6"/>
      <c r="BU390" s="6"/>
      <c r="BV390" s="6"/>
      <c r="BW390" s="6"/>
      <c r="BX390" s="6">
        <v>1.0</v>
      </c>
      <c r="BY390" s="6">
        <v>1.0</v>
      </c>
      <c r="BZ390" s="140" t="s">
        <v>309</v>
      </c>
      <c r="CA390" s="6"/>
      <c r="CB390" s="6">
        <v>1.0</v>
      </c>
      <c r="CC390" s="6"/>
      <c r="CD390" s="6"/>
      <c r="CE390" s="6"/>
      <c r="CF390" s="6">
        <v>1.0</v>
      </c>
      <c r="CH390" s="140" t="s">
        <v>309</v>
      </c>
      <c r="CI390" s="140">
        <v>512.0</v>
      </c>
      <c r="CJ390" s="6"/>
      <c r="CK390" s="6"/>
      <c r="CL390" s="6"/>
      <c r="CM390" s="140">
        <v>512.0</v>
      </c>
    </row>
    <row r="391">
      <c r="B391" s="150"/>
      <c r="C391" s="151"/>
      <c r="D391" s="147"/>
      <c r="E391" s="147"/>
      <c r="F391" s="152"/>
      <c r="G391" s="138"/>
      <c r="H391" s="157" t="s">
        <v>502</v>
      </c>
      <c r="I391" s="158">
        <v>10.0</v>
      </c>
      <c r="J391" s="154" t="s">
        <v>424</v>
      </c>
      <c r="K391" s="154">
        <v>0.0</v>
      </c>
      <c r="L391" s="100">
        <v>0.0</v>
      </c>
      <c r="M391" s="143"/>
      <c r="N391" s="143"/>
      <c r="O391" s="143"/>
      <c r="P391" s="143"/>
      <c r="Q391" s="143"/>
      <c r="R391" s="143"/>
      <c r="S391" s="155"/>
      <c r="T391" s="155"/>
      <c r="U391" s="143"/>
      <c r="V391" s="143"/>
      <c r="W391" s="143"/>
      <c r="X391" s="143"/>
      <c r="Y391" s="143"/>
      <c r="Z391" s="143"/>
      <c r="AA391" s="143"/>
      <c r="AB391" s="143"/>
      <c r="AC391" s="143"/>
      <c r="AD391" s="143"/>
      <c r="AE391" s="143"/>
      <c r="AF391" s="143"/>
      <c r="AG391" s="156"/>
      <c r="AH391" s="143"/>
      <c r="AI391" s="143"/>
      <c r="AJ391" s="143"/>
      <c r="AK391" s="143"/>
      <c r="AL391" s="143"/>
      <c r="AM391" s="143"/>
      <c r="AN391" s="143"/>
      <c r="AO391" s="143"/>
      <c r="AP391" s="143"/>
      <c r="AQ391" s="143"/>
      <c r="AR391" s="143"/>
      <c r="AS391" s="143"/>
      <c r="AT391" s="156"/>
      <c r="AU391" s="143"/>
      <c r="AV391" s="143"/>
      <c r="AW391" s="143"/>
      <c r="AX391" s="143"/>
      <c r="AY391" s="143"/>
      <c r="AZ391" s="143"/>
      <c r="BA391" s="143"/>
      <c r="BB391" s="143"/>
      <c r="BC391" s="143"/>
      <c r="BD391" s="143"/>
      <c r="BE391" s="143"/>
      <c r="BF391" s="143"/>
      <c r="BG391" s="143"/>
      <c r="BH391" s="143"/>
      <c r="BI391" s="149"/>
      <c r="BK391" s="22"/>
      <c r="BM391" s="140" t="s">
        <v>767</v>
      </c>
      <c r="BN391" s="6"/>
      <c r="BO391" s="6"/>
      <c r="BP391" s="6"/>
      <c r="BQ391" s="6"/>
      <c r="BR391" s="6"/>
      <c r="BS391" s="6"/>
      <c r="BT391" s="6"/>
      <c r="BU391" s="6"/>
      <c r="BV391" s="140">
        <v>1.0</v>
      </c>
      <c r="BW391" s="6"/>
      <c r="BX391" s="6"/>
      <c r="BY391" s="140">
        <v>1.0</v>
      </c>
      <c r="BZ391" s="140" t="s">
        <v>310</v>
      </c>
      <c r="CA391" s="6"/>
      <c r="CB391" s="6">
        <v>1.0</v>
      </c>
      <c r="CC391" s="6"/>
      <c r="CD391" s="6"/>
      <c r="CE391" s="6"/>
      <c r="CF391" s="6">
        <v>1.0</v>
      </c>
      <c r="CH391" s="140" t="s">
        <v>310</v>
      </c>
      <c r="CI391" s="140">
        <v>512.0</v>
      </c>
      <c r="CJ391" s="6"/>
      <c r="CK391" s="6"/>
      <c r="CL391" s="6"/>
      <c r="CM391" s="140">
        <v>512.0</v>
      </c>
    </row>
    <row r="392">
      <c r="B392" s="135"/>
      <c r="C392" s="136"/>
      <c r="D392" s="137"/>
      <c r="E392" s="137"/>
      <c r="F392" s="137"/>
      <c r="G392" s="138"/>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c r="AG392" s="138"/>
      <c r="AH392" s="137"/>
      <c r="AI392" s="137"/>
      <c r="AJ392" s="137"/>
      <c r="AK392" s="137"/>
      <c r="AL392" s="137"/>
      <c r="AM392" s="137"/>
      <c r="AN392" s="137"/>
      <c r="AO392" s="137"/>
      <c r="AP392" s="137"/>
      <c r="AQ392" s="137"/>
      <c r="AR392" s="137"/>
      <c r="AS392" s="137"/>
      <c r="AT392" s="138"/>
      <c r="AU392" s="137"/>
      <c r="AV392" s="137"/>
      <c r="AW392" s="137"/>
      <c r="AX392" s="137"/>
      <c r="AY392" s="137"/>
      <c r="AZ392" s="137"/>
      <c r="BA392" s="137"/>
      <c r="BB392" s="137"/>
      <c r="BC392" s="137"/>
      <c r="BD392" s="137"/>
      <c r="BE392" s="137"/>
      <c r="BF392" s="137"/>
      <c r="BG392" s="137"/>
      <c r="BH392" s="137"/>
      <c r="BI392" s="139"/>
      <c r="BK392" s="22"/>
      <c r="BM392" s="6" t="s">
        <v>768</v>
      </c>
      <c r="BN392" s="6"/>
      <c r="BO392" s="6"/>
      <c r="BP392" s="6"/>
      <c r="BQ392" s="6"/>
      <c r="BR392" s="6"/>
      <c r="BS392" s="6"/>
      <c r="BT392" s="6"/>
      <c r="BU392" s="6"/>
      <c r="BV392" s="6"/>
      <c r="BW392" s="6">
        <v>1.0</v>
      </c>
      <c r="BX392" s="6"/>
      <c r="BY392" s="6">
        <v>1.0</v>
      </c>
      <c r="BZ392" s="140" t="s">
        <v>782</v>
      </c>
      <c r="CA392" s="6"/>
      <c r="CB392" s="6"/>
      <c r="CC392" s="6"/>
      <c r="CD392" s="6">
        <v>1.0</v>
      </c>
      <c r="CE392" s="6"/>
      <c r="CF392" s="6">
        <v>1.0</v>
      </c>
      <c r="CH392" s="140" t="s">
        <v>782</v>
      </c>
      <c r="CI392" s="6"/>
      <c r="CJ392" s="6"/>
      <c r="CK392" s="6"/>
      <c r="CL392" s="140">
        <v>8192.0</v>
      </c>
      <c r="CM392" s="140">
        <v>8192.0</v>
      </c>
    </row>
    <row r="393">
      <c r="B393" s="141" t="s">
        <v>777</v>
      </c>
      <c r="C393" s="142"/>
      <c r="D393" s="143"/>
      <c r="E393" s="143"/>
      <c r="F393" s="144"/>
      <c r="G393" s="145"/>
      <c r="H393" s="146" t="s">
        <v>376</v>
      </c>
      <c r="I393" s="147" t="str">
        <f>VLOOKUP(H393,'Machine List'!$A$1:$I$300,9,FALSE)</f>
        <v>1T</v>
      </c>
      <c r="J393" s="147">
        <f>IF(VLOOKUP(H393,'Machine List'!$A$1:$I$300,5,FALSE)="Multi",IF(VLOOKUP(H393,'Machine List'!$A$1:$I$300,6,FALSE)="Yes",AI393*3*10^AB393,AI393*(2*3)*10^(AB393-1)),0)</f>
        <v>60000</v>
      </c>
      <c r="K393" s="147">
        <f>J393+IF(ISNUMBER(I393),I393,
  SWITCH(
      I393,
      "1T",1*10^AB393,
      "2T",2*10^AB393,
      "3T",3*10^AB393,
      "4T",4*10^AB393,
      "4000+500(7O-5)",4000+500*(7*I394-5),
      "13500 + 16C",13500+16*VLOOKUP(J395,'Machine Helper Sheet'!$G$1:$K$16,5,FALSE),
      1
  )
)</f>
        <v>160000</v>
      </c>
      <c r="L393" s="147">
        <f>IF(VLOOKUP(H393,'Machine List'!$A$1:$I$300,5,FALSE)="Multi",IF(VLOOKUP(H393,'Machine List'!$A$1:$I$300,6,FALSE)="Yes",AW393*3*10^AV393,AW393*(2*3)*10^(AV393-1)),0)</f>
        <v>60000</v>
      </c>
      <c r="M393" s="147">
        <f>L393+IF(ISNUMBER(I393),I393,
  SWITCH(
      I393,
      "1T",1*10^AV393,
      "2T",2*10^AV393,
      "3T",3*10^AV393,
      "4T",4*10^AV393,
      "4000+500(7O-5)",4000+500*(7*I394-5),
      1
  )
)</f>
        <v>160000</v>
      </c>
      <c r="N393" s="147" t="str">
        <f>VLOOKUP(H393,'Machine List'!$A$1:$I$300,8,FALSE)</f>
        <v>Tier</v>
      </c>
      <c r="O393" s="147">
        <f>IF(ISNUMBER(N393),N393,10^AB393)</f>
        <v>100000</v>
      </c>
      <c r="P393" s="147">
        <f>IF(ISNUMBER(N393),N393,10^AV393)</f>
        <v>100000</v>
      </c>
      <c r="Q393" s="147" t="str">
        <f>VLOOKUP(H393,'Machine List'!$A$1:$B$138,2,FALSE)</f>
        <v>2*P</v>
      </c>
      <c r="R393" s="147" t="s">
        <v>277</v>
      </c>
      <c r="S393" s="45">
        <f>IF(ISNUMBER(Q393),Q393,
  SWITCH(
      Q393,
      "1",1,
      "2T",AB393*2,
      "4T",AB393*4,
      "6T",AB393*6,
      "8T",AB393*8,
      "10T",AB393*10,
      "12T",AB393*12,
      "14T",AB393*14,
      "16T",AB393*16,
      "24T",AB393*24,
      "2(T+1)",2*(AB393+1),
      "1T*C",AB393*J395,
      "2*P",L395*2,
      1
  )
)</f>
        <v>2</v>
      </c>
      <c r="T393" s="38" t="s">
        <v>277</v>
      </c>
      <c r="U393" s="38">
        <f>IF(OR(T393="No",T393=""),S393,T393)</f>
        <v>2</v>
      </c>
      <c r="V393" s="38">
        <f>IF(ISNUMBER(Q393),Q393,
  SWITCH(
      Q393,
      "1",1,
      "2T",AV393*2,
      "4T",AV393*4,
      "6T",AV393*6,
      "8T",AV393*8,
      "10T",AV393*10,
      "12T",AV393*12,
      "14T",AV393*14,
      "16T",AV393*16,
      "24T",AV393*24,
      "2(T+1)",2*(AV393+1),
      "1T*C",AV393*J395,
      "2*P",L395*2,
      1
  )
)</f>
        <v>2</v>
      </c>
      <c r="W393" s="147" t="str">
        <f>T393</f>
        <v>No</v>
      </c>
      <c r="X393" s="147">
        <f>IF(OR(W393="No",W393=""),V393,W393)</f>
        <v>2</v>
      </c>
      <c r="Y393" s="38" t="str">
        <f>VLOOKUP(H393,'Machine List'!$A$1:$C$138,3,FALSE)</f>
        <v>1+0.5C</v>
      </c>
      <c r="Z393" s="38">
        <f>VLOOKUP(H393,'Machine List'!$A$1:$D$138,4,FALSE)</f>
        <v>1</v>
      </c>
      <c r="AA393" s="147" t="s">
        <v>405</v>
      </c>
      <c r="AB393" s="147">
        <f>VLOOKUP(AA393,'Item Helper Sheet'!$A$2:$B$16,2,FALSE)</f>
        <v>5</v>
      </c>
      <c r="AC393" s="147">
        <v>7680.0</v>
      </c>
      <c r="AD393" s="147">
        <f>150*20</f>
        <v>3000</v>
      </c>
      <c r="AE393" s="147">
        <f>AD393*I395</f>
        <v>6000</v>
      </c>
      <c r="AF393" s="147">
        <f>AC393*AE393</f>
        <v>46080000</v>
      </c>
      <c r="AG393" s="148"/>
      <c r="AH393" s="147" t="str">
        <f>AA393</f>
        <v>05 - IV</v>
      </c>
      <c r="AI393" s="147">
        <v>1.0</v>
      </c>
      <c r="AJ393" s="147">
        <v>1.0</v>
      </c>
      <c r="AK393" s="147">
        <f>AJ393*8*4^AB393</f>
        <v>8192</v>
      </c>
      <c r="AL393" s="147">
        <f>MIN(ROUNDDOWN(AK393/AN393,0),U393)</f>
        <v>1</v>
      </c>
      <c r="AM393" s="147">
        <f>IF(OR(T393="No",T393=""),AI393*S393,AI393*T393)</f>
        <v>2</v>
      </c>
      <c r="AN393" s="147">
        <f>ROUNDUP(AC393*VLOOKUP(H393,'Machine List'!$A$2:$D$219,4,FALSE),0)</f>
        <v>7680</v>
      </c>
      <c r="AO393" s="147">
        <f>AN393*AM393</f>
        <v>15360</v>
      </c>
      <c r="AP393" s="147">
        <f>ROUNDUP(AD393*I395,0)</f>
        <v>6000</v>
      </c>
      <c r="AQ393" s="38">
        <f>IF(ISNUMBER(Y393),ROUNDUP(AP393/Y393,0),
  SWITCH(
      Y393,
      "1+0.5C",ROUNDUP(AP393/(1+0.5*VLOOKUP(J395,'Machine Helper Sheet'!$G$1:$K$16,2,FALSE)),0),
      ROUNDUP(AP393/1,0)
  )
)</f>
        <v>4000</v>
      </c>
      <c r="AR393" s="147">
        <f>ROUNDUP(AQ393/AM393,0)</f>
        <v>2000</v>
      </c>
      <c r="AS393" s="147">
        <f>AO393*AR393</f>
        <v>30720000</v>
      </c>
      <c r="AT393" s="148"/>
      <c r="AU393" s="147" t="s">
        <v>405</v>
      </c>
      <c r="AV393" s="147">
        <f>VLOOKUP(AU393,'Item Helper Sheet'!$A$2:$B$16,2,FALSE)</f>
        <v>5</v>
      </c>
      <c r="AW393" s="147">
        <f>AI393</f>
        <v>1</v>
      </c>
      <c r="AX393" s="147">
        <v>1.0</v>
      </c>
      <c r="AY393" s="147">
        <f>AX393*8*4^AV393</f>
        <v>8192</v>
      </c>
      <c r="AZ393" s="147">
        <f>MIN(ROUNDDOWN(AY393/AN393,0),X393)</f>
        <v>1</v>
      </c>
      <c r="BA393" s="147">
        <f>AZ393*AW393</f>
        <v>1</v>
      </c>
      <c r="BB393" s="147">
        <f>AN393</f>
        <v>7680</v>
      </c>
      <c r="BC393" s="147">
        <f>MIN(AV393-AB393,IF(AY393&gt;=BB394*4,
IF(AY393&gt;=BB394*4^2,
IF(AY393&gt;=BB394*4^3,
IF(AY393&gt;=BB394*4^4,
IF(AY393&gt;=BB394*4^5,
IF(AY393&gt;=BB394*4^6,
IF(AY393&gt;=BB394*4^7,
IF(AY393&gt;=BB394*4^8,
IF(AY393&gt;=BB394*4^9,
IF(AY393&gt;=BB394*4^10,
9),
8),
7),
6),
5),
4),
3),
2),
1),
0))</f>
        <v>0</v>
      </c>
      <c r="BD393" s="147">
        <f>BB393*AZ393*4^BC393</f>
        <v>7680</v>
      </c>
      <c r="BE393" s="147">
        <f>BD393*AW393</f>
        <v>7680</v>
      </c>
      <c r="BF393" s="143">
        <f>ROUNDUP(IF(R393="Yes",AP393/(2^((BC393)*2)),AP393/(2^(BC393))),0)</f>
        <v>6000</v>
      </c>
      <c r="BG393" s="45">
        <f>IF(ISNUMBER(Y393),ROUNDUP(BF393/Y393,0),
  SWITCH(
      Y393,
      "1+0.5C",ROUNDUP(BF393/(1+0.5*VLOOKUP(J395,'Machine Helper Sheet'!$G$1:$K$16,2,FALSE)),0),
      ROUNDUP(BF393/1,0)
  )
)</f>
        <v>4000</v>
      </c>
      <c r="BH393" s="143">
        <f>ROUNDUP(BG393/BA393,0)</f>
        <v>4000</v>
      </c>
      <c r="BI393" s="149">
        <f>BH393*BE393</f>
        <v>30720000</v>
      </c>
      <c r="BK393" s="22"/>
      <c r="BM393" s="140" t="s">
        <v>769</v>
      </c>
      <c r="BN393" s="6"/>
      <c r="BO393" s="6"/>
      <c r="BP393" s="6"/>
      <c r="BQ393" s="6"/>
      <c r="BR393" s="6"/>
      <c r="BS393" s="6"/>
      <c r="BT393" s="140">
        <v>1.0</v>
      </c>
      <c r="BU393" s="6"/>
      <c r="BV393" s="6"/>
      <c r="BW393" s="6"/>
      <c r="BX393" s="6"/>
      <c r="BY393" s="140">
        <v>1.0</v>
      </c>
      <c r="BZ393" s="140" t="s">
        <v>349</v>
      </c>
      <c r="CA393" s="6">
        <v>3.0</v>
      </c>
      <c r="CB393" s="6"/>
      <c r="CC393" s="6"/>
      <c r="CD393" s="6"/>
      <c r="CE393" s="6"/>
      <c r="CF393" s="6">
        <v>3.0</v>
      </c>
      <c r="CH393" s="140" t="s">
        <v>349</v>
      </c>
      <c r="CI393" s="140">
        <v>96.0</v>
      </c>
      <c r="CJ393" s="6"/>
      <c r="CK393" s="6"/>
      <c r="CL393" s="6"/>
      <c r="CM393" s="140">
        <v>96.0</v>
      </c>
    </row>
    <row r="394">
      <c r="B394" s="150"/>
      <c r="C394" s="151" t="s">
        <v>241</v>
      </c>
      <c r="D394" s="147">
        <f>1000*I395</f>
        <v>2000</v>
      </c>
      <c r="E394" s="147" t="s">
        <v>103</v>
      </c>
      <c r="F394" s="152">
        <f>3000*I395</f>
        <v>6000</v>
      </c>
      <c r="G394" s="138"/>
      <c r="H394" s="153" t="s">
        <v>584</v>
      </c>
      <c r="I394" s="143">
        <f t="array" ref="I394">match(TRUE,ISBLANK(F394:F406),0)-1</f>
        <v>2</v>
      </c>
      <c r="J394" s="154" t="s">
        <v>420</v>
      </c>
      <c r="K394" s="154" t="s">
        <v>585</v>
      </c>
      <c r="L394" s="100" t="s">
        <v>704</v>
      </c>
      <c r="M394" s="147"/>
      <c r="N394" s="147"/>
      <c r="O394" s="147"/>
      <c r="P394" s="147"/>
      <c r="Q394" s="147"/>
      <c r="R394" s="155"/>
      <c r="S394" s="155"/>
      <c r="T394" s="155"/>
      <c r="U394" s="143"/>
      <c r="V394" s="143"/>
      <c r="W394" s="143"/>
      <c r="X394" s="143"/>
      <c r="Y394" s="143"/>
      <c r="Z394" s="143"/>
      <c r="AA394" s="143"/>
      <c r="AB394" s="143"/>
      <c r="AC394" s="143"/>
      <c r="AD394" s="143"/>
      <c r="AE394" s="143"/>
      <c r="AF394" s="143"/>
      <c r="AG394" s="156"/>
      <c r="AH394" s="143"/>
      <c r="AI394" s="143"/>
      <c r="AJ394" s="143"/>
      <c r="AK394" s="143"/>
      <c r="AL394" s="143"/>
      <c r="AM394" s="143"/>
      <c r="AN394" s="143"/>
      <c r="AO394" s="143"/>
      <c r="AP394" s="143"/>
      <c r="AQ394" s="143"/>
      <c r="AR394" s="143"/>
      <c r="AS394" s="143"/>
      <c r="AT394" s="156"/>
      <c r="AU394" s="143"/>
      <c r="AV394" s="143"/>
      <c r="AW394" s="143"/>
      <c r="AX394" s="143"/>
      <c r="AY394" s="143"/>
      <c r="AZ394" s="143"/>
      <c r="BA394" s="143"/>
      <c r="BB394" s="143">
        <f>BB393*AZ393</f>
        <v>7680</v>
      </c>
      <c r="BC394" s="143"/>
      <c r="BD394" s="143"/>
      <c r="BE394" s="143"/>
      <c r="BF394" s="143"/>
      <c r="BG394" s="143"/>
      <c r="BH394" s="143"/>
      <c r="BI394" s="149"/>
      <c r="BK394" s="22"/>
      <c r="BM394" s="140" t="s">
        <v>770</v>
      </c>
      <c r="BN394" s="6"/>
      <c r="BO394" s="6"/>
      <c r="BP394" s="6"/>
      <c r="BQ394" s="6"/>
      <c r="BR394" s="6"/>
      <c r="BS394" s="6"/>
      <c r="BT394" s="140">
        <v>1.0</v>
      </c>
      <c r="BU394" s="6"/>
      <c r="BV394" s="6"/>
      <c r="BW394" s="6"/>
      <c r="BX394" s="6"/>
      <c r="BY394" s="140">
        <v>1.0</v>
      </c>
      <c r="BZ394" s="6" t="s">
        <v>350</v>
      </c>
      <c r="CA394" s="6"/>
      <c r="CB394" s="6"/>
      <c r="CC394" s="6"/>
      <c r="CD394" s="6"/>
      <c r="CE394" s="6">
        <v>1.0</v>
      </c>
      <c r="CF394" s="6">
        <v>1.0</v>
      </c>
      <c r="CH394" s="6" t="s">
        <v>350</v>
      </c>
      <c r="CI394" s="6">
        <v>32768.0</v>
      </c>
      <c r="CJ394" s="6"/>
      <c r="CK394" s="6"/>
      <c r="CL394" s="6"/>
      <c r="CM394" s="6">
        <v>32768.0</v>
      </c>
    </row>
    <row r="395">
      <c r="B395" s="150"/>
      <c r="C395" s="151" t="s">
        <v>225</v>
      </c>
      <c r="D395" s="147">
        <f>1000*I395</f>
        <v>2000</v>
      </c>
      <c r="E395" s="38" t="s">
        <v>91</v>
      </c>
      <c r="F395" s="42">
        <f>2000*I395</f>
        <v>4000</v>
      </c>
      <c r="G395" s="138"/>
      <c r="H395" s="157" t="s">
        <v>502</v>
      </c>
      <c r="I395" s="158">
        <v>2.0</v>
      </c>
      <c r="J395" s="154" t="s">
        <v>427</v>
      </c>
      <c r="K395" s="154">
        <v>0.0</v>
      </c>
      <c r="L395" s="100">
        <v>1.0</v>
      </c>
      <c r="M395" s="143"/>
      <c r="N395" s="143"/>
      <c r="O395" s="143"/>
      <c r="P395" s="143"/>
      <c r="Q395" s="143"/>
      <c r="R395" s="143"/>
      <c r="S395" s="155"/>
      <c r="T395" s="155"/>
      <c r="U395" s="143"/>
      <c r="V395" s="143"/>
      <c r="W395" s="143"/>
      <c r="X395" s="143"/>
      <c r="Y395" s="143"/>
      <c r="Z395" s="143"/>
      <c r="AA395" s="143"/>
      <c r="AB395" s="143"/>
      <c r="AC395" s="143"/>
      <c r="AD395" s="143"/>
      <c r="AE395" s="143"/>
      <c r="AF395" s="143"/>
      <c r="AG395" s="156"/>
      <c r="AH395" s="143"/>
      <c r="AI395" s="143"/>
      <c r="AJ395" s="143"/>
      <c r="AK395" s="143"/>
      <c r="AL395" s="143"/>
      <c r="AM395" s="143"/>
      <c r="AN395" s="143"/>
      <c r="AO395" s="143"/>
      <c r="AP395" s="143"/>
      <c r="AQ395" s="143"/>
      <c r="AR395" s="143"/>
      <c r="AS395" s="143"/>
      <c r="AT395" s="156"/>
      <c r="AU395" s="143"/>
      <c r="AV395" s="143"/>
      <c r="AW395" s="143"/>
      <c r="AX395" s="143"/>
      <c r="AY395" s="143"/>
      <c r="AZ395" s="143"/>
      <c r="BA395" s="143"/>
      <c r="BB395" s="143"/>
      <c r="BC395" s="143"/>
      <c r="BD395" s="143"/>
      <c r="BE395" s="143"/>
      <c r="BF395" s="143"/>
      <c r="BG395" s="143"/>
      <c r="BH395" s="143"/>
      <c r="BI395" s="149"/>
      <c r="BK395" s="22"/>
      <c r="BM395" s="140" t="s">
        <v>771</v>
      </c>
      <c r="BN395" s="6"/>
      <c r="BO395" s="6"/>
      <c r="BP395" s="6"/>
      <c r="BQ395" s="6"/>
      <c r="BR395" s="140">
        <v>1.0</v>
      </c>
      <c r="BS395" s="6"/>
      <c r="BT395" s="6"/>
      <c r="BU395" s="6"/>
      <c r="BV395" s="6"/>
      <c r="BW395" s="6"/>
      <c r="BX395" s="6"/>
      <c r="BY395" s="140">
        <v>1.0</v>
      </c>
      <c r="BZ395" s="140" t="s">
        <v>356</v>
      </c>
      <c r="CA395" s="6"/>
      <c r="CB395" s="6">
        <v>1.0</v>
      </c>
      <c r="CC395" s="6"/>
      <c r="CD395" s="6">
        <v>1.0</v>
      </c>
      <c r="CE395" s="6"/>
      <c r="CF395" s="6">
        <v>2.0</v>
      </c>
      <c r="CH395" s="140" t="s">
        <v>356</v>
      </c>
      <c r="CI395" s="6"/>
      <c r="CJ395" s="140">
        <v>8704.0</v>
      </c>
      <c r="CK395" s="6"/>
      <c r="CL395" s="6"/>
      <c r="CM395" s="140">
        <v>8704.0</v>
      </c>
    </row>
    <row r="396">
      <c r="B396" s="40"/>
      <c r="C396" s="151" t="s">
        <v>87</v>
      </c>
      <c r="D396" s="147">
        <f>2000*I395</f>
        <v>4000</v>
      </c>
      <c r="E396" s="143"/>
      <c r="F396" s="144"/>
      <c r="G396" s="43"/>
      <c r="H396" s="44"/>
      <c r="I396" s="45"/>
      <c r="J396" s="45"/>
      <c r="K396" s="45"/>
      <c r="L396" s="45"/>
      <c r="M396" s="45"/>
      <c r="N396" s="45"/>
      <c r="O396" s="45"/>
      <c r="P396" s="45"/>
      <c r="Q396" s="45"/>
      <c r="R396" s="45"/>
      <c r="S396" s="101"/>
      <c r="T396" s="101"/>
      <c r="U396" s="45"/>
      <c r="V396" s="45"/>
      <c r="W396" s="45"/>
      <c r="X396" s="45"/>
      <c r="Y396" s="45"/>
      <c r="Z396" s="45"/>
      <c r="AA396" s="45"/>
      <c r="AB396" s="45"/>
      <c r="AC396" s="45"/>
      <c r="AD396" s="45"/>
      <c r="AE396" s="45"/>
      <c r="AF396" s="45"/>
      <c r="AG396" s="79"/>
      <c r="AH396" s="45"/>
      <c r="AI396" s="45"/>
      <c r="AJ396" s="45"/>
      <c r="AK396" s="45"/>
      <c r="AL396" s="45"/>
      <c r="AM396" s="45"/>
      <c r="AN396" s="45"/>
      <c r="AO396" s="45"/>
      <c r="AP396" s="45"/>
      <c r="AQ396" s="45"/>
      <c r="AR396" s="45"/>
      <c r="AS396" s="45"/>
      <c r="AT396" s="79"/>
      <c r="AU396" s="45"/>
      <c r="AV396" s="45"/>
      <c r="AW396" s="45"/>
      <c r="AX396" s="45"/>
      <c r="AY396" s="45"/>
      <c r="AZ396" s="45"/>
      <c r="BA396" s="45"/>
      <c r="BB396" s="45"/>
      <c r="BC396" s="45"/>
      <c r="BD396" s="45"/>
      <c r="BE396" s="45"/>
      <c r="BF396" s="45"/>
      <c r="BG396" s="45"/>
      <c r="BH396" s="45"/>
      <c r="BI396" s="46"/>
      <c r="BK396" s="22"/>
      <c r="BM396" s="140" t="s">
        <v>772</v>
      </c>
      <c r="BN396" s="6"/>
      <c r="BO396" s="6"/>
      <c r="BP396" s="6"/>
      <c r="BQ396" s="6"/>
      <c r="BR396" s="6"/>
      <c r="BS396" s="6"/>
      <c r="BT396" s="6"/>
      <c r="BU396" s="6"/>
      <c r="BV396" s="140">
        <v>1.0</v>
      </c>
      <c r="BW396" s="6"/>
      <c r="BX396" s="6"/>
      <c r="BY396" s="140">
        <v>1.0</v>
      </c>
      <c r="BZ396" s="6" t="s">
        <v>363</v>
      </c>
      <c r="CA396" s="6"/>
      <c r="CB396" s="6">
        <v>1.0</v>
      </c>
      <c r="CC396" s="6">
        <v>1.0</v>
      </c>
      <c r="CD396" s="6">
        <v>1.0</v>
      </c>
      <c r="CE396" s="6"/>
      <c r="CF396" s="6">
        <v>3.0</v>
      </c>
      <c r="CH396" s="6" t="s">
        <v>363</v>
      </c>
      <c r="CI396" s="6">
        <v>10752.0</v>
      </c>
      <c r="CJ396" s="6"/>
      <c r="CK396" s="6"/>
      <c r="CL396" s="6"/>
      <c r="CM396" s="6">
        <v>10752.0</v>
      </c>
    </row>
    <row r="397">
      <c r="B397" s="135"/>
      <c r="C397" s="136"/>
      <c r="D397" s="137"/>
      <c r="E397" s="137"/>
      <c r="F397" s="137"/>
      <c r="G397" s="138"/>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c r="AG397" s="138"/>
      <c r="AH397" s="137"/>
      <c r="AI397" s="137"/>
      <c r="AJ397" s="137"/>
      <c r="AK397" s="137"/>
      <c r="AL397" s="137"/>
      <c r="AM397" s="137"/>
      <c r="AN397" s="137"/>
      <c r="AO397" s="137"/>
      <c r="AP397" s="137"/>
      <c r="AQ397" s="137"/>
      <c r="AR397" s="137"/>
      <c r="AS397" s="137"/>
      <c r="AT397" s="138"/>
      <c r="AU397" s="137"/>
      <c r="AV397" s="137"/>
      <c r="AW397" s="137"/>
      <c r="AX397" s="137"/>
      <c r="AY397" s="137"/>
      <c r="AZ397" s="137"/>
      <c r="BA397" s="137"/>
      <c r="BB397" s="137"/>
      <c r="BC397" s="137"/>
      <c r="BD397" s="137"/>
      <c r="BE397" s="137"/>
      <c r="BF397" s="137"/>
      <c r="BG397" s="137"/>
      <c r="BH397" s="137"/>
      <c r="BI397" s="139"/>
      <c r="BK397" s="22"/>
      <c r="BM397" s="6" t="s">
        <v>773</v>
      </c>
      <c r="BN397" s="6"/>
      <c r="BO397" s="6"/>
      <c r="BP397" s="6"/>
      <c r="BQ397" s="6"/>
      <c r="BR397" s="6"/>
      <c r="BS397" s="6"/>
      <c r="BT397" s="6"/>
      <c r="BU397" s="6"/>
      <c r="BV397" s="6"/>
      <c r="BW397" s="6">
        <v>1.0</v>
      </c>
      <c r="BX397" s="6"/>
      <c r="BY397" s="6">
        <v>1.0</v>
      </c>
      <c r="BZ397" s="6" t="s">
        <v>369</v>
      </c>
      <c r="CA397" s="6"/>
      <c r="CB397" s="6"/>
      <c r="CC397" s="6"/>
      <c r="CD397" s="6">
        <v>2.0</v>
      </c>
      <c r="CE397" s="6"/>
      <c r="CF397" s="6">
        <v>2.0</v>
      </c>
      <c r="CH397" s="6" t="s">
        <v>369</v>
      </c>
      <c r="CI397" s="6">
        <v>16384.0</v>
      </c>
      <c r="CJ397" s="6"/>
      <c r="CK397" s="6"/>
      <c r="CL397" s="6"/>
      <c r="CM397" s="6">
        <v>16384.0</v>
      </c>
    </row>
    <row r="398">
      <c r="B398" s="141" t="s">
        <v>778</v>
      </c>
      <c r="C398" s="142"/>
      <c r="D398" s="143"/>
      <c r="E398" s="143"/>
      <c r="F398" s="144"/>
      <c r="G398" s="145"/>
      <c r="H398" s="146" t="s">
        <v>297</v>
      </c>
      <c r="I398" s="147" t="str">
        <f>VLOOKUP(H398,'Machine List'!$A$1:$I$300,9,FALSE)</f>
        <v>1T</v>
      </c>
      <c r="J398" s="147">
        <f>IF(VLOOKUP(H398,'Machine List'!$A$1:$I$300,5,FALSE)="Multi",IF(VLOOKUP(H398,'Machine List'!$A$1:$I$300,6,FALSE)="Yes",AI398*3*10^AB398,AI398*(2*3)*10^(AB398-1)),0)</f>
        <v>0</v>
      </c>
      <c r="K398" s="147">
        <f>J398+IF(ISNUMBER(I398),I398,
  SWITCH(
      I398,
      "1T",1*10^AB398,
      "2T",2*10^AB398,
      "3T",3*10^AB398,
      "4T",4*10^AB398,
      "4000+500(7O-5)",4000+500*(7*I399-5),
      "13500 + 16C",13500+16*VLOOKUP(J400,'Machine Helper Sheet'!$G$1:$K$16,5,FALSE),
      1
  )
)</f>
        <v>10</v>
      </c>
      <c r="L398" s="147">
        <f>IF(VLOOKUP(H398,'Machine List'!$A$1:$I$300,5,FALSE)="Multi",IF(VLOOKUP(H398,'Machine List'!$A$1:$I$300,6,FALSE)="Yes",AW398*3*10^AV398,AW398*(2*3)*10^(AV398-1)),0)</f>
        <v>0</v>
      </c>
      <c r="M398" s="147">
        <f>L398+IF(ISNUMBER(I398),I398,
  SWITCH(
      I398,
      "1T",1*10^AV398,
      "2T",2*10^AV398,
      "3T",3*10^AV398,
      "4T",4*10^AV398,
      "4000+500(7O-5)",4000+500*(7*I399-5),
      1
  )
)</f>
        <v>100000</v>
      </c>
      <c r="N398" s="147" t="str">
        <f>VLOOKUP(H398,'Machine List'!$A$1:$I$300,8,FALSE)</f>
        <v>Tier</v>
      </c>
      <c r="O398" s="147">
        <f>IF(ISNUMBER(N398),N398,10^AB398)</f>
        <v>10</v>
      </c>
      <c r="P398" s="147">
        <f>IF(ISNUMBER(N398),N398,10^AV398)</f>
        <v>100000</v>
      </c>
      <c r="Q398" s="147">
        <f>VLOOKUP(H398,'Machine List'!$A$1:$B$138,2,FALSE)</f>
        <v>1</v>
      </c>
      <c r="R398" s="147" t="s">
        <v>277</v>
      </c>
      <c r="S398" s="143">
        <f>IF(ISNUMBER(Q398),Q398,
  SWITCH(
      Q398,
      "1",1,
      "2T",AB398*2,
      "4T",AB398*4,
      "6T",AB398*6,
      "8T",AB398*8,
      "10T",AB398*10,
      "12T",AB398*12,
      "14T",AB398*14,
      "16T",AB398*16,
      "24T",AB398*24,
      "2(T+1)",2*(AB398+1),
      "1T*C",AB398*J400,
      "2*P",L400*2,
      1
  )
)</f>
        <v>1</v>
      </c>
      <c r="T398" s="38" t="s">
        <v>277</v>
      </c>
      <c r="U398" s="147">
        <f>IF(OR(T398="No",T398=""),S398,T398)</f>
        <v>1</v>
      </c>
      <c r="V398" s="147">
        <f>IF(ISNUMBER(Q398),Q398,
  SWITCH(
      Q398,
      "1",1,
      "2T",AV398*2,
      "4T",AV398*4,
      "6T",AV398*6,
      "8T",AV398*8,
      "10T",AV398*10,
      "12T",AV398*12,
      "14T",AV398*14,
      "16T",AV398*16,
      "24T",AV398*24,
      "2(T+1)",2*(AV398+1),
      "1T*C",AV398*J400,
      "2*P",L400*2,
      1
  )
)</f>
        <v>1</v>
      </c>
      <c r="W398" s="147" t="str">
        <f>T398</f>
        <v>No</v>
      </c>
      <c r="X398" s="147">
        <f>IF(OR(W398="No",W398=""),V398,W398)</f>
        <v>1</v>
      </c>
      <c r="Y398" s="38">
        <f>VLOOKUP(H398,'Machine List'!$A$1:$C$138,3,FALSE)</f>
        <v>1</v>
      </c>
      <c r="Z398" s="38">
        <f>VLOOKUP(H398,'Machine List'!$A$1:$D$138,4,FALSE)</f>
        <v>1</v>
      </c>
      <c r="AA398" s="147" t="s">
        <v>390</v>
      </c>
      <c r="AB398" s="147">
        <f>VLOOKUP(AA398,'Item Helper Sheet'!$A$2:$B$16,2,FALSE)</f>
        <v>1</v>
      </c>
      <c r="AC398" s="147">
        <v>16.0</v>
      </c>
      <c r="AD398" s="147">
        <f>480*20</f>
        <v>9600</v>
      </c>
      <c r="AE398" s="147">
        <f>AD398*I400</f>
        <v>288000</v>
      </c>
      <c r="AF398" s="147">
        <f>AC398*AE398</f>
        <v>4608000</v>
      </c>
      <c r="AG398" s="148"/>
      <c r="AH398" s="147" t="str">
        <f>AA398</f>
        <v>01 - LV</v>
      </c>
      <c r="AI398" s="147">
        <v>1.0</v>
      </c>
      <c r="AJ398" s="147">
        <v>1.0</v>
      </c>
      <c r="AK398" s="147">
        <f>AJ398*8*4^AB398</f>
        <v>32</v>
      </c>
      <c r="AL398" s="147">
        <f>MIN(ROUNDDOWN(AK398/AN398,0),U398)</f>
        <v>1</v>
      </c>
      <c r="AM398" s="147">
        <f>IF(OR(T398="No",T398=""),AI398*S398,AI398*T398)</f>
        <v>1</v>
      </c>
      <c r="AN398" s="147">
        <f>ROUNDUP(AC398*VLOOKUP(H398,'Machine List'!$A$2:$D$219,4,FALSE),0)</f>
        <v>16</v>
      </c>
      <c r="AO398" s="147">
        <f>AN398*AM398</f>
        <v>16</v>
      </c>
      <c r="AP398" s="147">
        <f>ROUNDUP(AD398*I400,0)</f>
        <v>288000</v>
      </c>
      <c r="AQ398" s="38">
        <f>IF(ISNUMBER(Y398),ROUNDUP(AP398/Y398,0),
  SWITCH(
      Y398,
      "1+0.5C",ROUNDUP(AP398/(1+0.5*VLOOKUP(J400,'Machine Helper Sheet'!$G$1:$K$16,2,FALSE)),0),
      ROUNDUP(AP398/1,0)
  )
)</f>
        <v>288000</v>
      </c>
      <c r="AR398" s="147">
        <f>ROUNDUP(AQ398/AM398,0)</f>
        <v>288000</v>
      </c>
      <c r="AS398" s="147">
        <f>AO398*AR398</f>
        <v>4608000</v>
      </c>
      <c r="AT398" s="148"/>
      <c r="AU398" s="147" t="s">
        <v>405</v>
      </c>
      <c r="AV398" s="147">
        <f>VLOOKUP(AU398,'Item Helper Sheet'!$A$2:$B$16,2,FALSE)</f>
        <v>5</v>
      </c>
      <c r="AW398" s="147">
        <f>AI398</f>
        <v>1</v>
      </c>
      <c r="AX398" s="147">
        <v>1.0</v>
      </c>
      <c r="AY398" s="147">
        <f>AX398*8*4^AV398</f>
        <v>8192</v>
      </c>
      <c r="AZ398" s="147">
        <f>MIN(ROUNDDOWN(AY398/AN398,0),X398)</f>
        <v>1</v>
      </c>
      <c r="BA398" s="147">
        <f>AZ398*AW398</f>
        <v>1</v>
      </c>
      <c r="BB398" s="147">
        <f>AN398</f>
        <v>16</v>
      </c>
      <c r="BC398" s="147">
        <f>MIN(AV398-AB398,IF(AY398&gt;=BB399*4,
IF(AY398&gt;=BB399*4^2,
IF(AY398&gt;=BB399*4^3,
IF(AY398&gt;=BB399*4^4,
IF(AY398&gt;=BB399*4^5,
IF(AY398&gt;=BB399*4^6,
IF(AY398&gt;=BB399*4^7,
IF(AY398&gt;=BB399*4^8,
IF(AY398&gt;=BB399*4^9,
IF(AY398&gt;=BB399*4^10,
9),
8),
7),
6),
5),
4),
3),
2),
1),
0))</f>
        <v>4</v>
      </c>
      <c r="BD398" s="147">
        <f>BB398*AZ398*4^BC398</f>
        <v>4096</v>
      </c>
      <c r="BE398" s="147">
        <f>BD398*AW398</f>
        <v>4096</v>
      </c>
      <c r="BF398" s="143">
        <f>ROUNDUP(IF(R398="Yes",AP398/(2^((BC398)*2)),AP398/(2^(BC398))),0)</f>
        <v>18000</v>
      </c>
      <c r="BG398" s="45">
        <f>IF(ISNUMBER(Y398),ROUNDUP(BF398/Y398,0),
  SWITCH(
      Y398,
      "1+0.5C",ROUNDUP(BF398/(1+0.5*VLOOKUP(J400,'Machine Helper Sheet'!$G$1:$K$16,2,FALSE)),0),
      ROUNDUP(BF398/1,0)
  )
)</f>
        <v>18000</v>
      </c>
      <c r="BH398" s="143">
        <f>ROUNDUP(BG398/BA398,0)</f>
        <v>18000</v>
      </c>
      <c r="BI398" s="149">
        <f>BH398*BE398</f>
        <v>73728000</v>
      </c>
      <c r="BK398" s="22"/>
      <c r="BM398" s="140" t="s">
        <v>774</v>
      </c>
      <c r="BN398" s="6"/>
      <c r="BO398" s="6"/>
      <c r="BP398" s="6"/>
      <c r="BQ398" s="6"/>
      <c r="BR398" s="6"/>
      <c r="BS398" s="6"/>
      <c r="BT398" s="140">
        <v>1.0</v>
      </c>
      <c r="BU398" s="6"/>
      <c r="BV398" s="6"/>
      <c r="BW398" s="6"/>
      <c r="BX398" s="6"/>
      <c r="BY398" s="140">
        <v>1.0</v>
      </c>
      <c r="BZ398" s="6" t="s">
        <v>487</v>
      </c>
      <c r="CA398" s="6">
        <v>5.0</v>
      </c>
      <c r="CB398" s="6">
        <v>5.0</v>
      </c>
      <c r="CC398" s="6">
        <v>2.0</v>
      </c>
      <c r="CD398" s="6">
        <v>6.0</v>
      </c>
      <c r="CE398" s="6">
        <v>1.0</v>
      </c>
      <c r="CF398" s="6">
        <v>19.0</v>
      </c>
      <c r="CH398" s="6" t="s">
        <v>487</v>
      </c>
      <c r="CI398" s="6">
        <v>63136.0</v>
      </c>
      <c r="CJ398" s="140">
        <v>8704.0</v>
      </c>
      <c r="CK398" s="140">
        <v>8704.0</v>
      </c>
      <c r="CL398" s="140">
        <v>8192.0</v>
      </c>
      <c r="CM398" s="6">
        <v>88736.0</v>
      </c>
    </row>
    <row r="399">
      <c r="B399" s="150"/>
      <c r="C399" s="151" t="s">
        <v>33</v>
      </c>
      <c r="D399" s="147">
        <f>144*I400</f>
        <v>4320</v>
      </c>
      <c r="E399" s="147" t="s">
        <v>32</v>
      </c>
      <c r="F399" s="152">
        <f>1*I400</f>
        <v>30</v>
      </c>
      <c r="G399" s="138"/>
      <c r="H399" s="153" t="s">
        <v>584</v>
      </c>
      <c r="I399" s="143">
        <f t="array" ref="I399">match(TRUE,ISBLANK(F399:F411),0)-1</f>
        <v>1</v>
      </c>
      <c r="J399" s="154" t="s">
        <v>420</v>
      </c>
      <c r="K399" s="154" t="s">
        <v>585</v>
      </c>
      <c r="L399" s="100" t="s">
        <v>704</v>
      </c>
      <c r="M399" s="147"/>
      <c r="N399" s="147"/>
      <c r="O399" s="147"/>
      <c r="P399" s="147"/>
      <c r="Q399" s="147"/>
      <c r="R399" s="155"/>
      <c r="S399" s="155"/>
      <c r="T399" s="155"/>
      <c r="U399" s="143"/>
      <c r="V399" s="143"/>
      <c r="W399" s="143"/>
      <c r="X399" s="143"/>
      <c r="Y399" s="143"/>
      <c r="Z399" s="143"/>
      <c r="AA399" s="143"/>
      <c r="AB399" s="143"/>
      <c r="AC399" s="143"/>
      <c r="AD399" s="143"/>
      <c r="AE399" s="143"/>
      <c r="AF399" s="143"/>
      <c r="AG399" s="156"/>
      <c r="AH399" s="143"/>
      <c r="AI399" s="143"/>
      <c r="AJ399" s="143"/>
      <c r="AK399" s="143"/>
      <c r="AL399" s="143"/>
      <c r="AM399" s="143"/>
      <c r="AN399" s="143"/>
      <c r="AO399" s="143"/>
      <c r="AP399" s="143"/>
      <c r="AQ399" s="143"/>
      <c r="AR399" s="143"/>
      <c r="AS399" s="143"/>
      <c r="AT399" s="156"/>
      <c r="AU399" s="143"/>
      <c r="AV399" s="143"/>
      <c r="AW399" s="143"/>
      <c r="AX399" s="143"/>
      <c r="AY399" s="143"/>
      <c r="AZ399" s="143"/>
      <c r="BA399" s="143"/>
      <c r="BB399" s="143">
        <f>BB398*AZ398</f>
        <v>16</v>
      </c>
      <c r="BC399" s="143"/>
      <c r="BD399" s="143"/>
      <c r="BE399" s="143"/>
      <c r="BF399" s="143"/>
      <c r="BG399" s="143"/>
      <c r="BH399" s="143"/>
      <c r="BI399" s="149"/>
      <c r="BK399" s="22"/>
      <c r="BM399" s="140" t="s">
        <v>775</v>
      </c>
      <c r="BN399" s="140">
        <v>1.0</v>
      </c>
      <c r="BO399" s="6"/>
      <c r="BP399" s="6"/>
      <c r="BQ399" s="6"/>
      <c r="BR399" s="6"/>
      <c r="BS399" s="6"/>
      <c r="BT399" s="6"/>
      <c r="BU399" s="6"/>
      <c r="BV399" s="6"/>
      <c r="BW399" s="6"/>
      <c r="BX399" s="6"/>
      <c r="BY399" s="140">
        <v>1.0</v>
      </c>
    </row>
    <row r="400">
      <c r="B400" s="150"/>
      <c r="C400" s="151"/>
      <c r="D400" s="147"/>
      <c r="E400" s="147"/>
      <c r="F400" s="152"/>
      <c r="G400" s="138"/>
      <c r="H400" s="157" t="s">
        <v>502</v>
      </c>
      <c r="I400" s="158">
        <v>30.0</v>
      </c>
      <c r="J400" s="154" t="s">
        <v>424</v>
      </c>
      <c r="K400" s="154">
        <v>0.0</v>
      </c>
      <c r="L400" s="100">
        <v>0.0</v>
      </c>
      <c r="M400" s="143"/>
      <c r="N400" s="143"/>
      <c r="O400" s="143"/>
      <c r="P400" s="143"/>
      <c r="Q400" s="143"/>
      <c r="R400" s="143"/>
      <c r="S400" s="155"/>
      <c r="T400" s="155"/>
      <c r="U400" s="143"/>
      <c r="V400" s="143"/>
      <c r="W400" s="143"/>
      <c r="X400" s="143"/>
      <c r="Y400" s="143"/>
      <c r="Z400" s="143"/>
      <c r="AA400" s="143"/>
      <c r="AB400" s="143"/>
      <c r="AC400" s="143"/>
      <c r="AD400" s="143"/>
      <c r="AE400" s="143"/>
      <c r="AF400" s="143"/>
      <c r="AG400" s="156"/>
      <c r="AH400" s="143"/>
      <c r="AI400" s="143"/>
      <c r="AJ400" s="143"/>
      <c r="AK400" s="143"/>
      <c r="AL400" s="143"/>
      <c r="AM400" s="143"/>
      <c r="AN400" s="143"/>
      <c r="AO400" s="143"/>
      <c r="AP400" s="143"/>
      <c r="AQ400" s="143"/>
      <c r="AR400" s="143"/>
      <c r="AS400" s="143"/>
      <c r="AT400" s="156"/>
      <c r="AU400" s="143"/>
      <c r="AV400" s="143"/>
      <c r="AW400" s="143"/>
      <c r="AX400" s="143"/>
      <c r="AY400" s="143"/>
      <c r="AZ400" s="143"/>
      <c r="BA400" s="143"/>
      <c r="BB400" s="143"/>
      <c r="BC400" s="143"/>
      <c r="BD400" s="143"/>
      <c r="BE400" s="143"/>
      <c r="BF400" s="143"/>
      <c r="BG400" s="143"/>
      <c r="BH400" s="143"/>
      <c r="BI400" s="149"/>
      <c r="BK400" s="22"/>
      <c r="BM400" s="140" t="s">
        <v>776</v>
      </c>
      <c r="BN400" s="6"/>
      <c r="BO400" s="6"/>
      <c r="BP400" s="6"/>
      <c r="BQ400" s="6"/>
      <c r="BR400" s="6"/>
      <c r="BS400" s="140">
        <v>1.0</v>
      </c>
      <c r="BT400" s="6"/>
      <c r="BU400" s="6"/>
      <c r="BV400" s="6"/>
      <c r="BW400" s="6"/>
      <c r="BX400" s="6"/>
      <c r="BY400" s="140">
        <v>1.0</v>
      </c>
    </row>
    <row r="401">
      <c r="B401" s="135"/>
      <c r="C401" s="136"/>
      <c r="D401" s="137"/>
      <c r="E401" s="137"/>
      <c r="F401" s="137"/>
      <c r="G401" s="138"/>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c r="AG401" s="138"/>
      <c r="AH401" s="137"/>
      <c r="AI401" s="137"/>
      <c r="AJ401" s="137"/>
      <c r="AK401" s="137"/>
      <c r="AL401" s="137"/>
      <c r="AM401" s="137"/>
      <c r="AN401" s="137"/>
      <c r="AO401" s="137"/>
      <c r="AP401" s="137"/>
      <c r="AQ401" s="137"/>
      <c r="AR401" s="137"/>
      <c r="AS401" s="137"/>
      <c r="AT401" s="138"/>
      <c r="AU401" s="137"/>
      <c r="AV401" s="137"/>
      <c r="AW401" s="137"/>
      <c r="AX401" s="137"/>
      <c r="AY401" s="137"/>
      <c r="AZ401" s="137"/>
      <c r="BA401" s="137"/>
      <c r="BB401" s="137"/>
      <c r="BC401" s="137"/>
      <c r="BD401" s="137"/>
      <c r="BE401" s="137"/>
      <c r="BF401" s="137"/>
      <c r="BG401" s="137"/>
      <c r="BH401" s="137"/>
      <c r="BI401" s="139"/>
      <c r="BK401" s="22"/>
      <c r="BM401" s="140" t="s">
        <v>777</v>
      </c>
      <c r="BN401" s="140">
        <v>1.0</v>
      </c>
      <c r="BO401" s="6"/>
      <c r="BP401" s="6"/>
      <c r="BQ401" s="6"/>
      <c r="BR401" s="6"/>
      <c r="BS401" s="6"/>
      <c r="BT401" s="6"/>
      <c r="BU401" s="6"/>
      <c r="BV401" s="6"/>
      <c r="BW401" s="6"/>
      <c r="BX401" s="6"/>
      <c r="BY401" s="140">
        <v>1.0</v>
      </c>
      <c r="BZ401" s="6" t="s">
        <v>705</v>
      </c>
      <c r="CA401" s="6" t="s">
        <v>468</v>
      </c>
      <c r="CB401" s="6"/>
      <c r="CC401" s="6"/>
      <c r="CH401" s="6" t="s">
        <v>571</v>
      </c>
      <c r="CI401" s="6" t="s">
        <v>694</v>
      </c>
      <c r="CJ401" s="6"/>
      <c r="CK401" s="6"/>
      <c r="CL401" s="6"/>
      <c r="CM401" s="6"/>
    </row>
    <row r="402">
      <c r="B402" s="141" t="s">
        <v>779</v>
      </c>
      <c r="C402" s="142"/>
      <c r="D402" s="143"/>
      <c r="E402" s="143"/>
      <c r="F402" s="144"/>
      <c r="G402" s="145"/>
      <c r="H402" s="146" t="s">
        <v>297</v>
      </c>
      <c r="I402" s="147" t="str">
        <f>VLOOKUP(H402,'Machine List'!$A$1:$I$300,9,FALSE)</f>
        <v>1T</v>
      </c>
      <c r="J402" s="147">
        <f>IF(VLOOKUP(H402,'Machine List'!$A$1:$I$300,5,FALSE)="Multi",IF(VLOOKUP(H402,'Machine List'!$A$1:$I$300,6,FALSE)="Yes",AI402*3*10^AB402,AI402*(2*3)*10^(AB402-1)),0)</f>
        <v>0</v>
      </c>
      <c r="K402" s="147">
        <f>J402+IF(ISNUMBER(I402),I402,
  SWITCH(
      I402,
      "1T",1*10^AB402,
      "2T",2*10^AB402,
      "3T",3*10^AB402,
      "4T",4*10^AB402,
      "4000+500(7O-5)",4000+500*(7*I403-5),
      "13500 + 16C",13500+16*VLOOKUP(J404,'Machine Helper Sheet'!$G$1:$K$16,5,FALSE),
      1
  )
)</f>
        <v>10</v>
      </c>
      <c r="L402" s="147">
        <f>IF(VLOOKUP(H402,'Machine List'!$A$1:$I$300,5,FALSE)="Multi",IF(VLOOKUP(H402,'Machine List'!$A$1:$I$300,6,FALSE)="Yes",AW402*3*10^AV402,AW402*(2*3)*10^(AV402-1)),0)</f>
        <v>0</v>
      </c>
      <c r="M402" s="147">
        <f>L402+IF(ISNUMBER(I402),I402,
  SWITCH(
      I402,
      "1T",1*10^AV402,
      "2T",2*10^AV402,
      "3T",3*10^AV402,
      "4T",4*10^AV402,
      "4000+500(7O-5)",4000+500*(7*I403-5),
      1
  )
)</f>
        <v>100000</v>
      </c>
      <c r="N402" s="147" t="str">
        <f>VLOOKUP(H402,'Machine List'!$A$1:$I$300,8,FALSE)</f>
        <v>Tier</v>
      </c>
      <c r="O402" s="147">
        <f>IF(ISNUMBER(N402),N402,10^AB402)</f>
        <v>10</v>
      </c>
      <c r="P402" s="147">
        <f>IF(ISNUMBER(N402),N402,10^AV402)</f>
        <v>100000</v>
      </c>
      <c r="Q402" s="147">
        <f>VLOOKUP(H402,'Machine List'!$A$1:$B$138,2,FALSE)</f>
        <v>1</v>
      </c>
      <c r="R402" s="147" t="s">
        <v>277</v>
      </c>
      <c r="S402" s="143">
        <f>IF(ISNUMBER(Q402),Q402,
  SWITCH(
      Q402,
      "1",1,
      "2T",AB402*2,
      "4T",AB402*4,
      "6T",AB402*6,
      "8T",AB402*8,
      "10T",AB402*10,
      "12T",AB402*12,
      "14T",AB402*14,
      "16T",AB402*16,
      "24T",AB402*24,
      "2(T+1)",2*(AB402+1),
      "1T*C",AB402*J404,
      "2*P",L404*2,
      1
  )
)</f>
        <v>1</v>
      </c>
      <c r="T402" s="38" t="s">
        <v>277</v>
      </c>
      <c r="U402" s="147">
        <f>IF(OR(T402="No",T402=""),S402,T402)</f>
        <v>1</v>
      </c>
      <c r="V402" s="147">
        <f>IF(ISNUMBER(Q402),Q402,
  SWITCH(
      Q402,
      "1",1,
      "2T",AV402*2,
      "4T",AV402*4,
      "6T",AV402*6,
      "8T",AV402*8,
      "10T",AV402*10,
      "12T",AV402*12,
      "14T",AV402*14,
      "16T",AV402*16,
      "24T",AV402*24,
      "2(T+1)",2*(AV402+1),
      "1T*C",AV402*J404,
      "2*P",L404*2,
      1
  )
)</f>
        <v>1</v>
      </c>
      <c r="W402" s="147" t="str">
        <f>T402</f>
        <v>No</v>
      </c>
      <c r="X402" s="147">
        <f>IF(OR(W402="No",W402=""),V402,W402)</f>
        <v>1</v>
      </c>
      <c r="Y402" s="38">
        <f>VLOOKUP(H402,'Machine List'!$A$1:$C$138,3,FALSE)</f>
        <v>1</v>
      </c>
      <c r="Z402" s="38">
        <f>VLOOKUP(H402,'Machine List'!$A$1:$D$138,4,FALSE)</f>
        <v>1</v>
      </c>
      <c r="AA402" s="147" t="s">
        <v>390</v>
      </c>
      <c r="AB402" s="147">
        <f>VLOOKUP(AA402,'Item Helper Sheet'!$A$2:$B$16,2,FALSE)</f>
        <v>1</v>
      </c>
      <c r="AC402" s="147">
        <v>16.0</v>
      </c>
      <c r="AD402" s="147">
        <f>480*20</f>
        <v>9600</v>
      </c>
      <c r="AE402" s="147">
        <f>AD402*I404</f>
        <v>384000</v>
      </c>
      <c r="AF402" s="147">
        <f>AC402*AE402</f>
        <v>6144000</v>
      </c>
      <c r="AG402" s="148"/>
      <c r="AH402" s="147" t="str">
        <f>AA402</f>
        <v>01 - LV</v>
      </c>
      <c r="AI402" s="147">
        <v>1.0</v>
      </c>
      <c r="AJ402" s="147">
        <v>1.0</v>
      </c>
      <c r="AK402" s="147">
        <f>AJ402*8*4^AB402</f>
        <v>32</v>
      </c>
      <c r="AL402" s="147">
        <f>MIN(ROUNDDOWN(AK402/AN402,0),U402)</f>
        <v>1</v>
      </c>
      <c r="AM402" s="147">
        <f>IF(OR(T402="No",T402=""),AI402*S402,AI402*T402)</f>
        <v>1</v>
      </c>
      <c r="AN402" s="147">
        <f>ROUNDUP(AC402*VLOOKUP(H402,'Machine List'!$A$2:$D$219,4,FALSE),0)</f>
        <v>16</v>
      </c>
      <c r="AO402" s="147">
        <f>AN402*AM402</f>
        <v>16</v>
      </c>
      <c r="AP402" s="147">
        <f>ROUNDUP(AD402*I404,0)</f>
        <v>384000</v>
      </c>
      <c r="AQ402" s="38">
        <f>IF(ISNUMBER(Y402),ROUNDUP(AP402/Y402,0),
  SWITCH(
      Y402,
      "1+0.5C",ROUNDUP(AP402/(1+0.5*VLOOKUP(J404,'Machine Helper Sheet'!$G$1:$K$16,2,FALSE)),0),
      ROUNDUP(AP402/1,0)
  )
)</f>
        <v>384000</v>
      </c>
      <c r="AR402" s="147">
        <f>ROUNDUP(AQ402/AM402,0)</f>
        <v>384000</v>
      </c>
      <c r="AS402" s="147">
        <f>AO402*AR402</f>
        <v>6144000</v>
      </c>
      <c r="AT402" s="148"/>
      <c r="AU402" s="147" t="s">
        <v>405</v>
      </c>
      <c r="AV402" s="147">
        <f>VLOOKUP(AU402,'Item Helper Sheet'!$A$2:$B$16,2,FALSE)</f>
        <v>5</v>
      </c>
      <c r="AW402" s="147">
        <f>AI402</f>
        <v>1</v>
      </c>
      <c r="AX402" s="147">
        <v>1.0</v>
      </c>
      <c r="AY402" s="147">
        <f>AX402*8*4^AV402</f>
        <v>8192</v>
      </c>
      <c r="AZ402" s="147">
        <f>MIN(ROUNDDOWN(AY402/AN402,0),X402)</f>
        <v>1</v>
      </c>
      <c r="BA402" s="147">
        <f>AZ402*AW402</f>
        <v>1</v>
      </c>
      <c r="BB402" s="147">
        <f>AN402</f>
        <v>16</v>
      </c>
      <c r="BC402" s="147">
        <f>MIN(AV402-AB402,IF(AY402&gt;=BB403*4,
IF(AY402&gt;=BB403*4^2,
IF(AY402&gt;=BB403*4^3,
IF(AY402&gt;=BB403*4^4,
IF(AY402&gt;=BB403*4^5,
IF(AY402&gt;=BB403*4^6,
IF(AY402&gt;=BB403*4^7,
IF(AY402&gt;=BB403*4^8,
IF(AY402&gt;=BB403*4^9,
IF(AY402&gt;=BB403*4^10,
9),
8),
7),
6),
5),
4),
3),
2),
1),
0))</f>
        <v>4</v>
      </c>
      <c r="BD402" s="147">
        <f>BB402*AZ402*4^BC402</f>
        <v>4096</v>
      </c>
      <c r="BE402" s="147">
        <f>BD402*AW402</f>
        <v>4096</v>
      </c>
      <c r="BF402" s="143">
        <f>ROUNDUP(IF(R402="Yes",AP402/(2^((BC402)*2)),AP402/(2^(BC402))),0)</f>
        <v>24000</v>
      </c>
      <c r="BG402" s="45">
        <f>IF(ISNUMBER(Y402),ROUNDUP(BF402/Y402,0),
  SWITCH(
      Y402,
      "1+0.5C",ROUNDUP(BF402/(1+0.5*VLOOKUP(J404,'Machine Helper Sheet'!$G$1:$K$16,2,FALSE)),0),
      ROUNDUP(BF402/1,0)
  )
)</f>
        <v>24000</v>
      </c>
      <c r="BH402" s="143">
        <f>ROUNDUP(BG402/BA402,0)</f>
        <v>24000</v>
      </c>
      <c r="BI402" s="149">
        <f>BH402*BE402</f>
        <v>98304000</v>
      </c>
      <c r="BK402" s="22"/>
      <c r="BM402" s="140" t="s">
        <v>778</v>
      </c>
      <c r="BN402" s="6"/>
      <c r="BO402" s="140">
        <v>1.0</v>
      </c>
      <c r="BP402" s="6"/>
      <c r="BQ402" s="6"/>
      <c r="BR402" s="6"/>
      <c r="BS402" s="6"/>
      <c r="BT402" s="6"/>
      <c r="BU402" s="6"/>
      <c r="BV402" s="6"/>
      <c r="BW402" s="6"/>
      <c r="BX402" s="6"/>
      <c r="BY402" s="140">
        <v>1.0</v>
      </c>
      <c r="BZ402" s="6" t="s">
        <v>462</v>
      </c>
      <c r="CA402" s="140" t="s">
        <v>405</v>
      </c>
      <c r="CB402" s="6" t="s">
        <v>408</v>
      </c>
      <c r="CC402" s="6" t="s">
        <v>487</v>
      </c>
      <c r="CH402" s="6" t="s">
        <v>462</v>
      </c>
      <c r="CI402" s="6">
        <v>1.0</v>
      </c>
      <c r="CJ402" s="6">
        <v>2.5</v>
      </c>
      <c r="CK402" s="6" t="s">
        <v>378</v>
      </c>
      <c r="CL402" s="6" t="e">
        <v>#N/A</v>
      </c>
      <c r="CM402" s="6" t="s">
        <v>487</v>
      </c>
    </row>
    <row r="403">
      <c r="B403" s="150"/>
      <c r="C403" s="151" t="s">
        <v>109</v>
      </c>
      <c r="D403" s="147">
        <f>144*I404</f>
        <v>5760</v>
      </c>
      <c r="E403" s="147" t="s">
        <v>108</v>
      </c>
      <c r="F403" s="152">
        <f>1*I404</f>
        <v>40</v>
      </c>
      <c r="G403" s="138"/>
      <c r="H403" s="153" t="s">
        <v>584</v>
      </c>
      <c r="I403" s="143">
        <f t="array" ref="I403">match(TRUE,ISBLANK(F403:F415),0)-1</f>
        <v>1</v>
      </c>
      <c r="J403" s="154" t="s">
        <v>420</v>
      </c>
      <c r="K403" s="154" t="s">
        <v>585</v>
      </c>
      <c r="L403" s="100" t="s">
        <v>704</v>
      </c>
      <c r="M403" s="147"/>
      <c r="N403" s="147"/>
      <c r="O403" s="147"/>
      <c r="P403" s="147"/>
      <c r="Q403" s="147"/>
      <c r="R403" s="155"/>
      <c r="S403" s="155"/>
      <c r="T403" s="155"/>
      <c r="U403" s="143"/>
      <c r="V403" s="143"/>
      <c r="W403" s="143"/>
      <c r="X403" s="143"/>
      <c r="Y403" s="143"/>
      <c r="Z403" s="143"/>
      <c r="AA403" s="143"/>
      <c r="AB403" s="143"/>
      <c r="AC403" s="143"/>
      <c r="AD403" s="143"/>
      <c r="AE403" s="143"/>
      <c r="AF403" s="143"/>
      <c r="AG403" s="156"/>
      <c r="AH403" s="143"/>
      <c r="AI403" s="143"/>
      <c r="AJ403" s="143"/>
      <c r="AK403" s="143"/>
      <c r="AL403" s="143"/>
      <c r="AM403" s="143"/>
      <c r="AN403" s="143"/>
      <c r="AO403" s="143"/>
      <c r="AP403" s="143"/>
      <c r="AQ403" s="143"/>
      <c r="AR403" s="143"/>
      <c r="AS403" s="143"/>
      <c r="AT403" s="156"/>
      <c r="AU403" s="143"/>
      <c r="AV403" s="143"/>
      <c r="AW403" s="143"/>
      <c r="AX403" s="143"/>
      <c r="AY403" s="143"/>
      <c r="AZ403" s="143"/>
      <c r="BA403" s="143"/>
      <c r="BB403" s="143">
        <f>BB402*AZ402</f>
        <v>16</v>
      </c>
      <c r="BC403" s="143"/>
      <c r="BD403" s="143"/>
      <c r="BE403" s="143"/>
      <c r="BF403" s="143"/>
      <c r="BG403" s="143"/>
      <c r="BH403" s="143"/>
      <c r="BI403" s="149"/>
      <c r="BK403" s="22"/>
      <c r="BM403" s="140" t="s">
        <v>779</v>
      </c>
      <c r="BN403" s="6"/>
      <c r="BO403" s="140">
        <v>1.0</v>
      </c>
      <c r="BP403" s="6"/>
      <c r="BQ403" s="6"/>
      <c r="BR403" s="6"/>
      <c r="BS403" s="6"/>
      <c r="BT403" s="6"/>
      <c r="BU403" s="6"/>
      <c r="BV403" s="6"/>
      <c r="BW403" s="6"/>
      <c r="BX403" s="6"/>
      <c r="BY403" s="140">
        <v>1.0</v>
      </c>
      <c r="BZ403" s="140" t="s">
        <v>376</v>
      </c>
      <c r="CA403" s="6">
        <v>2.0</v>
      </c>
      <c r="CB403" s="6"/>
      <c r="CC403" s="6">
        <v>2.0</v>
      </c>
      <c r="CH403" s="140" t="s">
        <v>376</v>
      </c>
      <c r="CI403" s="6"/>
      <c r="CJ403" s="6"/>
      <c r="CK403" s="140">
        <v>16384.0</v>
      </c>
      <c r="CL403" s="6"/>
      <c r="CM403" s="140">
        <v>16384.0</v>
      </c>
    </row>
    <row r="404">
      <c r="B404" s="150"/>
      <c r="C404" s="151"/>
      <c r="D404" s="147"/>
      <c r="E404" s="147"/>
      <c r="F404" s="152"/>
      <c r="G404" s="138"/>
      <c r="H404" s="157" t="s">
        <v>502</v>
      </c>
      <c r="I404" s="158">
        <v>40.0</v>
      </c>
      <c r="J404" s="154" t="s">
        <v>424</v>
      </c>
      <c r="K404" s="154">
        <v>0.0</v>
      </c>
      <c r="L404" s="100">
        <v>0.0</v>
      </c>
      <c r="M404" s="143"/>
      <c r="N404" s="143"/>
      <c r="O404" s="143"/>
      <c r="P404" s="143"/>
      <c r="Q404" s="143"/>
      <c r="R404" s="143"/>
      <c r="S404" s="155"/>
      <c r="T404" s="155"/>
      <c r="U404" s="143"/>
      <c r="V404" s="143"/>
      <c r="W404" s="143"/>
      <c r="X404" s="143"/>
      <c r="Y404" s="143"/>
      <c r="Z404" s="143"/>
      <c r="AA404" s="143"/>
      <c r="AB404" s="143"/>
      <c r="AC404" s="143"/>
      <c r="AD404" s="143"/>
      <c r="AE404" s="143"/>
      <c r="AF404" s="143"/>
      <c r="AG404" s="156"/>
      <c r="AH404" s="143"/>
      <c r="AI404" s="143"/>
      <c r="AJ404" s="143"/>
      <c r="AK404" s="143"/>
      <c r="AL404" s="143"/>
      <c r="AM404" s="143"/>
      <c r="AN404" s="143"/>
      <c r="AO404" s="143"/>
      <c r="AP404" s="143"/>
      <c r="AQ404" s="143"/>
      <c r="AR404" s="143"/>
      <c r="AS404" s="143"/>
      <c r="AT404" s="156"/>
      <c r="AU404" s="143"/>
      <c r="AV404" s="143"/>
      <c r="AW404" s="143"/>
      <c r="AX404" s="143"/>
      <c r="AY404" s="143"/>
      <c r="AZ404" s="143"/>
      <c r="BA404" s="143"/>
      <c r="BB404" s="143"/>
      <c r="BC404" s="143"/>
      <c r="BD404" s="143"/>
      <c r="BE404" s="143"/>
      <c r="BF404" s="143"/>
      <c r="BG404" s="143"/>
      <c r="BH404" s="143"/>
      <c r="BI404" s="149"/>
      <c r="BK404" s="22"/>
      <c r="BM404" s="140" t="s">
        <v>780</v>
      </c>
      <c r="BN404" s="6"/>
      <c r="BO404" s="6"/>
      <c r="BP404" s="140">
        <v>1.0</v>
      </c>
      <c r="BQ404" s="6"/>
      <c r="BR404" s="6"/>
      <c r="BS404" s="6"/>
      <c r="BT404" s="6"/>
      <c r="BU404" s="6"/>
      <c r="BV404" s="6"/>
      <c r="BW404" s="6"/>
      <c r="BX404" s="6"/>
      <c r="BY404" s="140">
        <v>1.0</v>
      </c>
      <c r="BZ404" s="140" t="s">
        <v>297</v>
      </c>
      <c r="CA404" s="6">
        <v>2.0</v>
      </c>
      <c r="CB404" s="6"/>
      <c r="CC404" s="6">
        <v>2.0</v>
      </c>
      <c r="CH404" s="140" t="s">
        <v>297</v>
      </c>
      <c r="CI404" s="140">
        <v>16384.0</v>
      </c>
      <c r="CJ404" s="6"/>
      <c r="CK404" s="6"/>
      <c r="CL404" s="6"/>
      <c r="CM404" s="140">
        <v>16384.0</v>
      </c>
    </row>
    <row r="405">
      <c r="B405" s="135"/>
      <c r="C405" s="136"/>
      <c r="D405" s="137"/>
      <c r="E405" s="137"/>
      <c r="F405" s="137"/>
      <c r="G405" s="138"/>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c r="AG405" s="138"/>
      <c r="AH405" s="137"/>
      <c r="AI405" s="137"/>
      <c r="AJ405" s="137"/>
      <c r="AK405" s="137"/>
      <c r="AL405" s="137"/>
      <c r="AM405" s="137"/>
      <c r="AN405" s="137"/>
      <c r="AO405" s="137"/>
      <c r="AP405" s="137"/>
      <c r="AQ405" s="137"/>
      <c r="AR405" s="137"/>
      <c r="AS405" s="137"/>
      <c r="AT405" s="138"/>
      <c r="AU405" s="137"/>
      <c r="AV405" s="137"/>
      <c r="AW405" s="137"/>
      <c r="AX405" s="137"/>
      <c r="AY405" s="137"/>
      <c r="AZ405" s="137"/>
      <c r="BA405" s="137"/>
      <c r="BB405" s="137"/>
      <c r="BC405" s="137"/>
      <c r="BD405" s="137"/>
      <c r="BE405" s="137"/>
      <c r="BF405" s="137"/>
      <c r="BG405" s="137"/>
      <c r="BH405" s="137"/>
      <c r="BI405" s="139"/>
      <c r="BK405" s="22"/>
      <c r="BM405" s="140" t="s">
        <v>781</v>
      </c>
      <c r="BN405" s="6"/>
      <c r="BO405" s="6"/>
      <c r="BP405" s="6"/>
      <c r="BQ405" s="140">
        <v>1.0</v>
      </c>
      <c r="BR405" s="6"/>
      <c r="BS405" s="6"/>
      <c r="BT405" s="6"/>
      <c r="BU405" s="6"/>
      <c r="BV405" s="6"/>
      <c r="BW405" s="6"/>
      <c r="BX405" s="6"/>
      <c r="BY405" s="140">
        <v>1.0</v>
      </c>
      <c r="BZ405" s="140" t="s">
        <v>301</v>
      </c>
      <c r="CA405" s="6">
        <v>1.0</v>
      </c>
      <c r="CB405" s="6"/>
      <c r="CC405" s="6">
        <v>1.0</v>
      </c>
      <c r="CH405" s="140" t="s">
        <v>301</v>
      </c>
      <c r="CI405" s="140">
        <v>8192.0</v>
      </c>
      <c r="CJ405" s="6"/>
      <c r="CK405" s="6"/>
      <c r="CL405" s="6"/>
      <c r="CM405" s="140">
        <v>8192.0</v>
      </c>
    </row>
    <row r="406">
      <c r="B406" s="141" t="s">
        <v>780</v>
      </c>
      <c r="C406" s="142"/>
      <c r="D406" s="143"/>
      <c r="E406" s="143"/>
      <c r="F406" s="144"/>
      <c r="G406" s="145"/>
      <c r="H406" s="146" t="s">
        <v>301</v>
      </c>
      <c r="I406" s="147">
        <f>VLOOKUP(H406,'Machine List'!$A$1:$I$300,9,FALSE)</f>
        <v>1000</v>
      </c>
      <c r="J406" s="147">
        <f>IF(VLOOKUP(H406,'Machine List'!$A$1:$I$300,5,FALSE)="Multi",IF(VLOOKUP(H406,'Machine List'!$A$1:$I$300,6,FALSE)="Yes",AI406*3*10^AB406,AI406*(2*3)*10^(AB406-1)),0)</f>
        <v>6000</v>
      </c>
      <c r="K406" s="147">
        <f>J406+IF(ISNUMBER(I406),I406,
  SWITCH(
      I406,
      "1T",1*10^AB406,
      "2T",2*10^AB406,
      "3T",3*10^AB406,
      "4T",4*10^AB406,
      "4000+500(7O-5)",4000+500*(7*I407-5),
      "13500 + 16C",13500+16*VLOOKUP(J408,'Machine Helper Sheet'!$G$1:$K$16,5,FALSE),
      1
  )
)</f>
        <v>7000</v>
      </c>
      <c r="L406" s="147">
        <f>IF(VLOOKUP(H406,'Machine List'!$A$1:$I$300,5,FALSE)="Multi",IF(VLOOKUP(H406,'Machine List'!$A$1:$I$300,6,FALSE)="Yes",AW406*3*10^AV406,AW406*(2*3)*10^(AV406-1)),0)</f>
        <v>60000</v>
      </c>
      <c r="M406" s="147">
        <f>L406+IF(ISNUMBER(I406),I406,
  SWITCH(
      I406,
      "1T",1*10^AV406,
      "2T",2*10^AV406,
      "3T",3*10^AV406,
      "4T",4*10^AV406,
      "4000+500(7O-5)",4000+500*(7*I407-5),
      1
  )
)</f>
        <v>61000</v>
      </c>
      <c r="N406" s="147" t="str">
        <f>VLOOKUP(H406,'Machine List'!$A$1:$I$300,8,FALSE)</f>
        <v>Tier</v>
      </c>
      <c r="O406" s="147">
        <f>IF(ISNUMBER(N406),N406,10^AB406)</f>
        <v>10000</v>
      </c>
      <c r="P406" s="147">
        <f>IF(ISNUMBER(N406),N406,10^AV406)</f>
        <v>100000</v>
      </c>
      <c r="Q406" s="147">
        <f>VLOOKUP(H406,'Machine List'!$A$1:$B$138,2,FALSE)</f>
        <v>1</v>
      </c>
      <c r="R406" s="147" t="s">
        <v>277</v>
      </c>
      <c r="S406" s="143">
        <f>IF(ISNUMBER(Q406),Q406,
  SWITCH(
      Q406,
      "1",1,
      "2T",AB406*2,
      "4T",AB406*4,
      "6T",AB406*6,
      "8T",AB406*8,
      "10T",AB406*10,
      "12T",AB406*12,
      "14T",AB406*14,
      "16T",AB406*16,
      "24T",AB406*24,
      "2(T+1)",2*(AB406+1),
      "1T*C",AB406*J408,
      "2*P",L408*2,
      1
  )
)</f>
        <v>1</v>
      </c>
      <c r="T406" s="38" t="s">
        <v>277</v>
      </c>
      <c r="U406" s="147">
        <f>IF(OR(T406="No",T406=""),S406,T406)</f>
        <v>1</v>
      </c>
      <c r="V406" s="147">
        <f>IF(ISNUMBER(Q406),Q406,
  SWITCH(
      Q406,
      "1",1,
      "2T",AV406*2,
      "4T",AV406*4,
      "6T",AV406*6,
      "8T",AV406*8,
      "10T",AV406*10,
      "12T",AV406*12,
      "14T",AV406*14,
      "16T",AV406*16,
      "24T",AV406*24,
      "2(T+1)",2*(AV406+1),
      "1T*C",AV406*J408,
      "2*P",L408*2,
      1
  )
)</f>
        <v>1</v>
      </c>
      <c r="W406" s="147" t="str">
        <f>T406</f>
        <v>No</v>
      </c>
      <c r="X406" s="147">
        <f>IF(OR(W406="No",W406=""),V406,W406)</f>
        <v>1</v>
      </c>
      <c r="Y406" s="38">
        <f>VLOOKUP(H406,'Machine List'!$A$1:$C$138,3,FALSE)</f>
        <v>1</v>
      </c>
      <c r="Z406" s="38">
        <f>VLOOKUP(H406,'Machine List'!$A$1:$D$138,4,FALSE)</f>
        <v>1</v>
      </c>
      <c r="AA406" s="147" t="s">
        <v>401</v>
      </c>
      <c r="AB406" s="147">
        <f>VLOOKUP(AA406,'Item Helper Sheet'!$A$2:$B$16,2,FALSE)</f>
        <v>4</v>
      </c>
      <c r="AC406" s="147">
        <v>1920.0</v>
      </c>
      <c r="AD406" s="147">
        <f>140*20</f>
        <v>2800</v>
      </c>
      <c r="AE406" s="147">
        <f>AD406*I408</f>
        <v>28000</v>
      </c>
      <c r="AF406" s="147">
        <f>AC406*AE406</f>
        <v>53760000</v>
      </c>
      <c r="AG406" s="148"/>
      <c r="AH406" s="147" t="str">
        <f>AA406</f>
        <v>04 - EV</v>
      </c>
      <c r="AI406" s="147">
        <v>1.0</v>
      </c>
      <c r="AJ406" s="147">
        <v>1.0</v>
      </c>
      <c r="AK406" s="147">
        <f>AJ406*8*4^AB406</f>
        <v>2048</v>
      </c>
      <c r="AL406" s="147">
        <f>MIN(ROUNDDOWN(AK406/AN406,0),U406)</f>
        <v>1</v>
      </c>
      <c r="AM406" s="147">
        <f>IF(OR(T406="No",T406=""),AI406*S406,AI406*T406)</f>
        <v>1</v>
      </c>
      <c r="AN406" s="147">
        <f>ROUNDUP(AC406*VLOOKUP(H406,'Machine List'!$A$2:$D$219,4,FALSE),0)</f>
        <v>1920</v>
      </c>
      <c r="AO406" s="147">
        <f>AN406*AM406</f>
        <v>1920</v>
      </c>
      <c r="AP406" s="147">
        <f>ROUNDUP(AD406*I408,0)</f>
        <v>28000</v>
      </c>
      <c r="AQ406" s="38">
        <f>IF(ISNUMBER(Y406),ROUNDUP(AP406/Y406,0),
  SWITCH(
      Y406,
      "1+0.5C",ROUNDUP(AP406/(1+0.5*VLOOKUP(J408,'Machine Helper Sheet'!$G$1:$K$16,2,FALSE)),0),
      ROUNDUP(AP406/1,0)
  )
)</f>
        <v>28000</v>
      </c>
      <c r="AR406" s="147">
        <f>ROUNDUP(AQ406/AM406,0)</f>
        <v>28000</v>
      </c>
      <c r="AS406" s="147">
        <f>AO406*AR406</f>
        <v>53760000</v>
      </c>
      <c r="AT406" s="148"/>
      <c r="AU406" s="147" t="s">
        <v>405</v>
      </c>
      <c r="AV406" s="147">
        <f>VLOOKUP(AU406,'Item Helper Sheet'!$A$2:$B$16,2,FALSE)</f>
        <v>5</v>
      </c>
      <c r="AW406" s="147">
        <f>AI406</f>
        <v>1</v>
      </c>
      <c r="AX406" s="147">
        <v>1.0</v>
      </c>
      <c r="AY406" s="147">
        <f>AX406*8*4^AV406</f>
        <v>8192</v>
      </c>
      <c r="AZ406" s="147">
        <f>MIN(ROUNDDOWN(AY406/AN406,0),X406)</f>
        <v>1</v>
      </c>
      <c r="BA406" s="147">
        <f>AZ406*AW406</f>
        <v>1</v>
      </c>
      <c r="BB406" s="147">
        <f>AN406</f>
        <v>1920</v>
      </c>
      <c r="BC406" s="147">
        <f>MIN(AV406-AB406,IF(AY406&gt;=BB407*4,
IF(AY406&gt;=BB407*4^2,
IF(AY406&gt;=BB407*4^3,
IF(AY406&gt;=BB407*4^4,
IF(AY406&gt;=BB407*4^5,
IF(AY406&gt;=BB407*4^6,
IF(AY406&gt;=BB407*4^7,
IF(AY406&gt;=BB407*4^8,
IF(AY406&gt;=BB407*4^9,
IF(AY406&gt;=BB407*4^10,
9),
8),
7),
6),
5),
4),
3),
2),
1),
0))</f>
        <v>1</v>
      </c>
      <c r="BD406" s="147">
        <f>BB406*AZ406*4^BC406</f>
        <v>7680</v>
      </c>
      <c r="BE406" s="147">
        <f>BD406*AW406</f>
        <v>7680</v>
      </c>
      <c r="BF406" s="143">
        <f>ROUNDUP(IF(R406="Yes",AP406/(2^((BC406)*2)),AP406/(2^(BC406))),0)</f>
        <v>14000</v>
      </c>
      <c r="BG406" s="45">
        <f>IF(ISNUMBER(Y406),ROUNDUP(BF406/Y406,0),
  SWITCH(
      Y406,
      "1+0.5C",ROUNDUP(BF406/(1+0.5*VLOOKUP(J408,'Machine Helper Sheet'!$G$1:$K$16,2,FALSE)),0),
      ROUNDUP(BF406/1,0)
  )
)</f>
        <v>14000</v>
      </c>
      <c r="BH406" s="143">
        <f>ROUNDUP(BG406/BA406,0)</f>
        <v>14000</v>
      </c>
      <c r="BI406" s="149">
        <f>BH406*BE406</f>
        <v>107520000</v>
      </c>
      <c r="BK406" s="22"/>
      <c r="BM406" s="6" t="s">
        <v>487</v>
      </c>
      <c r="BN406" s="140">
        <v>2.0</v>
      </c>
      <c r="BO406" s="140">
        <v>2.0</v>
      </c>
      <c r="BP406" s="140">
        <v>1.0</v>
      </c>
      <c r="BQ406" s="140">
        <v>1.0</v>
      </c>
      <c r="BR406" s="140">
        <v>1.0</v>
      </c>
      <c r="BS406" s="140">
        <v>1.0</v>
      </c>
      <c r="BT406" s="140">
        <v>3.0</v>
      </c>
      <c r="BU406" s="6">
        <v>1.0</v>
      </c>
      <c r="BV406" s="140">
        <v>2.0</v>
      </c>
      <c r="BW406" s="6">
        <v>3.0</v>
      </c>
      <c r="BX406" s="6">
        <v>2.0</v>
      </c>
      <c r="BY406" s="6">
        <v>19.0</v>
      </c>
      <c r="BZ406" s="140" t="s">
        <v>309</v>
      </c>
      <c r="CA406" s="6">
        <v>1.0</v>
      </c>
      <c r="CB406" s="6"/>
      <c r="CC406" s="6">
        <v>1.0</v>
      </c>
      <c r="CH406" s="140" t="s">
        <v>309</v>
      </c>
      <c r="CI406" s="140">
        <v>8192.0</v>
      </c>
      <c r="CJ406" s="6"/>
      <c r="CK406" s="6"/>
      <c r="CL406" s="6"/>
      <c r="CM406" s="140">
        <v>8192.0</v>
      </c>
    </row>
    <row r="407">
      <c r="B407" s="150"/>
      <c r="C407" s="151" t="s">
        <v>108</v>
      </c>
      <c r="D407" s="147">
        <f>4*I408</f>
        <v>40</v>
      </c>
      <c r="E407" s="147" t="s">
        <v>112</v>
      </c>
      <c r="F407" s="152">
        <f>7*I408</f>
        <v>70</v>
      </c>
      <c r="G407" s="138"/>
      <c r="H407" s="153" t="s">
        <v>584</v>
      </c>
      <c r="I407" s="143">
        <f t="array" ref="I407">match(TRUE,ISBLANK(F407:F419),0)-1</f>
        <v>1</v>
      </c>
      <c r="J407" s="154" t="s">
        <v>420</v>
      </c>
      <c r="K407" s="154" t="s">
        <v>585</v>
      </c>
      <c r="L407" s="100" t="s">
        <v>704</v>
      </c>
      <c r="M407" s="147"/>
      <c r="N407" s="147"/>
      <c r="O407" s="147"/>
      <c r="P407" s="147"/>
      <c r="Q407" s="147"/>
      <c r="R407" s="155"/>
      <c r="S407" s="155"/>
      <c r="T407" s="155"/>
      <c r="U407" s="143"/>
      <c r="V407" s="143"/>
      <c r="W407" s="143"/>
      <c r="X407" s="143"/>
      <c r="Y407" s="143"/>
      <c r="Z407" s="143"/>
      <c r="AA407" s="143"/>
      <c r="AB407" s="143"/>
      <c r="AC407" s="143"/>
      <c r="AD407" s="143"/>
      <c r="AE407" s="143"/>
      <c r="AF407" s="143"/>
      <c r="AG407" s="156"/>
      <c r="AH407" s="143"/>
      <c r="AI407" s="143"/>
      <c r="AJ407" s="143"/>
      <c r="AK407" s="143"/>
      <c r="AL407" s="143"/>
      <c r="AM407" s="143"/>
      <c r="AN407" s="143"/>
      <c r="AO407" s="143"/>
      <c r="AP407" s="143"/>
      <c r="AQ407" s="143"/>
      <c r="AR407" s="143"/>
      <c r="AS407" s="143"/>
      <c r="AT407" s="156"/>
      <c r="AU407" s="143"/>
      <c r="AV407" s="143"/>
      <c r="AW407" s="143"/>
      <c r="AX407" s="143"/>
      <c r="AY407" s="143"/>
      <c r="AZ407" s="143"/>
      <c r="BA407" s="143"/>
      <c r="BB407" s="143">
        <f>BB406*AZ406</f>
        <v>1920</v>
      </c>
      <c r="BC407" s="143"/>
      <c r="BD407" s="143"/>
      <c r="BE407" s="143"/>
      <c r="BF407" s="143"/>
      <c r="BG407" s="143"/>
      <c r="BH407" s="143"/>
      <c r="BI407" s="149"/>
      <c r="BK407" s="22"/>
      <c r="BZ407" s="140" t="s">
        <v>310</v>
      </c>
      <c r="CA407" s="6">
        <v>1.0</v>
      </c>
      <c r="CB407" s="6"/>
      <c r="CC407" s="6">
        <v>1.0</v>
      </c>
      <c r="CH407" s="140" t="s">
        <v>310</v>
      </c>
      <c r="CI407" s="140">
        <v>8192.0</v>
      </c>
      <c r="CJ407" s="6"/>
      <c r="CK407" s="6"/>
      <c r="CL407" s="6"/>
      <c r="CM407" s="140">
        <v>8192.0</v>
      </c>
    </row>
    <row r="408">
      <c r="B408" s="150"/>
      <c r="C408" s="151" t="s">
        <v>32</v>
      </c>
      <c r="D408" s="147">
        <f>3*I408</f>
        <v>30</v>
      </c>
      <c r="E408" s="147"/>
      <c r="F408" s="152"/>
      <c r="G408" s="138"/>
      <c r="H408" s="157" t="s">
        <v>502</v>
      </c>
      <c r="I408" s="158">
        <v>10.0</v>
      </c>
      <c r="J408" s="154" t="s">
        <v>432</v>
      </c>
      <c r="K408" s="154">
        <v>0.0</v>
      </c>
      <c r="L408" s="100">
        <v>0.0</v>
      </c>
      <c r="M408" s="143"/>
      <c r="N408" s="143"/>
      <c r="O408" s="143"/>
      <c r="P408" s="143"/>
      <c r="Q408" s="143"/>
      <c r="R408" s="143"/>
      <c r="S408" s="155"/>
      <c r="T408" s="155"/>
      <c r="U408" s="143"/>
      <c r="V408" s="143"/>
      <c r="W408" s="143"/>
      <c r="X408" s="143"/>
      <c r="Y408" s="143"/>
      <c r="Z408" s="143"/>
      <c r="AA408" s="143"/>
      <c r="AB408" s="143"/>
      <c r="AC408" s="143"/>
      <c r="AD408" s="143"/>
      <c r="AE408" s="143"/>
      <c r="AF408" s="143"/>
      <c r="AG408" s="156"/>
      <c r="AH408" s="143"/>
      <c r="AI408" s="143"/>
      <c r="AJ408" s="143"/>
      <c r="AK408" s="143"/>
      <c r="AL408" s="143"/>
      <c r="AM408" s="143"/>
      <c r="AN408" s="143"/>
      <c r="AO408" s="143"/>
      <c r="AP408" s="143"/>
      <c r="AQ408" s="143"/>
      <c r="AR408" s="143"/>
      <c r="AS408" s="143"/>
      <c r="AT408" s="156"/>
      <c r="AU408" s="143"/>
      <c r="AV408" s="143"/>
      <c r="AW408" s="143"/>
      <c r="AX408" s="143"/>
      <c r="AY408" s="143"/>
      <c r="AZ408" s="143"/>
      <c r="BA408" s="143"/>
      <c r="BB408" s="143"/>
      <c r="BC408" s="143"/>
      <c r="BD408" s="143"/>
      <c r="BE408" s="143"/>
      <c r="BF408" s="143"/>
      <c r="BG408" s="143"/>
      <c r="BH408" s="143"/>
      <c r="BI408" s="149"/>
      <c r="BK408" s="22"/>
      <c r="BM408" s="6" t="s">
        <v>622</v>
      </c>
      <c r="BN408" s="6" t="s">
        <v>462</v>
      </c>
      <c r="BO408" s="6"/>
      <c r="BP408" s="6"/>
      <c r="BQ408" s="6"/>
      <c r="BR408" s="6"/>
      <c r="BS408" s="6"/>
      <c r="BT408" s="6"/>
      <c r="BU408" s="6"/>
      <c r="BV408" s="6"/>
      <c r="BW408" s="6"/>
      <c r="BX408" s="6"/>
      <c r="BY408" s="6"/>
      <c r="BZ408" s="140" t="s">
        <v>782</v>
      </c>
      <c r="CA408" s="6"/>
      <c r="CB408" s="6">
        <v>1.0</v>
      </c>
      <c r="CC408" s="6">
        <v>1.0</v>
      </c>
      <c r="CH408" s="140" t="s">
        <v>782</v>
      </c>
      <c r="CI408" s="6"/>
      <c r="CJ408" s="6"/>
      <c r="CK408" s="6"/>
      <c r="CL408" s="140">
        <v>32768.0</v>
      </c>
      <c r="CM408" s="140">
        <v>32768.0</v>
      </c>
    </row>
    <row r="409">
      <c r="B409" s="135"/>
      <c r="C409" s="136"/>
      <c r="D409" s="137"/>
      <c r="E409" s="137"/>
      <c r="F409" s="137"/>
      <c r="G409" s="138"/>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c r="AG409" s="138"/>
      <c r="AH409" s="137"/>
      <c r="AI409" s="137"/>
      <c r="AJ409" s="137"/>
      <c r="AK409" s="137"/>
      <c r="AL409" s="137"/>
      <c r="AM409" s="137"/>
      <c r="AN409" s="137"/>
      <c r="AO409" s="137"/>
      <c r="AP409" s="137"/>
      <c r="AQ409" s="137"/>
      <c r="AR409" s="137"/>
      <c r="AS409" s="137"/>
      <c r="AT409" s="138"/>
      <c r="AU409" s="137"/>
      <c r="AV409" s="137"/>
      <c r="AW409" s="137"/>
      <c r="AX409" s="137"/>
      <c r="AY409" s="137"/>
      <c r="AZ409" s="137"/>
      <c r="BA409" s="137"/>
      <c r="BB409" s="137"/>
      <c r="BC409" s="137"/>
      <c r="BD409" s="137"/>
      <c r="BE409" s="137"/>
      <c r="BF409" s="137"/>
      <c r="BG409" s="137"/>
      <c r="BH409" s="137"/>
      <c r="BI409" s="139"/>
      <c r="BK409" s="22"/>
      <c r="BM409" s="6" t="s">
        <v>457</v>
      </c>
      <c r="BN409" s="140" t="s">
        <v>376</v>
      </c>
      <c r="BO409" s="140" t="s">
        <v>297</v>
      </c>
      <c r="BP409" s="140" t="s">
        <v>301</v>
      </c>
      <c r="BQ409" s="140" t="s">
        <v>309</v>
      </c>
      <c r="BR409" s="140" t="s">
        <v>310</v>
      </c>
      <c r="BS409" s="140" t="s">
        <v>782</v>
      </c>
      <c r="BT409" s="140" t="s">
        <v>349</v>
      </c>
      <c r="BU409" s="6" t="s">
        <v>350</v>
      </c>
      <c r="BV409" s="140" t="s">
        <v>356</v>
      </c>
      <c r="BW409" s="6" t="s">
        <v>363</v>
      </c>
      <c r="BX409" s="6" t="s">
        <v>369</v>
      </c>
      <c r="BY409" s="6" t="s">
        <v>487</v>
      </c>
      <c r="BZ409" s="140" t="s">
        <v>349</v>
      </c>
      <c r="CA409" s="6">
        <v>3.0</v>
      </c>
      <c r="CB409" s="6"/>
      <c r="CC409" s="6">
        <v>3.0</v>
      </c>
      <c r="CH409" s="140" t="s">
        <v>349</v>
      </c>
      <c r="CI409" s="140">
        <v>24576.0</v>
      </c>
      <c r="CJ409" s="6"/>
      <c r="CK409" s="6"/>
      <c r="CL409" s="6"/>
      <c r="CM409" s="140">
        <v>24576.0</v>
      </c>
    </row>
    <row r="410">
      <c r="B410" s="141" t="s">
        <v>781</v>
      </c>
      <c r="C410" s="142"/>
      <c r="D410" s="143"/>
      <c r="E410" s="143"/>
      <c r="F410" s="144"/>
      <c r="G410" s="145"/>
      <c r="H410" s="146" t="s">
        <v>309</v>
      </c>
      <c r="I410" s="147" t="str">
        <f>VLOOKUP(H410,'Machine List'!$A$1:$I$300,9,FALSE)</f>
        <v>1T</v>
      </c>
      <c r="J410" s="147">
        <f>IF(VLOOKUP(H410,'Machine List'!$A$1:$I$300,5,FALSE)="Multi",IF(VLOOKUP(H410,'Machine List'!$A$1:$I$300,6,FALSE)="Yes",AI410*3*10^AB410,AI410*(2*3)*10^(AB410-1)),0)</f>
        <v>0</v>
      </c>
      <c r="K410" s="147">
        <f>J410+IF(ISNUMBER(I410),I410,
  SWITCH(
      I410,
      "1T",1*10^AB410,
      "2T",2*10^AB410,
      "3T",3*10^AB410,
      "4T",4*10^AB410,
      "4000+500(7O-5)",4000+500*(7*I411-5),
      "13500 + 16C",13500+16*VLOOKUP(J412,'Machine Helper Sheet'!$G$1:$K$16,5,FALSE),
      1
  )
)</f>
        <v>1000</v>
      </c>
      <c r="L410" s="147">
        <f>IF(VLOOKUP(H410,'Machine List'!$A$1:$I$300,5,FALSE)="Multi",IF(VLOOKUP(H410,'Machine List'!$A$1:$I$300,6,FALSE)="Yes",AW410*3*10^AV410,AW410*(2*3)*10^(AV410-1)),0)</f>
        <v>0</v>
      </c>
      <c r="M410" s="147">
        <f>L410+IF(ISNUMBER(I410),I410,
  SWITCH(
      I410,
      "1T",1*10^AV410,
      "2T",2*10^AV410,
      "3T",3*10^AV410,
      "4T",4*10^AV410,
      "4000+500(7O-5)",4000+500*(7*I411-5),
      1
  )
)</f>
        <v>100000</v>
      </c>
      <c r="N410" s="147" t="str">
        <f>VLOOKUP(H410,'Machine List'!$A$1:$I$300,8,FALSE)</f>
        <v>Tier</v>
      </c>
      <c r="O410" s="147">
        <f>IF(ISNUMBER(N410),N410,10^AB410)</f>
        <v>1000</v>
      </c>
      <c r="P410" s="147">
        <f>IF(ISNUMBER(N410),N410,10^AV410)</f>
        <v>100000</v>
      </c>
      <c r="Q410" s="147">
        <f>VLOOKUP(H410,'Machine List'!$A$1:$B$138,2,FALSE)</f>
        <v>1</v>
      </c>
      <c r="R410" s="147" t="s">
        <v>277</v>
      </c>
      <c r="S410" s="143">
        <f>IF(ISNUMBER(Q410),Q410,
  SWITCH(
      Q410,
      "1",1,
      "2T",AB410*2,
      "4T",AB410*4,
      "6T",AB410*6,
      "8T",AB410*8,
      "10T",AB410*10,
      "12T",AB410*12,
      "14T",AB410*14,
      "16T",AB410*16,
      "24T",AB410*24,
      "2(T+1)",2*(AB410+1),
      "1T*C",AB410*J412,
      "2*P",L412*2,
      1
  )
)</f>
        <v>1</v>
      </c>
      <c r="T410" s="38" t="s">
        <v>277</v>
      </c>
      <c r="U410" s="147">
        <f>IF(OR(T410="No",T410=""),S410,T410)</f>
        <v>1</v>
      </c>
      <c r="V410" s="147">
        <f>IF(ISNUMBER(Q410),Q410,
  SWITCH(
      Q410,
      "1",1,
      "2T",AV410*2,
      "4T",AV410*4,
      "6T",AV410*6,
      "8T",AV410*8,
      "10T",AV410*10,
      "12T",AV410*12,
      "14T",AV410*14,
      "16T",AV410*16,
      "24T",AV410*24,
      "2(T+1)",2*(AV410+1),
      "1T*C",AV410*J412,
      "2*P",L412*2,
      1
  )
)</f>
        <v>1</v>
      </c>
      <c r="W410" s="147" t="str">
        <f>T410</f>
        <v>No</v>
      </c>
      <c r="X410" s="147">
        <f>IF(OR(W410="No",W410=""),V410,W410)</f>
        <v>1</v>
      </c>
      <c r="Y410" s="38">
        <f>VLOOKUP(H410,'Machine List'!$A$1:$C$138,3,FALSE)</f>
        <v>1</v>
      </c>
      <c r="Z410" s="38">
        <f>VLOOKUP(H410,'Machine List'!$A$1:$D$138,4,FALSE)</f>
        <v>1</v>
      </c>
      <c r="AA410" s="147" t="s">
        <v>397</v>
      </c>
      <c r="AB410" s="147">
        <f>VLOOKUP(AA410,'Item Helper Sheet'!$A$2:$B$16,2,FALSE)</f>
        <v>3</v>
      </c>
      <c r="AC410" s="147">
        <v>480.0</v>
      </c>
      <c r="AD410" s="147">
        <f>5*20</f>
        <v>100</v>
      </c>
      <c r="AE410" s="147">
        <f>AD410*I412</f>
        <v>7000</v>
      </c>
      <c r="AF410" s="147">
        <f>AC410*AE410</f>
        <v>3360000</v>
      </c>
      <c r="AG410" s="148"/>
      <c r="AH410" s="147" t="str">
        <f>AA410</f>
        <v>03 - HV</v>
      </c>
      <c r="AI410" s="147">
        <v>1.0</v>
      </c>
      <c r="AJ410" s="147">
        <v>1.0</v>
      </c>
      <c r="AK410" s="147">
        <f>AJ410*8*4^AB410</f>
        <v>512</v>
      </c>
      <c r="AL410" s="147">
        <f>MIN(ROUNDDOWN(AK410/AN410,0),U410)</f>
        <v>1</v>
      </c>
      <c r="AM410" s="147">
        <f>IF(OR(T410="No",T410=""),AI410*S410,AI410*T410)</f>
        <v>1</v>
      </c>
      <c r="AN410" s="147">
        <f>ROUNDUP(AC410*VLOOKUP(H410,'Machine List'!$A$2:$D$219,4,FALSE),0)</f>
        <v>480</v>
      </c>
      <c r="AO410" s="147">
        <f>AN410*AM410</f>
        <v>480</v>
      </c>
      <c r="AP410" s="147">
        <f>ROUNDUP(AD410*I412,0)</f>
        <v>7000</v>
      </c>
      <c r="AQ410" s="38">
        <f>IF(ISNUMBER(Y410),ROUNDUP(AP410/Y410,0),
  SWITCH(
      Y410,
      "1+0.5C",ROUNDUP(AP410/(1+0.5*VLOOKUP(J412,'Machine Helper Sheet'!$G$1:$K$16,2,FALSE)),0),
      ROUNDUP(AP410/1,0)
  )
)</f>
        <v>7000</v>
      </c>
      <c r="AR410" s="147">
        <f>ROUNDUP(AQ410/AM410,0)</f>
        <v>7000</v>
      </c>
      <c r="AS410" s="147">
        <f>AO410*AR410</f>
        <v>3360000</v>
      </c>
      <c r="AT410" s="148"/>
      <c r="AU410" s="147" t="s">
        <v>405</v>
      </c>
      <c r="AV410" s="147">
        <f>VLOOKUP(AU410,'Item Helper Sheet'!$A$2:$B$16,2,FALSE)</f>
        <v>5</v>
      </c>
      <c r="AW410" s="147">
        <f>AI410</f>
        <v>1</v>
      </c>
      <c r="AX410" s="147">
        <v>1.0</v>
      </c>
      <c r="AY410" s="147">
        <f>AX410*8*4^AV410</f>
        <v>8192</v>
      </c>
      <c r="AZ410" s="147">
        <f>MIN(ROUNDDOWN(AY410/AN410,0),X410)</f>
        <v>1</v>
      </c>
      <c r="BA410" s="147">
        <f>AZ410*AW410</f>
        <v>1</v>
      </c>
      <c r="BB410" s="147">
        <f>AN410</f>
        <v>480</v>
      </c>
      <c r="BC410" s="147">
        <f>MIN(AV410-AB410,IF(AY410&gt;=BB411*4,
IF(AY410&gt;=BB411*4^2,
IF(AY410&gt;=BB411*4^3,
IF(AY410&gt;=BB411*4^4,
IF(AY410&gt;=BB411*4^5,
IF(AY410&gt;=BB411*4^6,
IF(AY410&gt;=BB411*4^7,
IF(AY410&gt;=BB411*4^8,
IF(AY410&gt;=BB411*4^9,
IF(AY410&gt;=BB411*4^10,
9),
8),
7),
6),
5),
4),
3),
2),
1),
0))</f>
        <v>2</v>
      </c>
      <c r="BD410" s="147">
        <f>BB410*AZ410*4^BC410</f>
        <v>7680</v>
      </c>
      <c r="BE410" s="147">
        <f>BD410*AW410</f>
        <v>7680</v>
      </c>
      <c r="BF410" s="143">
        <f>ROUNDUP(IF(R410="Yes",AP410/(2^((BC410)*2)),AP410/(2^(BC410))),0)</f>
        <v>1750</v>
      </c>
      <c r="BG410" s="45">
        <f>IF(ISNUMBER(Y410),ROUNDUP(BF410/Y410,0),
  SWITCH(
      Y410,
      "1+0.5C",ROUNDUP(BF410/(1+0.5*VLOOKUP(J412,'Machine Helper Sheet'!$G$1:$K$16,2,FALSE)),0),
      ROUNDUP(BF410/1,0)
  )
)</f>
        <v>1750</v>
      </c>
      <c r="BH410" s="143">
        <f>ROUNDUP(BG410/BA410,0)</f>
        <v>1750</v>
      </c>
      <c r="BI410" s="149">
        <f>BH410*BE410</f>
        <v>13440000</v>
      </c>
      <c r="BK410" s="22"/>
      <c r="BM410" s="6" t="s">
        <v>763</v>
      </c>
      <c r="BN410" s="6"/>
      <c r="BO410" s="6"/>
      <c r="BP410" s="6"/>
      <c r="BQ410" s="6"/>
      <c r="BR410" s="6"/>
      <c r="BS410" s="6"/>
      <c r="BT410" s="6"/>
      <c r="BU410" s="6"/>
      <c r="BV410" s="6"/>
      <c r="BW410" s="6">
        <v>2.0</v>
      </c>
      <c r="BX410" s="6"/>
      <c r="BY410" s="6">
        <v>2.0</v>
      </c>
      <c r="BZ410" s="6" t="s">
        <v>350</v>
      </c>
      <c r="CA410" s="6"/>
      <c r="CB410" s="6">
        <v>1.0</v>
      </c>
      <c r="CC410" s="6">
        <v>1.0</v>
      </c>
      <c r="CH410" s="6" t="s">
        <v>350</v>
      </c>
      <c r="CI410" s="6">
        <v>32768.0</v>
      </c>
      <c r="CJ410" s="6"/>
      <c r="CK410" s="6"/>
      <c r="CL410" s="6"/>
      <c r="CM410" s="6">
        <v>32768.0</v>
      </c>
    </row>
    <row r="411">
      <c r="B411" s="150"/>
      <c r="C411" s="151" t="s">
        <v>112</v>
      </c>
      <c r="D411" s="147">
        <f>1*I412</f>
        <v>70</v>
      </c>
      <c r="E411" s="147" t="s">
        <v>113</v>
      </c>
      <c r="F411" s="152">
        <f>144*I412</f>
        <v>10080</v>
      </c>
      <c r="G411" s="138"/>
      <c r="H411" s="153" t="s">
        <v>584</v>
      </c>
      <c r="I411" s="143">
        <f t="array" ref="I411">match(TRUE,ISBLANK(F411:F423),0)-1</f>
        <v>1</v>
      </c>
      <c r="J411" s="154" t="s">
        <v>420</v>
      </c>
      <c r="K411" s="154" t="s">
        <v>585</v>
      </c>
      <c r="L411" s="100" t="s">
        <v>704</v>
      </c>
      <c r="M411" s="147"/>
      <c r="N411" s="147"/>
      <c r="O411" s="147"/>
      <c r="P411" s="147"/>
      <c r="Q411" s="147"/>
      <c r="R411" s="155"/>
      <c r="S411" s="155"/>
      <c r="T411" s="155"/>
      <c r="U411" s="143"/>
      <c r="V411" s="143"/>
      <c r="W411" s="143"/>
      <c r="X411" s="143"/>
      <c r="Y411" s="143"/>
      <c r="Z411" s="143"/>
      <c r="AA411" s="143"/>
      <c r="AB411" s="143"/>
      <c r="AC411" s="143"/>
      <c r="AD411" s="143"/>
      <c r="AE411" s="143"/>
      <c r="AF411" s="143"/>
      <c r="AG411" s="156"/>
      <c r="AH411" s="143"/>
      <c r="AI411" s="143"/>
      <c r="AJ411" s="143"/>
      <c r="AK411" s="143"/>
      <c r="AL411" s="143"/>
      <c r="AM411" s="143"/>
      <c r="AN411" s="143"/>
      <c r="AO411" s="143"/>
      <c r="AP411" s="143"/>
      <c r="AQ411" s="143"/>
      <c r="AR411" s="143"/>
      <c r="AS411" s="143"/>
      <c r="AT411" s="156"/>
      <c r="AU411" s="143"/>
      <c r="AV411" s="143"/>
      <c r="AW411" s="143"/>
      <c r="AX411" s="143"/>
      <c r="AY411" s="143"/>
      <c r="AZ411" s="143"/>
      <c r="BA411" s="143"/>
      <c r="BB411" s="143">
        <f>BB410*AZ410</f>
        <v>480</v>
      </c>
      <c r="BC411" s="143"/>
      <c r="BD411" s="143"/>
      <c r="BE411" s="143"/>
      <c r="BF411" s="143"/>
      <c r="BG411" s="143"/>
      <c r="BH411" s="143"/>
      <c r="BI411" s="149"/>
      <c r="BK411" s="22"/>
      <c r="BM411" s="6" t="s">
        <v>764</v>
      </c>
      <c r="BN411" s="6"/>
      <c r="BO411" s="6"/>
      <c r="BP411" s="6"/>
      <c r="BQ411" s="6"/>
      <c r="BR411" s="6"/>
      <c r="BS411" s="6"/>
      <c r="BT411" s="6"/>
      <c r="BU411" s="6">
        <v>4.0</v>
      </c>
      <c r="BV411" s="6"/>
      <c r="BW411" s="6"/>
      <c r="BX411" s="6"/>
      <c r="BY411" s="6">
        <v>4.0</v>
      </c>
      <c r="BZ411" s="140" t="s">
        <v>356</v>
      </c>
      <c r="CA411" s="6">
        <v>2.0</v>
      </c>
      <c r="CB411" s="6"/>
      <c r="CC411" s="6">
        <v>2.0</v>
      </c>
      <c r="CH411" s="140" t="s">
        <v>356</v>
      </c>
      <c r="CI411" s="6"/>
      <c r="CJ411" s="140">
        <v>16384.0</v>
      </c>
      <c r="CK411" s="6"/>
      <c r="CL411" s="6"/>
      <c r="CM411" s="140">
        <v>16384.0</v>
      </c>
    </row>
    <row r="412">
      <c r="B412" s="150"/>
      <c r="C412" s="151"/>
      <c r="D412" s="147"/>
      <c r="E412" s="147"/>
      <c r="F412" s="152"/>
      <c r="G412" s="138"/>
      <c r="H412" s="157" t="s">
        <v>502</v>
      </c>
      <c r="I412" s="158">
        <v>70.0</v>
      </c>
      <c r="J412" s="154" t="s">
        <v>424</v>
      </c>
      <c r="K412" s="154">
        <v>0.0</v>
      </c>
      <c r="L412" s="100">
        <v>0.0</v>
      </c>
      <c r="M412" s="143"/>
      <c r="N412" s="143"/>
      <c r="O412" s="143"/>
      <c r="P412" s="143"/>
      <c r="Q412" s="143"/>
      <c r="R412" s="143"/>
      <c r="S412" s="155"/>
      <c r="T412" s="155"/>
      <c r="U412" s="143"/>
      <c r="V412" s="143"/>
      <c r="W412" s="143"/>
      <c r="X412" s="143"/>
      <c r="Y412" s="143"/>
      <c r="Z412" s="143"/>
      <c r="AA412" s="143"/>
      <c r="AB412" s="143"/>
      <c r="AC412" s="143"/>
      <c r="AD412" s="143"/>
      <c r="AE412" s="143"/>
      <c r="AF412" s="143"/>
      <c r="AG412" s="156"/>
      <c r="AH412" s="143"/>
      <c r="AI412" s="143"/>
      <c r="AJ412" s="143"/>
      <c r="AK412" s="143"/>
      <c r="AL412" s="143"/>
      <c r="AM412" s="143"/>
      <c r="AN412" s="143"/>
      <c r="AO412" s="143"/>
      <c r="AP412" s="143"/>
      <c r="AQ412" s="143"/>
      <c r="AR412" s="143"/>
      <c r="AS412" s="143"/>
      <c r="AT412" s="156"/>
      <c r="AU412" s="143"/>
      <c r="AV412" s="143"/>
      <c r="AW412" s="143"/>
      <c r="AX412" s="143"/>
      <c r="AY412" s="143"/>
      <c r="AZ412" s="143"/>
      <c r="BA412" s="143"/>
      <c r="BB412" s="143"/>
      <c r="BC412" s="143"/>
      <c r="BD412" s="143"/>
      <c r="BE412" s="143"/>
      <c r="BF412" s="143"/>
      <c r="BG412" s="143"/>
      <c r="BH412" s="143"/>
      <c r="BI412" s="149"/>
      <c r="BK412" s="22"/>
      <c r="BM412" s="6" t="s">
        <v>765</v>
      </c>
      <c r="BN412" s="6"/>
      <c r="BO412" s="6"/>
      <c r="BP412" s="6"/>
      <c r="BQ412" s="6"/>
      <c r="BR412" s="6"/>
      <c r="BS412" s="6"/>
      <c r="BT412" s="6"/>
      <c r="BU412" s="6"/>
      <c r="BV412" s="6"/>
      <c r="BW412" s="6"/>
      <c r="BX412" s="6">
        <v>1.0</v>
      </c>
      <c r="BY412" s="6">
        <v>1.0</v>
      </c>
      <c r="BZ412" s="6" t="s">
        <v>363</v>
      </c>
      <c r="CA412" s="6">
        <v>1.0</v>
      </c>
      <c r="CB412" s="6">
        <v>2.0</v>
      </c>
      <c r="CC412" s="6">
        <v>3.0</v>
      </c>
      <c r="CH412" s="6" t="s">
        <v>363</v>
      </c>
      <c r="CI412" s="6">
        <v>73728.0</v>
      </c>
      <c r="CJ412" s="6"/>
      <c r="CK412" s="6"/>
      <c r="CL412" s="6"/>
      <c r="CM412" s="6">
        <v>73728.0</v>
      </c>
    </row>
    <row r="413">
      <c r="B413" s="135"/>
      <c r="C413" s="136"/>
      <c r="D413" s="137"/>
      <c r="E413" s="137"/>
      <c r="F413" s="137"/>
      <c r="G413" s="138"/>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c r="AG413" s="138"/>
      <c r="AH413" s="137"/>
      <c r="AI413" s="137"/>
      <c r="AJ413" s="137"/>
      <c r="AK413" s="137"/>
      <c r="AL413" s="137"/>
      <c r="AM413" s="137"/>
      <c r="AN413" s="137"/>
      <c r="AO413" s="137"/>
      <c r="AP413" s="137"/>
      <c r="AQ413" s="137"/>
      <c r="AR413" s="137"/>
      <c r="AS413" s="137"/>
      <c r="AT413" s="138"/>
      <c r="AU413" s="137"/>
      <c r="AV413" s="137"/>
      <c r="AW413" s="137"/>
      <c r="AX413" s="137"/>
      <c r="AY413" s="137"/>
      <c r="AZ413" s="137"/>
      <c r="BA413" s="137"/>
      <c r="BB413" s="137"/>
      <c r="BC413" s="137"/>
      <c r="BD413" s="137"/>
      <c r="BE413" s="137"/>
      <c r="BF413" s="137"/>
      <c r="BG413" s="137"/>
      <c r="BH413" s="137"/>
      <c r="BI413" s="139"/>
      <c r="BK413" s="22"/>
      <c r="BM413" s="6" t="s">
        <v>766</v>
      </c>
      <c r="BN413" s="6"/>
      <c r="BO413" s="6"/>
      <c r="BP413" s="6"/>
      <c r="BQ413" s="6"/>
      <c r="BR413" s="6"/>
      <c r="BS413" s="6"/>
      <c r="BT413" s="6"/>
      <c r="BU413" s="6"/>
      <c r="BV413" s="6"/>
      <c r="BW413" s="6"/>
      <c r="BX413" s="6">
        <v>4.0</v>
      </c>
      <c r="BY413" s="6">
        <v>4.0</v>
      </c>
      <c r="BZ413" s="6" t="s">
        <v>369</v>
      </c>
      <c r="CA413" s="6"/>
      <c r="CB413" s="6">
        <v>2.0</v>
      </c>
      <c r="CC413" s="6">
        <v>2.0</v>
      </c>
      <c r="CH413" s="6" t="s">
        <v>369</v>
      </c>
      <c r="CI413" s="6">
        <v>65536.0</v>
      </c>
      <c r="CJ413" s="6"/>
      <c r="CK413" s="6"/>
      <c r="CL413" s="6"/>
      <c r="CM413" s="6">
        <v>65536.0</v>
      </c>
    </row>
    <row r="414">
      <c r="BK414" s="22"/>
      <c r="BM414" s="140" t="s">
        <v>767</v>
      </c>
      <c r="BN414" s="6"/>
      <c r="BO414" s="6"/>
      <c r="BP414" s="6"/>
      <c r="BQ414" s="6"/>
      <c r="BR414" s="6"/>
      <c r="BS414" s="6"/>
      <c r="BT414" s="6"/>
      <c r="BU414" s="6"/>
      <c r="BV414" s="140">
        <v>1.0</v>
      </c>
      <c r="BW414" s="6"/>
      <c r="BX414" s="6"/>
      <c r="BY414" s="140">
        <v>1.0</v>
      </c>
      <c r="BZ414" s="6" t="s">
        <v>487</v>
      </c>
      <c r="CA414" s="6">
        <v>13.0</v>
      </c>
      <c r="CB414" s="6">
        <v>6.0</v>
      </c>
      <c r="CC414" s="6">
        <v>19.0</v>
      </c>
      <c r="CH414" s="6" t="s">
        <v>487</v>
      </c>
      <c r="CI414" s="6">
        <v>237568.0</v>
      </c>
      <c r="CJ414" s="140">
        <v>16384.0</v>
      </c>
      <c r="CK414" s="140">
        <v>16384.0</v>
      </c>
      <c r="CL414" s="140">
        <v>32768.0</v>
      </c>
      <c r="CM414" s="6">
        <v>303104.0</v>
      </c>
    </row>
    <row r="415">
      <c r="C415" s="162" t="s">
        <v>129</v>
      </c>
      <c r="E415" s="162" t="s">
        <v>647</v>
      </c>
      <c r="BK415" s="22"/>
      <c r="BM415" s="6" t="s">
        <v>768</v>
      </c>
      <c r="BN415" s="6"/>
      <c r="BO415" s="6"/>
      <c r="BP415" s="6"/>
      <c r="BQ415" s="6"/>
      <c r="BR415" s="6"/>
      <c r="BS415" s="6"/>
      <c r="BT415" s="6"/>
      <c r="BU415" s="6"/>
      <c r="BV415" s="6"/>
      <c r="BW415" s="6">
        <v>1.0</v>
      </c>
      <c r="BX415" s="6"/>
      <c r="BY415" s="6">
        <v>1.0</v>
      </c>
    </row>
    <row r="416">
      <c r="C416" s="162" t="s">
        <v>232</v>
      </c>
      <c r="BK416" s="22"/>
      <c r="BM416" s="140" t="s">
        <v>769</v>
      </c>
      <c r="BN416" s="6"/>
      <c r="BO416" s="6"/>
      <c r="BP416" s="6"/>
      <c r="BQ416" s="6"/>
      <c r="BR416" s="6"/>
      <c r="BS416" s="6"/>
      <c r="BT416" s="140">
        <v>1.0</v>
      </c>
      <c r="BU416" s="6"/>
      <c r="BV416" s="6"/>
      <c r="BW416" s="6"/>
      <c r="BX416" s="6"/>
      <c r="BY416" s="140">
        <v>1.0</v>
      </c>
    </row>
    <row r="417">
      <c r="C417" s="162" t="s">
        <v>204</v>
      </c>
      <c r="BK417" s="22"/>
      <c r="BM417" s="140" t="s">
        <v>770</v>
      </c>
      <c r="BN417" s="6"/>
      <c r="BO417" s="6"/>
      <c r="BP417" s="6"/>
      <c r="BQ417" s="6"/>
      <c r="BR417" s="6"/>
      <c r="BS417" s="6"/>
      <c r="BT417" s="140">
        <v>1.0</v>
      </c>
      <c r="BU417" s="6"/>
      <c r="BV417" s="6"/>
      <c r="BW417" s="6"/>
      <c r="BX417" s="6"/>
      <c r="BY417" s="140">
        <v>1.0</v>
      </c>
    </row>
    <row r="418">
      <c r="C418" s="162" t="s">
        <v>251</v>
      </c>
      <c r="BK418" s="22"/>
      <c r="BM418" s="140" t="s">
        <v>771</v>
      </c>
      <c r="BN418" s="6"/>
      <c r="BO418" s="6"/>
      <c r="BP418" s="6"/>
      <c r="BQ418" s="6"/>
      <c r="BR418" s="140">
        <v>1.0</v>
      </c>
      <c r="BS418" s="6"/>
      <c r="BT418" s="6"/>
      <c r="BU418" s="6"/>
      <c r="BV418" s="6"/>
      <c r="BW418" s="6"/>
      <c r="BX418" s="6"/>
      <c r="BY418" s="140">
        <v>1.0</v>
      </c>
    </row>
    <row r="419">
      <c r="C419" s="162" t="s">
        <v>128</v>
      </c>
      <c r="BK419" s="22"/>
      <c r="BM419" s="140" t="s">
        <v>772</v>
      </c>
      <c r="BN419" s="6"/>
      <c r="BO419" s="6"/>
      <c r="BP419" s="6"/>
      <c r="BQ419" s="6"/>
      <c r="BR419" s="6"/>
      <c r="BS419" s="6"/>
      <c r="BT419" s="6"/>
      <c r="BU419" s="6"/>
      <c r="BV419" s="140">
        <v>1.0</v>
      </c>
      <c r="BW419" s="6"/>
      <c r="BX419" s="6"/>
      <c r="BY419" s="140">
        <v>1.0</v>
      </c>
    </row>
    <row r="420">
      <c r="C420" s="162" t="s">
        <v>28</v>
      </c>
      <c r="BK420" s="22"/>
      <c r="BM420" s="6" t="s">
        <v>773</v>
      </c>
      <c r="BN420" s="6"/>
      <c r="BO420" s="6"/>
      <c r="BP420" s="6"/>
      <c r="BQ420" s="6"/>
      <c r="BR420" s="6"/>
      <c r="BS420" s="6"/>
      <c r="BT420" s="6"/>
      <c r="BU420" s="6"/>
      <c r="BV420" s="6"/>
      <c r="BW420" s="6">
        <v>1.0</v>
      </c>
      <c r="BX420" s="6"/>
      <c r="BY420" s="6">
        <v>1.0</v>
      </c>
    </row>
    <row r="421">
      <c r="C421" s="162" t="s">
        <v>98</v>
      </c>
      <c r="BK421" s="22"/>
      <c r="BM421" s="140" t="s">
        <v>774</v>
      </c>
      <c r="BN421" s="6"/>
      <c r="BO421" s="6"/>
      <c r="BP421" s="6"/>
      <c r="BQ421" s="6"/>
      <c r="BR421" s="6"/>
      <c r="BS421" s="6"/>
      <c r="BT421" s="140">
        <v>1.0</v>
      </c>
      <c r="BU421" s="6"/>
      <c r="BV421" s="6"/>
      <c r="BW421" s="6"/>
      <c r="BX421" s="6"/>
      <c r="BY421" s="140">
        <v>1.0</v>
      </c>
    </row>
    <row r="422">
      <c r="C422" s="162" t="s">
        <v>174</v>
      </c>
      <c r="BK422" s="22"/>
      <c r="BM422" s="140" t="s">
        <v>775</v>
      </c>
      <c r="BN422" s="140">
        <v>1.0</v>
      </c>
      <c r="BO422" s="6"/>
      <c r="BP422" s="6"/>
      <c r="BQ422" s="6"/>
      <c r="BR422" s="6"/>
      <c r="BS422" s="6"/>
      <c r="BT422" s="6"/>
      <c r="BU422" s="6"/>
      <c r="BV422" s="6"/>
      <c r="BW422" s="6"/>
      <c r="BX422" s="6"/>
      <c r="BY422" s="140">
        <v>1.0</v>
      </c>
    </row>
    <row r="423">
      <c r="C423" s="162" t="s">
        <v>163</v>
      </c>
      <c r="BK423" s="22"/>
      <c r="BM423" s="140" t="s">
        <v>776</v>
      </c>
      <c r="BN423" s="6"/>
      <c r="BO423" s="6"/>
      <c r="BP423" s="6"/>
      <c r="BQ423" s="6"/>
      <c r="BR423" s="6"/>
      <c r="BS423" s="140">
        <v>1.0</v>
      </c>
      <c r="BT423" s="6"/>
      <c r="BU423" s="6"/>
      <c r="BV423" s="6"/>
      <c r="BW423" s="6"/>
      <c r="BX423" s="6"/>
      <c r="BY423" s="140">
        <v>1.0</v>
      </c>
    </row>
    <row r="424">
      <c r="C424" s="162" t="s">
        <v>244</v>
      </c>
      <c r="BK424" s="22"/>
      <c r="BM424" s="140" t="s">
        <v>777</v>
      </c>
      <c r="BN424" s="140">
        <v>1.0</v>
      </c>
      <c r="BO424" s="6"/>
      <c r="BP424" s="6"/>
      <c r="BQ424" s="6"/>
      <c r="BR424" s="6"/>
      <c r="BS424" s="6"/>
      <c r="BT424" s="6"/>
      <c r="BU424" s="6"/>
      <c r="BV424" s="6"/>
      <c r="BW424" s="6"/>
      <c r="BX424" s="6"/>
      <c r="BY424" s="140">
        <v>1.0</v>
      </c>
    </row>
    <row r="425">
      <c r="C425" s="162" t="s">
        <v>243</v>
      </c>
      <c r="BK425" s="22"/>
      <c r="BM425" s="140" t="s">
        <v>778</v>
      </c>
      <c r="BN425" s="6"/>
      <c r="BO425" s="140">
        <v>1.0</v>
      </c>
      <c r="BP425" s="6"/>
      <c r="BQ425" s="6"/>
      <c r="BR425" s="6"/>
      <c r="BS425" s="6"/>
      <c r="BT425" s="6"/>
      <c r="BU425" s="6"/>
      <c r="BV425" s="6"/>
      <c r="BW425" s="6"/>
      <c r="BX425" s="6"/>
      <c r="BY425" s="140">
        <v>1.0</v>
      </c>
    </row>
    <row r="426">
      <c r="C426" s="162" t="s">
        <v>148</v>
      </c>
      <c r="BK426" s="22"/>
      <c r="BM426" s="140" t="s">
        <v>779</v>
      </c>
      <c r="BN426" s="6"/>
      <c r="BO426" s="140">
        <v>1.0</v>
      </c>
      <c r="BP426" s="6"/>
      <c r="BQ426" s="6"/>
      <c r="BR426" s="6"/>
      <c r="BS426" s="6"/>
      <c r="BT426" s="6"/>
      <c r="BU426" s="6"/>
      <c r="BV426" s="6"/>
      <c r="BW426" s="6"/>
      <c r="BX426" s="6"/>
      <c r="BY426" s="140">
        <v>1.0</v>
      </c>
    </row>
    <row r="427">
      <c r="BK427" s="22"/>
      <c r="BM427" s="140" t="s">
        <v>780</v>
      </c>
      <c r="BN427" s="6"/>
      <c r="BO427" s="6"/>
      <c r="BP427" s="140">
        <v>1.0</v>
      </c>
      <c r="BQ427" s="6"/>
      <c r="BR427" s="6"/>
      <c r="BS427" s="6"/>
      <c r="BT427" s="6"/>
      <c r="BU427" s="6"/>
      <c r="BV427" s="6"/>
      <c r="BW427" s="6"/>
      <c r="BX427" s="6"/>
      <c r="BY427" s="140">
        <v>1.0</v>
      </c>
    </row>
    <row r="428">
      <c r="BK428" s="22"/>
      <c r="BM428" s="140" t="s">
        <v>781</v>
      </c>
      <c r="BN428" s="6"/>
      <c r="BO428" s="6"/>
      <c r="BP428" s="6"/>
      <c r="BQ428" s="140">
        <v>1.0</v>
      </c>
      <c r="BR428" s="6"/>
      <c r="BS428" s="6"/>
      <c r="BT428" s="6"/>
      <c r="BU428" s="6"/>
      <c r="BV428" s="6"/>
      <c r="BW428" s="6"/>
      <c r="BX428" s="6"/>
      <c r="BY428" s="140">
        <v>1.0</v>
      </c>
    </row>
    <row r="429">
      <c r="BK429" s="22"/>
      <c r="BM429" s="6" t="s">
        <v>487</v>
      </c>
      <c r="BN429" s="140">
        <v>2.0</v>
      </c>
      <c r="BO429" s="140">
        <v>2.0</v>
      </c>
      <c r="BP429" s="140">
        <v>1.0</v>
      </c>
      <c r="BQ429" s="140">
        <v>1.0</v>
      </c>
      <c r="BR429" s="140">
        <v>1.0</v>
      </c>
      <c r="BS429" s="140">
        <v>1.0</v>
      </c>
      <c r="BT429" s="140">
        <v>3.0</v>
      </c>
      <c r="BU429" s="6">
        <v>4.0</v>
      </c>
      <c r="BV429" s="140">
        <v>2.0</v>
      </c>
      <c r="BW429" s="6">
        <v>4.0</v>
      </c>
      <c r="BX429" s="6">
        <v>5.0</v>
      </c>
      <c r="BY429" s="6">
        <v>26.0</v>
      </c>
    </row>
    <row r="430">
      <c r="BK430" s="22"/>
    </row>
    <row r="431">
      <c r="BK431" s="22"/>
    </row>
    <row r="432">
      <c r="BK432" s="22"/>
    </row>
    <row r="433">
      <c r="BK433" s="22"/>
    </row>
    <row r="434">
      <c r="BK434" s="22"/>
    </row>
    <row r="435">
      <c r="BK435" s="22"/>
    </row>
    <row r="436">
      <c r="BK436" s="22"/>
    </row>
    <row r="437">
      <c r="BK437" s="22"/>
    </row>
    <row r="438">
      <c r="BK438" s="22"/>
    </row>
    <row r="439">
      <c r="BK439" s="22"/>
    </row>
    <row r="440">
      <c r="BK440" s="22"/>
    </row>
    <row r="441">
      <c r="BK441" s="22"/>
    </row>
    <row r="442">
      <c r="BK442" s="22"/>
    </row>
    <row r="443">
      <c r="BK443" s="22"/>
    </row>
    <row r="444">
      <c r="BK444" s="22"/>
    </row>
    <row r="445">
      <c r="BK445" s="22"/>
    </row>
    <row r="446">
      <c r="BK446" s="22"/>
    </row>
  </sheetData>
  <mergeCells count="12">
    <mergeCell ref="A132:BJ132"/>
    <mergeCell ref="A315:BJ315"/>
    <mergeCell ref="BL315:CL315"/>
    <mergeCell ref="A316:BJ316"/>
    <mergeCell ref="BL316:CL316"/>
    <mergeCell ref="A1:BJ1"/>
    <mergeCell ref="BL1:CL1"/>
    <mergeCell ref="A2:BJ2"/>
    <mergeCell ref="BL2:CL2"/>
    <mergeCell ref="A131:BJ131"/>
    <mergeCell ref="BL131:CL131"/>
    <mergeCell ref="BL132:CL132"/>
  </mergeCells>
  <dataValidations>
    <dataValidation type="list" allowBlank="1" sqref="J7 J12 J16 J20 J24 J28 J32 J37 J41 J46 J50 J54 J58 J62 J66 J70 J74 J78 J82 J86 J90 J96 J137 J141 J147 J151 J157 J161 J165 J169 J175 J181 J185 J189 J193 J198 J202 J206 J210 J214 J218 J223 J227 J231 J235 J240 J244 J249 J253 J257 J261 J265 J269 J273 J279 J283 J287 J321 J325 J331 J340 J349 J353 J359 J363 J367 J371 J377 J383 J387 J391 J395 J400 J404 J408 J412">
      <formula1>'Machine Helper Sheet'!$G$2:$G$16</formula1>
    </dataValidation>
    <dataValidation type="list" allowBlank="1" showErrorMessage="1" sqref="AA5 AU5 AA10 AU10 AA14 AU14 AA18 AU18 AA22 AU22 AA26 AU26 AA30 AU30 AA35 AU35 AA39 AU39 AA44 AU44 AA48 AU48 AA52 AU52 AA56 AU56 AA60 AU60 AA64 AU64 AA68 AU68 AA72 AU72 AA76 AU76 AA80 AU80 AA84 AU84 AA88 AU88 AA94 AU94 AA135 AU135 AA139 AU139 AA145 AU145 AA149 AU149 AA155 AU155 AA159 AU159 AA163 AU163 AA167 AU167 AA173 AU173 AA179 AU179 AA183 AU183 AA187 AU187 AA191 AU191 AA196 AU196 AA200 AU200 AA204 AU204 AA208 AU208 AA212 AU212 AA216 AU216 AA221 AU221 AA225 AU225 AA229 AU229 AA233 AU233 AA238 AU238 AA242 AU242 AA247 AU247 AA251 AU251 AA255 AU255 AA259 AU259 AA263 AU263 AA267 AU267 AA271 AU271 AA277 AU277 AA281 AU281 AA285 AU285 AA319 AU319 AA323 AU323 AA329 AU329 AA338 AU338 AA347 AU347 AA351 AU351 AA357 AU357 AA361 AU361 AA365 AU365 AA369 AU369 AA375 AU375 AA381 AU381 AA385 AU385 AA389 AU389 AA393 AU393 AA398 AU398 AA402 AU402 AA406 AU406 AA410 AU410">
      <formula1>'Item Helper Sheet'!$A$2:$A$16</formula1>
    </dataValidation>
    <dataValidation type="list" allowBlank="1" showErrorMessage="1" sqref="H5 H10 H14 H18 H22 H26 H30 H35 H39 H44 H48 H52 H56 H60 H64 H68 H72 H76 H80 H84 H88 H94 H135 H139 H145 H149 H155 H159 H163 H167 H173 H179 H183 H187 H191 H196 H200 H204 H208 H212 H216 H221 H225 H229 H233 H238 H242 H247 H251 H255 H259 H263 H267 H271 H277 H281 H285 H319 H323 H329 H338 H347 H351 H357 H361 H365 H369 H375 H381 H385 H389 H393 H398 H402 H406 H410">
      <formula1>'Machine List'!$A$2:$A$107</formula1>
    </dataValidation>
    <dataValidation type="list" allowBlank="1" sqref="E6 CG6 C6:C8 C11 E11 E15 C15:C16 E19 C19:C20 E23 C23:C24 C27:C28 E27:E28 C31 E31:E33 C36 E36 E40 C40:C42 C45 E45 C49:C50 E49:E50 E53 C53:C54 C57 E57 E61 C61:C62 C65 E65 C69 E69 C73:C74 E73:E74 C77 E77 C81 E81 C85 E85 E89 C89:C92 C95:C96 E95:E98 C101:C105 E101:E108 E136 CG136 C136:C137 C140:C141 E140:E143 C146:C147 E146:E147 C150:C151 E150:E153 C156:C157 E156:E157 C160:C161 E160:E161 C164 E164 C168:C169 E168:E171 C174:C175 E174:E177 E180 C180:C181 E184 C184:C185 C188 E188 E192:E193 C192:C194 E197 C197:C198 C201 E201 C205 E205 C209:C210 E209:E210 C213 E213 E217 C217:C219 C222 E222 E226 C226:C227 C230:C231 E230:E231 C234 E234:E236 C239 E239 E243 C243:C245 C248 E248 C252:C253 E252:E253 E256 C256:C257 C260 E260 C264 E264 C268 E268 E272 C272:C275 C278 E278 C282 E282 E286 C286:C288 C291:C295 E291:E299 E320 CG320 C320:C321 C324:C325 E324:E327 C330:C331 E330:E336 C339:C340 E339:E345 C348:C349 E348:E349 C352:C353 E352:E355 C358:C359 E358:E359 C362:C363 E362:E363 C366 E366 C370:C371 E370:E373 C376:C377 E376:E379 E382 C382:C383 E386 C386:C387 C390 E390 E394:E395 C394:C396 C399 E399 C403 E403 E407 C407:C408 C411 E411 E415 C415:C426">
      <formula1>'Item List'!$A$2:$A$300</formula1>
    </dataValidation>
    <dataValidation type="list" allowBlank="1" showErrorMessage="1" sqref="R5 R10 R14 R18 R22 R26 R30 R35 R39 R44 R48 R52 R56 R60 R64 R68 R72 R76 R80 R84 R88 R94 R135 R139 R145 R149 R155 R159 R163 R167 R173 R179 R183 R187 R191 R196 R200 R204 R208 R212 R216 R221 R225 R229 R233 R238 R242 R247 R251 R255 R259 R263 R267 R271 R277 R281 R285 R319 R323 R329 R338 R347 R351 R357 R361 R365 R369 R375 R381 R385 R389 R393 R398 R402 R406 R410">
      <formula1>"Yes,No"</formula1>
    </dataValidation>
  </dataValidations>
  <drawing r:id="rId2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27.0"/>
    <col customWidth="1" min="3" max="3" width="26.88"/>
    <col customWidth="1" min="5" max="5" width="27.63"/>
    <col customWidth="1" min="8" max="8" width="19.75"/>
    <col customWidth="1" min="9" max="61" width="9.5"/>
    <col customWidth="1" min="62" max="62" width="2.63"/>
    <col customWidth="1" min="64" max="64" width="2.5"/>
    <col customWidth="1" min="65" max="65" width="22.63"/>
    <col customWidth="1" min="68" max="68" width="22.75"/>
    <col customWidth="1" min="71" max="71" width="22.75"/>
    <col customWidth="1" min="77" max="77" width="22.75"/>
    <col customWidth="1" min="85" max="85" width="16.63"/>
    <col customWidth="1" min="86" max="86" width="17.75"/>
    <col customWidth="1" min="87" max="87" width="14.38"/>
    <col customWidth="1" min="88" max="88" width="17.25"/>
  </cols>
  <sheetData>
    <row r="1">
      <c r="A1" s="9" t="s">
        <v>783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3"/>
      <c r="BK1" s="12" t="s">
        <v>490</v>
      </c>
      <c r="BL1" s="9" t="s">
        <v>783</v>
      </c>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3"/>
    </row>
    <row r="2">
      <c r="A2" s="15" t="s">
        <v>784</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8"/>
      <c r="BK2" s="12" t="s">
        <v>492</v>
      </c>
      <c r="BL2" s="15" t="s">
        <v>784</v>
      </c>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8"/>
    </row>
    <row r="3">
      <c r="BK3" s="22"/>
    </row>
    <row r="4">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0" t="s">
        <v>694</v>
      </c>
      <c r="Z4" s="90" t="s">
        <v>695</v>
      </c>
      <c r="AA4" s="92" t="s">
        <v>495</v>
      </c>
      <c r="AB4" s="90" t="s">
        <v>421</v>
      </c>
      <c r="AC4" s="92" t="s">
        <v>553</v>
      </c>
      <c r="AD4" s="90" t="s">
        <v>554</v>
      </c>
      <c r="AE4" s="92" t="s">
        <v>555</v>
      </c>
      <c r="AF4" s="93" t="s">
        <v>467</v>
      </c>
      <c r="AG4" s="90"/>
      <c r="AH4" s="90" t="s">
        <v>556</v>
      </c>
      <c r="AI4" s="94" t="s">
        <v>475</v>
      </c>
      <c r="AJ4" s="90" t="s">
        <v>557</v>
      </c>
      <c r="AK4" s="90" t="s">
        <v>558</v>
      </c>
      <c r="AL4" s="90" t="s">
        <v>559</v>
      </c>
      <c r="AM4" s="92" t="s">
        <v>560</v>
      </c>
      <c r="AN4" s="90" t="s">
        <v>561</v>
      </c>
      <c r="AO4" s="90" t="s">
        <v>562</v>
      </c>
      <c r="AP4" s="92" t="s">
        <v>563</v>
      </c>
      <c r="AQ4" s="90" t="s">
        <v>564</v>
      </c>
      <c r="AR4" s="90" t="s">
        <v>565</v>
      </c>
      <c r="AS4" s="95" t="s">
        <v>566</v>
      </c>
      <c r="AT4" s="90"/>
      <c r="AU4" s="90" t="s">
        <v>468</v>
      </c>
      <c r="AV4" s="92" t="s">
        <v>496</v>
      </c>
      <c r="AW4" s="94" t="s">
        <v>567</v>
      </c>
      <c r="AX4" s="90" t="s">
        <v>568</v>
      </c>
      <c r="AY4" s="90" t="s">
        <v>569</v>
      </c>
      <c r="AZ4" s="90" t="s">
        <v>570</v>
      </c>
      <c r="BA4" s="92" t="s">
        <v>571</v>
      </c>
      <c r="BB4" s="90" t="s">
        <v>572</v>
      </c>
      <c r="BC4" s="90" t="s">
        <v>573</v>
      </c>
      <c r="BD4" s="90" t="s">
        <v>574</v>
      </c>
      <c r="BE4" s="90" t="s">
        <v>575</v>
      </c>
      <c r="BF4" s="92" t="s">
        <v>576</v>
      </c>
      <c r="BG4" s="92" t="s">
        <v>577</v>
      </c>
      <c r="BH4" s="92" t="s">
        <v>578</v>
      </c>
      <c r="BI4" s="96" t="s">
        <v>471</v>
      </c>
      <c r="BK4" s="22"/>
    </row>
    <row r="5">
      <c r="B5" s="31" t="s">
        <v>785</v>
      </c>
      <c r="C5" s="54"/>
      <c r="D5" s="45"/>
      <c r="E5" s="45"/>
      <c r="F5" s="47"/>
      <c r="G5" s="35"/>
      <c r="H5" s="163" t="s">
        <v>380</v>
      </c>
      <c r="I5" s="38" t="str">
        <f>VLOOKUP(H5,'Machine List'!$A$1:$I$300,9,FALSE)</f>
        <v>1T</v>
      </c>
      <c r="J5" s="38">
        <f>IF(VLOOKUP(H5,'Machine List'!$A$1:$I$300,5,FALSE)="Multi",IF(VLOOKUP(H5,'Machine List'!$A$1:$I$300,6,FALSE)="Yes",AI5*3*10^AB5,AI5*(2*3)*10^(AB5-1)),0)</f>
        <v>0</v>
      </c>
      <c r="K5" s="38">
        <f>J5+IF(ISNUMBER(I5),I5,
  SWITCH(
      I5,
      "1T",1*10^AB5,
      "2T",2*10^AB5,
      "3T",3*10^AB5,
      "4T",4*10^AB5,
      "4000+500(7O-5)",4000+500*(7*I6-5),
      "13500 + 16C",13500+16*VLOOKUP(J7,'Machine Helper Sheet'!$G$1:$K$16,5,FALSE),
      1
  )
)</f>
        <v>100000</v>
      </c>
      <c r="L5" s="38">
        <f>IF(VLOOKUP(H5,'Machine List'!$A$1:$I$300,5,FALSE)="Multi",IF(VLOOKUP(H5,'Machine List'!$A$1:$I$300,6,FALSE)="Yes",AW5*3*10^AV5,AW5*(2*3)*10^(AV5-1)),0)</f>
        <v>0</v>
      </c>
      <c r="M5" s="38">
        <f>L5+IF(ISNUMBER(I5),I5,
  SWITCH(
      I5,
      "1T",1*10^AV5,
      "2T",2*10^AV5,
      "3T",3*10^AV5,
      "4T",4*10^AV5,
      "4000+500(7O-5)",4000+500*(7*I6-5),
      1
  )
)</f>
        <v>100000</v>
      </c>
      <c r="N5" s="38" t="str">
        <f>VLOOKUP(H5,'Machine List'!$A$1:$I$300,8,FALSE)</f>
        <v>Tier</v>
      </c>
      <c r="O5" s="38">
        <f>IF(ISNUMBER(N5),N5,10^AB5)</f>
        <v>100000</v>
      </c>
      <c r="P5" s="38">
        <f>IF(ISNUMBER(N5),N5,10^AV5)</f>
        <v>100000</v>
      </c>
      <c r="Q5" s="38">
        <f>VLOOKUP(H5,'Machine List'!$A$1:$B$138,2,FALSE)</f>
        <v>1</v>
      </c>
      <c r="R5" s="164" t="s">
        <v>277</v>
      </c>
      <c r="S5" s="45">
        <f>IF(ISNUMBER(Q5),Q5,
  SWITCH(
      Q5,
      "1",1,
      "2T",AB5*2,
      "4T",AB5*4,
      "6T",AB5*6,
      "8T",AB5*8,
      "10T",AB5*10,
      "12T",AB5*12,
      "14T",AB5*14,
      "16T",AB5*16,
      "24T",AB5*24,
      "2(T+1)",2*(AB5+1),
      "1T*C",AB5*J7,
      "2*P",L7*2,
      1
  )
)</f>
        <v>1</v>
      </c>
      <c r="T5" s="38" t="s">
        <v>277</v>
      </c>
      <c r="U5" s="38">
        <f>IF(OR(T5="No",T5=""),S5,T5)</f>
        <v>1</v>
      </c>
      <c r="V5" s="38">
        <f>IF(ISNUMBER(Q5),Q5,
  SWITCH(
      Q5,
      "1",1,
      "2T",AV5*2,
      "4T",AV5*4,
      "6T",AV5*6,
      "8T",AV5*8,
      "10T",AV5*10,
      "12T",AV5*12,
      "14T",AV5*14,
      "16T",AV5*16,
      "24T",AV5*24,
      "2(T+1)",2*(AV5+1),
      "1T*C",AV5*J7,
      "2*P",L7*2,
      1
  )
)</f>
        <v>1</v>
      </c>
      <c r="W5" s="38" t="str">
        <f>T5</f>
        <v>No</v>
      </c>
      <c r="X5" s="38">
        <f>IF(OR(W5="No",W5=""),V5,W5)</f>
        <v>1</v>
      </c>
      <c r="Y5" s="38">
        <f>VLOOKUP(H5,'Machine List'!$A$1:$C$138,3,FALSE)</f>
        <v>1</v>
      </c>
      <c r="Z5" s="38">
        <f>VLOOKUP(H5,'Machine List'!$A$1:$D$138,4,FALSE)</f>
        <v>1</v>
      </c>
      <c r="AA5" s="164" t="s">
        <v>405</v>
      </c>
      <c r="AB5" s="38">
        <f>VLOOKUP(AA5,'Item Helper Sheet'!$A$2:$B$16,2,FALSE)</f>
        <v>5</v>
      </c>
      <c r="AC5" s="164">
        <v>2400.0</v>
      </c>
      <c r="AD5" s="38">
        <f>10*20</f>
        <v>200</v>
      </c>
      <c r="AE5" s="38">
        <f>AD5*I7</f>
        <v>178400</v>
      </c>
      <c r="AF5" s="38">
        <f>AC5*AE5</f>
        <v>428160000</v>
      </c>
      <c r="AG5" s="75"/>
      <c r="AH5" s="38" t="str">
        <f>AA5</f>
        <v>05 - IV</v>
      </c>
      <c r="AI5" s="38">
        <v>1.0</v>
      </c>
      <c r="AJ5" s="38">
        <v>1.0</v>
      </c>
      <c r="AK5" s="38">
        <f>AJ5*8*4^AB5</f>
        <v>8192</v>
      </c>
      <c r="AL5" s="38">
        <f>MIN(ROUNDDOWN(AK5/AN5,0),U5)</f>
        <v>1</v>
      </c>
      <c r="AM5" s="38">
        <f>IF(OR(T5="No",T5=""),AI5*S5,AI5*T5)</f>
        <v>1</v>
      </c>
      <c r="AN5" s="38">
        <f>ROUNDUP(AC5*VLOOKUP(H5,'Machine List'!$A$2:$D$219,4,FALSE),0)</f>
        <v>2400</v>
      </c>
      <c r="AO5" s="38">
        <f>AN5*AM5</f>
        <v>2400</v>
      </c>
      <c r="AP5" s="38">
        <f>ROUNDUP(AD5*I7,0)</f>
        <v>178400</v>
      </c>
      <c r="AQ5" s="38">
        <f>IF(ISNUMBER(Y5),ROUNDUP(AP5/Y5,0),
  SWITCH(
      Y5,
      "1+0.5C",ROUNDUP(AP5/(1+0.5*VLOOKUP(J7,'Machine Helper Sheet'!$G$1:$K$16,2,FALSE)),0),
      ROUNDUP(AP5/1,0)
  )
)</f>
        <v>178400</v>
      </c>
      <c r="AR5" s="38">
        <f>ROUNDUP(AQ5/AM5,0)</f>
        <v>178400</v>
      </c>
      <c r="AS5" s="38">
        <f>AO5*AR5</f>
        <v>428160000</v>
      </c>
      <c r="AT5" s="75"/>
      <c r="AU5" s="164" t="s">
        <v>405</v>
      </c>
      <c r="AV5" s="38">
        <f>VLOOKUP(AU5,'Item Helper Sheet'!$A$2:$B$16,2,FALSE)</f>
        <v>5</v>
      </c>
      <c r="AW5" s="38">
        <f>AI5</f>
        <v>1</v>
      </c>
      <c r="AX5" s="38">
        <v>1.0</v>
      </c>
      <c r="AY5" s="38">
        <f>AX5*8*4^AV5</f>
        <v>8192</v>
      </c>
      <c r="AZ5" s="38">
        <f>MIN(ROUNDDOWN(AY5/AN5,0),X5)</f>
        <v>1</v>
      </c>
      <c r="BA5" s="38">
        <f>AZ5*AW5</f>
        <v>1</v>
      </c>
      <c r="BB5" s="38">
        <f>AN5</f>
        <v>2400</v>
      </c>
      <c r="BC5" s="38">
        <f>MIN(AV5-AB5,IF(AY5&gt;=BB6*4,
IF(AY5&gt;=BB6*4^2,
IF(AY5&gt;=BB6*4^3,
IF(AY5&gt;=BB6*4^4,
IF(AY5&gt;=BB6*4^5,
IF(AY5&gt;=BB6*4^6,
IF(AY5&gt;=BB6*4^7,
IF(AY5&gt;=BB6*4^8,
IF(AY5&gt;=BB6*4^9,
IF(AY5&gt;=BB6*4^10,
9),
8),
7),
6),
5),
4),
3),
2),
1),
0))</f>
        <v>0</v>
      </c>
      <c r="BD5" s="38">
        <f>BB5*AZ5*4^BC5</f>
        <v>2400</v>
      </c>
      <c r="BE5" s="38">
        <f>BD5*AW5</f>
        <v>2400</v>
      </c>
      <c r="BF5" s="45">
        <f>ROUNDUP(IF(R5="Yes",AP5/(2^((BC5)*2)),AP5/(2^(BC5))),0)</f>
        <v>178400</v>
      </c>
      <c r="BG5" s="45">
        <f>IF(ISNUMBER(Y5),ROUNDUP(BF5/Y5,0),
  SWITCH(
      Y5,
      "1+0.5C",ROUNDUP(BF5/(1+0.5*VLOOKUP(J7,'Machine Helper Sheet'!$G$1:$K$16,2,FALSE)),0),
      ROUNDUP(BF5/1,0)
  )
)</f>
        <v>178400</v>
      </c>
      <c r="BH5" s="45">
        <f>ROUNDUP(BG5/BA5,0)</f>
        <v>178400</v>
      </c>
      <c r="BI5" s="46">
        <f>BH5*BE5</f>
        <v>428160000</v>
      </c>
      <c r="BK5" s="22"/>
      <c r="BS5" s="6" t="s">
        <v>458</v>
      </c>
      <c r="BT5" s="6" t="s">
        <v>497</v>
      </c>
      <c r="BU5" s="7" t="s">
        <v>281</v>
      </c>
      <c r="BV5" s="7" t="s">
        <v>8</v>
      </c>
      <c r="BW5" s="1" t="s">
        <v>9</v>
      </c>
      <c r="CA5" s="97" t="s">
        <v>513</v>
      </c>
      <c r="CB5" s="97" t="s">
        <v>514</v>
      </c>
      <c r="CC5" s="97" t="s">
        <v>580</v>
      </c>
      <c r="CD5" s="97" t="s">
        <v>581</v>
      </c>
      <c r="CE5" s="97" t="s">
        <v>582</v>
      </c>
      <c r="CG5" s="98" t="s">
        <v>503</v>
      </c>
      <c r="CH5" s="98" t="s">
        <v>583</v>
      </c>
      <c r="CI5" s="98" t="s">
        <v>498</v>
      </c>
      <c r="CJ5" s="98" t="s">
        <v>504</v>
      </c>
      <c r="CK5" s="98" t="s">
        <v>509</v>
      </c>
    </row>
    <row r="6">
      <c r="B6" s="40"/>
      <c r="C6" s="165" t="s">
        <v>120</v>
      </c>
      <c r="D6" s="38">
        <f>1*I7</f>
        <v>892</v>
      </c>
      <c r="E6" s="164" t="s">
        <v>171</v>
      </c>
      <c r="F6" s="42">
        <f>1*I7</f>
        <v>892</v>
      </c>
      <c r="G6" s="43"/>
      <c r="H6" s="99" t="s">
        <v>584</v>
      </c>
      <c r="I6" s="45">
        <f t="array" ref="I6">match(TRUE,ISBLANK(F6:F21),0)-1</f>
        <v>1</v>
      </c>
      <c r="J6" s="100" t="s">
        <v>420</v>
      </c>
      <c r="K6" s="100" t="s">
        <v>585</v>
      </c>
      <c r="L6" s="100" t="s">
        <v>704</v>
      </c>
      <c r="M6" s="38"/>
      <c r="N6" s="38"/>
      <c r="O6" s="38"/>
      <c r="P6" s="38"/>
      <c r="Q6" s="38"/>
      <c r="R6" s="101"/>
      <c r="S6" s="101"/>
      <c r="T6" s="101"/>
      <c r="U6" s="45"/>
      <c r="V6" s="45"/>
      <c r="W6" s="45"/>
      <c r="X6" s="45"/>
      <c r="Y6" s="45"/>
      <c r="Z6" s="45"/>
      <c r="AA6" s="45"/>
      <c r="AB6" s="45"/>
      <c r="AC6" s="45"/>
      <c r="AD6" s="45"/>
      <c r="AE6" s="45"/>
      <c r="AF6" s="45"/>
      <c r="AG6" s="79"/>
      <c r="AH6" s="45"/>
      <c r="AI6" s="45"/>
      <c r="AJ6" s="45"/>
      <c r="AK6" s="45"/>
      <c r="AL6" s="45"/>
      <c r="AM6" s="45"/>
      <c r="AN6" s="45"/>
      <c r="AO6" s="45"/>
      <c r="AP6" s="45"/>
      <c r="AQ6" s="45"/>
      <c r="AR6" s="45"/>
      <c r="AS6" s="45"/>
      <c r="AT6" s="79"/>
      <c r="AU6" s="45"/>
      <c r="AV6" s="45"/>
      <c r="AW6" s="45"/>
      <c r="AX6" s="45"/>
      <c r="AY6" s="45"/>
      <c r="AZ6" s="45"/>
      <c r="BA6" s="45"/>
      <c r="BB6" s="45">
        <f>BB5*AZ5</f>
        <v>2400</v>
      </c>
      <c r="BC6" s="45"/>
      <c r="BD6" s="45"/>
      <c r="BE6" s="45"/>
      <c r="BF6" s="45"/>
      <c r="BG6" s="45"/>
      <c r="BH6" s="45"/>
      <c r="BI6" s="46"/>
      <c r="BK6" s="22"/>
      <c r="BS6" s="6" t="s">
        <v>18</v>
      </c>
      <c r="BT6" s="140">
        <v>0.0</v>
      </c>
      <c r="BU6" s="6">
        <f>VLOOKUP(BS6,'Item List'!$A$2:$D$300,2,FALSE)</f>
        <v>1</v>
      </c>
      <c r="BV6" s="6">
        <f>VLOOKUP(BS6,'Item List'!$A$2:$D$300,3,FALSE)</f>
        <v>3</v>
      </c>
      <c r="BW6" s="6">
        <f>VLOOKUP(BS6,'Item List'!$A$2:$D$300,4,FALSE)</f>
        <v>2</v>
      </c>
      <c r="CA6" s="140">
        <f t="shared" ref="CA6:CA23" si="1">VLOOKUP(BY6,$BM$6:$BN$59,2)</f>
        <v>5541</v>
      </c>
      <c r="CB6" s="6">
        <f t="shared" ref="CB6:CB23" si="2">CA6/$CH$6</f>
        <v>52.77142857</v>
      </c>
      <c r="CC6" s="102">
        <f t="shared" ref="CC6:CC23" si="3">1/($CI$8/CB6)</f>
        <v>0.03977174849</v>
      </c>
      <c r="CD6" s="102">
        <f t="shared" ref="CD6:CD23" si="4">1/($CJ$8/CB6)</f>
        <v>0.5965762274</v>
      </c>
      <c r="CE6" s="102">
        <f t="shared" ref="CE6:CE23" si="5">1/($CK$8/CB6)</f>
        <v>52.77142857</v>
      </c>
      <c r="CG6" s="38" t="s">
        <v>173</v>
      </c>
      <c r="CH6" s="5">
        <f>VLOOKUP(CG6,BP5:BQ59,2,FALSE)</f>
        <v>105</v>
      </c>
      <c r="CI6" s="5">
        <f>CH6/BQ97*20</f>
        <v>0.0007536606374</v>
      </c>
      <c r="CJ6" s="103">
        <f>CH6/BR97*20</f>
        <v>0.01130490956</v>
      </c>
      <c r="CK6" s="4">
        <v>1.0</v>
      </c>
    </row>
    <row r="7">
      <c r="B7" s="40"/>
      <c r="C7" s="165" t="s">
        <v>168</v>
      </c>
      <c r="D7" s="38">
        <f>1*I7</f>
        <v>892</v>
      </c>
      <c r="E7" s="38"/>
      <c r="F7" s="42"/>
      <c r="G7" s="43"/>
      <c r="H7" s="56" t="s">
        <v>502</v>
      </c>
      <c r="I7" s="166">
        <v>892.0</v>
      </c>
      <c r="J7" s="100" t="s">
        <v>424</v>
      </c>
      <c r="K7" s="100">
        <v>0.0</v>
      </c>
      <c r="L7" s="100">
        <v>0.0</v>
      </c>
      <c r="M7" s="45"/>
      <c r="N7" s="45"/>
      <c r="O7" s="45"/>
      <c r="P7" s="45"/>
      <c r="Q7" s="45"/>
      <c r="R7" s="45"/>
      <c r="S7" s="101"/>
      <c r="T7" s="101"/>
      <c r="U7" s="45"/>
      <c r="V7" s="45"/>
      <c r="W7" s="45"/>
      <c r="X7" s="45"/>
      <c r="Y7" s="45"/>
      <c r="Z7" s="45"/>
      <c r="AA7" s="45"/>
      <c r="AB7" s="45"/>
      <c r="AC7" s="45"/>
      <c r="AD7" s="45"/>
      <c r="AE7" s="45"/>
      <c r="AF7" s="45"/>
      <c r="AG7" s="79"/>
      <c r="AH7" s="45"/>
      <c r="AI7" s="45"/>
      <c r="AJ7" s="45"/>
      <c r="AK7" s="45"/>
      <c r="AL7" s="45"/>
      <c r="AM7" s="45"/>
      <c r="AN7" s="45"/>
      <c r="AO7" s="45"/>
      <c r="AP7" s="45"/>
      <c r="AQ7" s="45"/>
      <c r="AR7" s="45"/>
      <c r="AS7" s="45"/>
      <c r="AT7" s="79"/>
      <c r="AU7" s="45"/>
      <c r="AV7" s="45"/>
      <c r="AW7" s="45"/>
      <c r="AX7" s="45"/>
      <c r="AY7" s="45"/>
      <c r="AZ7" s="45"/>
      <c r="BA7" s="45"/>
      <c r="BB7" s="45"/>
      <c r="BC7" s="45"/>
      <c r="BD7" s="45"/>
      <c r="BE7" s="45"/>
      <c r="BF7" s="45"/>
      <c r="BG7" s="45"/>
      <c r="BH7" s="45"/>
      <c r="BI7" s="46"/>
      <c r="BK7" s="22"/>
      <c r="BS7" s="6" t="s">
        <v>19</v>
      </c>
      <c r="BT7" s="140">
        <v>0.0</v>
      </c>
      <c r="BU7" s="6">
        <f>VLOOKUP(BS7,'Item List'!$A$2:$D$300,2,FALSE)</f>
        <v>1</v>
      </c>
      <c r="BV7" s="6">
        <f>VLOOKUP(BS7,'Item List'!$A$2:$D$300,3,FALSE)</f>
        <v>3</v>
      </c>
      <c r="BW7" s="6">
        <f>VLOOKUP(BS7,'Item List'!$A$2:$D$300,4,FALSE)</f>
        <v>2</v>
      </c>
      <c r="CA7" s="140">
        <f t="shared" si="1"/>
        <v>6908</v>
      </c>
      <c r="CB7" s="6">
        <f t="shared" si="2"/>
        <v>65.79047619</v>
      </c>
      <c r="CC7" s="102">
        <f t="shared" si="3"/>
        <v>0.04958369222</v>
      </c>
      <c r="CD7" s="102">
        <f t="shared" si="4"/>
        <v>0.7437553833</v>
      </c>
      <c r="CE7" s="102">
        <f t="shared" si="5"/>
        <v>65.79047619</v>
      </c>
      <c r="CG7" s="5"/>
      <c r="CH7" s="5"/>
      <c r="CI7" s="98" t="s">
        <v>505</v>
      </c>
      <c r="CJ7" s="98" t="s">
        <v>506</v>
      </c>
      <c r="CK7" s="98" t="s">
        <v>586</v>
      </c>
    </row>
    <row r="8">
      <c r="B8" s="40"/>
      <c r="C8" s="165" t="s">
        <v>122</v>
      </c>
      <c r="D8" s="38">
        <f>1*I7</f>
        <v>892</v>
      </c>
      <c r="E8" s="38"/>
      <c r="F8" s="42"/>
      <c r="G8" s="43"/>
      <c r="H8" s="44"/>
      <c r="I8" s="45"/>
      <c r="J8" s="45"/>
      <c r="K8" s="45"/>
      <c r="L8" s="45"/>
      <c r="M8" s="45"/>
      <c r="N8" s="45"/>
      <c r="O8" s="45"/>
      <c r="P8" s="45"/>
      <c r="Q8" s="45"/>
      <c r="R8" s="45"/>
      <c r="S8" s="101"/>
      <c r="T8" s="101"/>
      <c r="U8" s="45"/>
      <c r="V8" s="45"/>
      <c r="W8" s="45"/>
      <c r="X8" s="45"/>
      <c r="Y8" s="45"/>
      <c r="Z8" s="45"/>
      <c r="AA8" s="45"/>
      <c r="AB8" s="45"/>
      <c r="AC8" s="45"/>
      <c r="AD8" s="45"/>
      <c r="AE8" s="45"/>
      <c r="AF8" s="45"/>
      <c r="AG8" s="79"/>
      <c r="AH8" s="45"/>
      <c r="AI8" s="45"/>
      <c r="AJ8" s="45"/>
      <c r="AK8" s="45"/>
      <c r="AL8" s="45"/>
      <c r="AM8" s="45"/>
      <c r="AN8" s="45"/>
      <c r="AO8" s="45"/>
      <c r="AP8" s="45"/>
      <c r="AQ8" s="45"/>
      <c r="AR8" s="45"/>
      <c r="AS8" s="45"/>
      <c r="AT8" s="79"/>
      <c r="AU8" s="45"/>
      <c r="AV8" s="45"/>
      <c r="AW8" s="45"/>
      <c r="AX8" s="45"/>
      <c r="AY8" s="45"/>
      <c r="AZ8" s="45"/>
      <c r="BA8" s="45"/>
      <c r="BB8" s="45"/>
      <c r="BC8" s="45"/>
      <c r="BD8" s="45"/>
      <c r="BE8" s="45"/>
      <c r="BF8" s="45"/>
      <c r="BG8" s="45"/>
      <c r="BH8" s="45"/>
      <c r="BI8" s="46"/>
      <c r="BK8" s="22"/>
      <c r="BS8" s="140" t="s">
        <v>17</v>
      </c>
      <c r="BT8" s="140">
        <v>-5541.0</v>
      </c>
      <c r="BU8" s="6">
        <f>VLOOKUP(BS8,'Item List'!$A$2:$D$300,2,FALSE)</f>
        <v>1</v>
      </c>
      <c r="BV8" s="6">
        <f>VLOOKUP(BS8,'Item List'!$A$2:$D$300,3,FALSE)</f>
        <v>3</v>
      </c>
      <c r="BW8" s="6">
        <f>VLOOKUP(BS8,'Item List'!$A$2:$D$300,4,FALSE)</f>
        <v>2</v>
      </c>
      <c r="CA8" s="140">
        <f t="shared" si="1"/>
        <v>3189</v>
      </c>
      <c r="CB8" s="6">
        <f t="shared" si="2"/>
        <v>30.37142857</v>
      </c>
      <c r="CC8" s="102">
        <f t="shared" si="3"/>
        <v>0.02288975022</v>
      </c>
      <c r="CD8" s="102">
        <f t="shared" si="4"/>
        <v>0.3433462532</v>
      </c>
      <c r="CE8" s="102">
        <f t="shared" si="5"/>
        <v>30.37142857</v>
      </c>
      <c r="CG8" s="5"/>
      <c r="CH8" s="5"/>
      <c r="CI8" s="105">
        <f>BQ97/CH6/20</f>
        <v>1326.857143</v>
      </c>
      <c r="CJ8" s="106">
        <f>BR97/CH6/20</f>
        <v>88.45714286</v>
      </c>
      <c r="CK8" s="5">
        <f>1/CK6</f>
        <v>1</v>
      </c>
    </row>
    <row r="9">
      <c r="B9" s="40"/>
      <c r="C9" s="165" t="s">
        <v>209</v>
      </c>
      <c r="D9" s="38">
        <f>12*I7</f>
        <v>10704</v>
      </c>
      <c r="E9" s="38"/>
      <c r="F9" s="38"/>
      <c r="G9" s="79"/>
      <c r="H9" s="45"/>
      <c r="I9" s="45"/>
      <c r="J9" s="45"/>
      <c r="K9" s="45"/>
      <c r="L9" s="45"/>
      <c r="M9" s="45"/>
      <c r="N9" s="45"/>
      <c r="O9" s="45"/>
      <c r="P9" s="45"/>
      <c r="Q9" s="45"/>
      <c r="R9" s="45"/>
      <c r="S9" s="101"/>
      <c r="T9" s="101"/>
      <c r="U9" s="45"/>
      <c r="V9" s="45"/>
      <c r="W9" s="45"/>
      <c r="X9" s="45"/>
      <c r="Y9" s="45"/>
      <c r="Z9" s="45"/>
      <c r="AA9" s="45"/>
      <c r="AB9" s="45"/>
      <c r="AC9" s="45"/>
      <c r="AD9" s="45"/>
      <c r="AE9" s="45"/>
      <c r="AF9" s="45"/>
      <c r="AG9" s="79"/>
      <c r="AH9" s="45"/>
      <c r="AI9" s="45"/>
      <c r="AJ9" s="45"/>
      <c r="AK9" s="45"/>
      <c r="AL9" s="45"/>
      <c r="AM9" s="45"/>
      <c r="AN9" s="45"/>
      <c r="AO9" s="45"/>
      <c r="AP9" s="45"/>
      <c r="AQ9" s="45"/>
      <c r="AR9" s="45"/>
      <c r="AS9" s="45"/>
      <c r="AT9" s="79"/>
      <c r="AU9" s="45"/>
      <c r="AV9" s="45"/>
      <c r="AW9" s="45"/>
      <c r="AX9" s="45"/>
      <c r="AY9" s="45"/>
      <c r="AZ9" s="45"/>
      <c r="BA9" s="45"/>
      <c r="BB9" s="45"/>
      <c r="BC9" s="45"/>
      <c r="BD9" s="45"/>
      <c r="BE9" s="45"/>
      <c r="BF9" s="45"/>
      <c r="BG9" s="45"/>
      <c r="BH9" s="45"/>
      <c r="BI9" s="46"/>
      <c r="BK9" s="22"/>
      <c r="BS9" s="6" t="s">
        <v>25</v>
      </c>
      <c r="BT9" s="140">
        <v>0.0</v>
      </c>
      <c r="BU9" s="6">
        <f>VLOOKUP(BS9,'Item List'!$A$2:$D$300,2,FALSE)</f>
        <v>1</v>
      </c>
      <c r="BV9" s="6">
        <f>VLOOKUP(BS9,'Item List'!$A$2:$D$300,3,FALSE)</f>
        <v>3</v>
      </c>
      <c r="BW9" s="6">
        <f>VLOOKUP(BS9,'Item List'!$A$2:$D$300,4,FALSE)</f>
        <v>2</v>
      </c>
      <c r="CA9" s="140">
        <f t="shared" si="1"/>
        <v>446</v>
      </c>
      <c r="CB9" s="6">
        <f t="shared" si="2"/>
        <v>4.247619048</v>
      </c>
      <c r="CC9" s="102">
        <f t="shared" si="3"/>
        <v>0.003201263279</v>
      </c>
      <c r="CD9" s="102">
        <f t="shared" si="4"/>
        <v>0.04801894918</v>
      </c>
      <c r="CE9" s="102">
        <f t="shared" si="5"/>
        <v>4.247619048</v>
      </c>
      <c r="CG9" s="5"/>
      <c r="CH9" s="5"/>
      <c r="CI9" s="98" t="s">
        <v>587</v>
      </c>
      <c r="CJ9" s="98" t="s">
        <v>588</v>
      </c>
    </row>
    <row r="10">
      <c r="B10" s="40"/>
      <c r="C10" s="165" t="s">
        <v>212</v>
      </c>
      <c r="D10" s="38">
        <f>12*I7</f>
        <v>10704</v>
      </c>
      <c r="E10" s="38"/>
      <c r="F10" s="38"/>
      <c r="G10" s="79"/>
      <c r="H10" s="45"/>
      <c r="I10" s="45"/>
      <c r="J10" s="45"/>
      <c r="K10" s="45"/>
      <c r="L10" s="45"/>
      <c r="M10" s="45"/>
      <c r="N10" s="45"/>
      <c r="O10" s="45"/>
      <c r="P10" s="45"/>
      <c r="Q10" s="45"/>
      <c r="R10" s="45"/>
      <c r="S10" s="101"/>
      <c r="T10" s="101"/>
      <c r="U10" s="45"/>
      <c r="V10" s="45"/>
      <c r="W10" s="45"/>
      <c r="X10" s="45"/>
      <c r="Y10" s="45"/>
      <c r="Z10" s="45"/>
      <c r="AA10" s="45"/>
      <c r="AB10" s="45"/>
      <c r="AC10" s="45"/>
      <c r="AD10" s="45"/>
      <c r="AE10" s="45"/>
      <c r="AF10" s="45"/>
      <c r="AG10" s="79"/>
      <c r="AH10" s="45"/>
      <c r="AI10" s="45"/>
      <c r="AJ10" s="45"/>
      <c r="AK10" s="45"/>
      <c r="AL10" s="45"/>
      <c r="AM10" s="45"/>
      <c r="AN10" s="45"/>
      <c r="AO10" s="45"/>
      <c r="AP10" s="45"/>
      <c r="AQ10" s="45"/>
      <c r="AR10" s="45"/>
      <c r="AS10" s="45"/>
      <c r="AT10" s="79"/>
      <c r="AU10" s="45"/>
      <c r="AV10" s="45"/>
      <c r="AW10" s="45"/>
      <c r="AX10" s="45"/>
      <c r="AY10" s="45"/>
      <c r="AZ10" s="45"/>
      <c r="BA10" s="45"/>
      <c r="BB10" s="45"/>
      <c r="BC10" s="45"/>
      <c r="BD10" s="45"/>
      <c r="BE10" s="45"/>
      <c r="BF10" s="45"/>
      <c r="BG10" s="45"/>
      <c r="BH10" s="45"/>
      <c r="BI10" s="46"/>
      <c r="BK10" s="22"/>
      <c r="BS10" s="140" t="s">
        <v>44</v>
      </c>
      <c r="BT10" s="140">
        <v>-6908.0</v>
      </c>
      <c r="BU10" s="6">
        <f>VLOOKUP(BS10,'Item List'!$A$2:$D$300,2,FALSE)</f>
        <v>1</v>
      </c>
      <c r="BV10" s="6">
        <f>VLOOKUP(BS10,'Item List'!$A$2:$D$300,3,FALSE)</f>
        <v>4</v>
      </c>
      <c r="BW10" s="6">
        <f>VLOOKUP(BS10,'Item List'!$A$2:$D$300,4,FALSE)</f>
        <v>1</v>
      </c>
      <c r="CA10" s="140">
        <f t="shared" si="1"/>
        <v>4644</v>
      </c>
      <c r="CB10" s="6">
        <f t="shared" si="2"/>
        <v>44.22857143</v>
      </c>
      <c r="CC10" s="102">
        <f t="shared" si="3"/>
        <v>0.03333333333</v>
      </c>
      <c r="CD10" s="102">
        <f t="shared" si="4"/>
        <v>0.5</v>
      </c>
      <c r="CE10" s="102">
        <f t="shared" si="5"/>
        <v>44.22857143</v>
      </c>
      <c r="CG10" s="5"/>
      <c r="CH10" s="5"/>
      <c r="CI10" s="107">
        <f>BN96/CH6</f>
        <v>45221941.79</v>
      </c>
      <c r="CJ10" s="107">
        <f>BO96/CH6</f>
        <v>74785957.79</v>
      </c>
      <c r="CK10" s="5"/>
    </row>
    <row r="11">
      <c r="B11" s="40"/>
      <c r="C11" s="165" t="s">
        <v>68</v>
      </c>
      <c r="D11" s="38">
        <f>16*I7</f>
        <v>14272</v>
      </c>
      <c r="E11" s="38"/>
      <c r="F11" s="38"/>
      <c r="G11" s="79"/>
      <c r="H11" s="45"/>
      <c r="I11" s="45"/>
      <c r="J11" s="45"/>
      <c r="K11" s="45"/>
      <c r="L11" s="45"/>
      <c r="M11" s="45"/>
      <c r="N11" s="45"/>
      <c r="O11" s="45"/>
      <c r="P11" s="45"/>
      <c r="Q11" s="45"/>
      <c r="R11" s="45"/>
      <c r="S11" s="101"/>
      <c r="T11" s="101"/>
      <c r="U11" s="45"/>
      <c r="V11" s="45"/>
      <c r="W11" s="45"/>
      <c r="X11" s="45"/>
      <c r="Y11" s="45"/>
      <c r="Z11" s="45"/>
      <c r="AA11" s="45"/>
      <c r="AB11" s="45"/>
      <c r="AC11" s="45"/>
      <c r="AD11" s="45"/>
      <c r="AE11" s="45"/>
      <c r="AF11" s="45"/>
      <c r="AG11" s="79"/>
      <c r="AH11" s="45"/>
      <c r="AI11" s="45"/>
      <c r="AJ11" s="45"/>
      <c r="AK11" s="45"/>
      <c r="AL11" s="45"/>
      <c r="AM11" s="45"/>
      <c r="AN11" s="45"/>
      <c r="AO11" s="45"/>
      <c r="AP11" s="45"/>
      <c r="AQ11" s="45"/>
      <c r="AR11" s="45"/>
      <c r="AS11" s="45"/>
      <c r="AT11" s="79"/>
      <c r="AU11" s="45"/>
      <c r="AV11" s="45"/>
      <c r="AW11" s="45"/>
      <c r="AX11" s="45"/>
      <c r="AY11" s="45"/>
      <c r="AZ11" s="45"/>
      <c r="BA11" s="45"/>
      <c r="BB11" s="45"/>
      <c r="BC11" s="45"/>
      <c r="BD11" s="45"/>
      <c r="BE11" s="45"/>
      <c r="BF11" s="45"/>
      <c r="BG11" s="45"/>
      <c r="BH11" s="45"/>
      <c r="BI11" s="46"/>
      <c r="BK11" s="22"/>
      <c r="BS11" s="140" t="s">
        <v>50</v>
      </c>
      <c r="BT11" s="140">
        <v>-3189.0</v>
      </c>
      <c r="BU11" s="6">
        <f>VLOOKUP(BS11,'Item List'!$A$2:$D$300,2,FALSE)</f>
        <v>1</v>
      </c>
      <c r="BV11" s="6">
        <f>VLOOKUP(BS11,'Item List'!$A$2:$D$300,3,FALSE)</f>
        <v>3</v>
      </c>
      <c r="BW11" s="6">
        <f>VLOOKUP(BS11,'Item List'!$A$2:$D$300,4,FALSE)</f>
        <v>2</v>
      </c>
      <c r="CA11" s="140">
        <f t="shared" si="1"/>
        <v>238455</v>
      </c>
      <c r="CB11" s="6">
        <f t="shared" si="2"/>
        <v>2271</v>
      </c>
      <c r="CC11" s="102">
        <f t="shared" si="3"/>
        <v>1.711563307</v>
      </c>
      <c r="CD11" s="102">
        <f t="shared" si="4"/>
        <v>25.67344961</v>
      </c>
      <c r="CE11" s="102">
        <f t="shared" si="5"/>
        <v>2271</v>
      </c>
    </row>
    <row r="12">
      <c r="B12" s="40"/>
      <c r="C12" s="165" t="s">
        <v>219</v>
      </c>
      <c r="D12" s="38">
        <f>72*I7</f>
        <v>64224</v>
      </c>
      <c r="E12" s="38"/>
      <c r="F12" s="38"/>
      <c r="G12" s="79"/>
      <c r="H12" s="45"/>
      <c r="I12" s="45"/>
      <c r="J12" s="45"/>
      <c r="K12" s="45"/>
      <c r="L12" s="45"/>
      <c r="M12" s="45"/>
      <c r="N12" s="45"/>
      <c r="O12" s="45"/>
      <c r="P12" s="45"/>
      <c r="Q12" s="45"/>
      <c r="R12" s="45"/>
      <c r="S12" s="101"/>
      <c r="T12" s="101"/>
      <c r="U12" s="45"/>
      <c r="V12" s="45"/>
      <c r="W12" s="45"/>
      <c r="X12" s="45"/>
      <c r="Y12" s="45"/>
      <c r="Z12" s="45"/>
      <c r="AA12" s="45"/>
      <c r="AB12" s="45"/>
      <c r="AC12" s="45"/>
      <c r="AD12" s="45"/>
      <c r="AE12" s="45"/>
      <c r="AF12" s="45"/>
      <c r="AG12" s="79"/>
      <c r="AH12" s="45"/>
      <c r="AI12" s="45"/>
      <c r="AJ12" s="45"/>
      <c r="AK12" s="45"/>
      <c r="AL12" s="45"/>
      <c r="AM12" s="45"/>
      <c r="AN12" s="45"/>
      <c r="AO12" s="45"/>
      <c r="AP12" s="45"/>
      <c r="AQ12" s="45"/>
      <c r="AR12" s="45"/>
      <c r="AS12" s="45"/>
      <c r="AT12" s="79"/>
      <c r="AU12" s="45"/>
      <c r="AV12" s="45"/>
      <c r="AW12" s="45"/>
      <c r="AX12" s="45"/>
      <c r="AY12" s="45"/>
      <c r="AZ12" s="45"/>
      <c r="BA12" s="45"/>
      <c r="BB12" s="45"/>
      <c r="BC12" s="45"/>
      <c r="BD12" s="45"/>
      <c r="BE12" s="45"/>
      <c r="BF12" s="45"/>
      <c r="BG12" s="45"/>
      <c r="BH12" s="45"/>
      <c r="BI12" s="46"/>
      <c r="BK12" s="22"/>
      <c r="BS12" s="6" t="s">
        <v>51</v>
      </c>
      <c r="BT12" s="140">
        <v>1.0</v>
      </c>
      <c r="BU12" s="6">
        <f>VLOOKUP(BS12,'Item List'!$A$2:$D$300,2,FALSE)</f>
        <v>1</v>
      </c>
      <c r="BV12" s="6">
        <f>VLOOKUP(BS12,'Item List'!$A$2:$D$300,3,FALSE)</f>
        <v>3</v>
      </c>
      <c r="BW12" s="6">
        <f>VLOOKUP(BS12,'Item List'!$A$2:$D$300,4,FALSE)</f>
        <v>2</v>
      </c>
      <c r="CA12" s="6">
        <f t="shared" si="1"/>
        <v>37456</v>
      </c>
      <c r="CB12" s="6">
        <f t="shared" si="2"/>
        <v>356.7238095</v>
      </c>
      <c r="CC12" s="102">
        <f t="shared" si="3"/>
        <v>0.2688486937</v>
      </c>
      <c r="CD12" s="102">
        <f t="shared" si="4"/>
        <v>4.032730405</v>
      </c>
      <c r="CE12" s="102">
        <f t="shared" si="5"/>
        <v>356.7238095</v>
      </c>
      <c r="CG12" s="108" t="s">
        <v>595</v>
      </c>
      <c r="CH12" s="108" t="s">
        <v>596</v>
      </c>
    </row>
    <row r="13">
      <c r="B13" s="50"/>
      <c r="C13" s="51"/>
      <c r="D13" s="52"/>
      <c r="E13" s="52"/>
      <c r="F13" s="52"/>
      <c r="G13" s="112"/>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2"/>
      <c r="AH13" s="113"/>
      <c r="AI13" s="113"/>
      <c r="AJ13" s="113"/>
      <c r="AK13" s="113"/>
      <c r="AL13" s="113"/>
      <c r="AM13" s="113"/>
      <c r="AN13" s="113"/>
      <c r="AO13" s="113"/>
      <c r="AP13" s="113"/>
      <c r="AQ13" s="113"/>
      <c r="AR13" s="113"/>
      <c r="AS13" s="113"/>
      <c r="AT13" s="112"/>
      <c r="AU13" s="113"/>
      <c r="AV13" s="113"/>
      <c r="AW13" s="113"/>
      <c r="AX13" s="113"/>
      <c r="AY13" s="113"/>
      <c r="AZ13" s="113"/>
      <c r="BA13" s="113"/>
      <c r="BB13" s="113"/>
      <c r="BC13" s="113"/>
      <c r="BD13" s="113"/>
      <c r="BE13" s="113"/>
      <c r="BF13" s="113"/>
      <c r="BG13" s="113"/>
      <c r="BH13" s="113"/>
      <c r="BI13" s="114"/>
      <c r="BK13" s="22"/>
      <c r="BS13" s="140" t="s">
        <v>57</v>
      </c>
      <c r="BT13" s="140">
        <v>-446.0</v>
      </c>
      <c r="BU13" s="6">
        <f>VLOOKUP(BS13,'Item List'!$A$2:$D$300,2,FALSE)</f>
        <v>1</v>
      </c>
      <c r="BV13" s="6">
        <f>VLOOKUP(BS13,'Item List'!$A$2:$D$300,3,FALSE)</f>
        <v>3</v>
      </c>
      <c r="BW13" s="6">
        <f>VLOOKUP(BS13,'Item List'!$A$2:$D$300,4,FALSE)</f>
        <v>2</v>
      </c>
      <c r="CA13" s="6">
        <f t="shared" si="1"/>
        <v>54412</v>
      </c>
      <c r="CB13" s="6">
        <f t="shared" si="2"/>
        <v>518.2095238</v>
      </c>
      <c r="CC13" s="102">
        <f t="shared" si="3"/>
        <v>0.39055412</v>
      </c>
      <c r="CD13" s="102">
        <f t="shared" si="4"/>
        <v>5.8583118</v>
      </c>
      <c r="CE13" s="102">
        <f t="shared" si="5"/>
        <v>518.2095238</v>
      </c>
      <c r="CG13" s="98" t="s">
        <v>597</v>
      </c>
      <c r="CH13" s="98" t="s">
        <v>597</v>
      </c>
    </row>
    <row r="14">
      <c r="B14" s="31" t="s">
        <v>786</v>
      </c>
      <c r="C14" s="54"/>
      <c r="D14" s="45"/>
      <c r="E14" s="45"/>
      <c r="F14" s="47"/>
      <c r="G14" s="35"/>
      <c r="H14" s="163" t="s">
        <v>380</v>
      </c>
      <c r="I14" s="38" t="str">
        <f>VLOOKUP(H14,'Machine List'!$A$1:$I$300,9,FALSE)</f>
        <v>1T</v>
      </c>
      <c r="J14" s="38">
        <f>IF(VLOOKUP(H14,'Machine List'!$A$1:$I$300,5,FALSE)="Multi",IF(VLOOKUP(H14,'Machine List'!$A$1:$I$300,6,FALSE)="Yes",AI14*3*10^AB14,AI14*(2*3)*10^(AB14-1)),0)</f>
        <v>0</v>
      </c>
      <c r="K14" s="38">
        <f>J14+IF(ISNUMBER(I14),I14,
  SWITCH(
      I14,
      "1T",1*10^AB14,
      "2T",2*10^AB14,
      "3T",3*10^AB14,
      "4T",4*10^AB14,
      "4000+500(7O-5)",4000+500*(7*I15-5),
      "13500 + 16C",13500+16*VLOOKUP(J16,'Machine Helper Sheet'!$G$1:$K$16,5,FALSE),
      1
  )
)</f>
        <v>100000</v>
      </c>
      <c r="L14" s="38">
        <f>IF(VLOOKUP(H14,'Machine List'!$A$1:$I$300,5,FALSE)="Multi",IF(VLOOKUP(H14,'Machine List'!$A$1:$I$300,6,FALSE)="Yes",AW14*3*10^AV14,AW14*(2*3)*10^(AV14-1)),0)</f>
        <v>0</v>
      </c>
      <c r="M14" s="38">
        <f>L14+IF(ISNUMBER(I14),I14,
  SWITCH(
      I14,
      "1T",1*10^AV14,
      "2T",2*10^AV14,
      "3T",3*10^AV14,
      "4T",4*10^AV14,
      "4000+500(7O-5)",4000+500*(7*I15-5),
      1
  )
)</f>
        <v>100000</v>
      </c>
      <c r="N14" s="38" t="str">
        <f>VLOOKUP(H14,'Machine List'!$A$1:$I$300,8,FALSE)</f>
        <v>Tier</v>
      </c>
      <c r="O14" s="38">
        <f>IF(ISNUMBER(N14),N14,10^AB14)</f>
        <v>100000</v>
      </c>
      <c r="P14" s="38">
        <f>IF(ISNUMBER(N14),N14,10^AV14)</f>
        <v>100000</v>
      </c>
      <c r="Q14" s="38">
        <f>VLOOKUP(H14,'Machine List'!$A$1:$B$138,2,FALSE)</f>
        <v>1</v>
      </c>
      <c r="R14" s="164" t="s">
        <v>277</v>
      </c>
      <c r="S14" s="45">
        <f>IF(ISNUMBER(Q14),Q14,
  SWITCH(
      Q14,
      "1",1,
      "2T",AB14*2,
      "4T",AB14*4,
      "6T",AB14*6,
      "8T",AB14*8,
      "10T",AB14*10,
      "12T",AB14*12,
      "14T",AB14*14,
      "16T",AB14*16,
      "24T",AB14*24,
      "2(T+1)",2*(AB14+1),
      "1T*C",AB14*J16,
      "2*P",L16*2,
      1
  )
)</f>
        <v>1</v>
      </c>
      <c r="T14" s="38" t="s">
        <v>277</v>
      </c>
      <c r="U14" s="38">
        <f>IF(OR(T14="No",T14=""),S14,T14)</f>
        <v>1</v>
      </c>
      <c r="V14" s="38">
        <f>IF(ISNUMBER(Q14),Q14,
  SWITCH(
      Q14,
      "1",1,
      "2T",AV14*2,
      "4T",AV14*4,
      "6T",AV14*6,
      "8T",AV14*8,
      "10T",AV14*10,
      "12T",AV14*12,
      "14T",AV14*14,
      "16T",AV14*16,
      "24T",AV14*24,
      "2(T+1)",2*(AV14+1),
      "1T*C",AV14*J16,
      "2*P",L16*2,
      1
  )
)</f>
        <v>1</v>
      </c>
      <c r="W14" s="38" t="str">
        <f>T14</f>
        <v>No</v>
      </c>
      <c r="X14" s="38">
        <f>IF(OR(W14="No",W14=""),V14,W14)</f>
        <v>1</v>
      </c>
      <c r="Y14" s="38">
        <f>VLOOKUP(H14,'Machine List'!$A$1:$C$138,3,FALSE)</f>
        <v>1</v>
      </c>
      <c r="Z14" s="38">
        <f>VLOOKUP(H14,'Machine List'!$A$1:$D$138,4,FALSE)</f>
        <v>1</v>
      </c>
      <c r="AA14" s="164" t="s">
        <v>405</v>
      </c>
      <c r="AB14" s="38">
        <f>VLOOKUP(AA14,'Item Helper Sheet'!$A$2:$B$16,2,FALSE)</f>
        <v>5</v>
      </c>
      <c r="AC14" s="164">
        <v>2400.0</v>
      </c>
      <c r="AD14" s="38">
        <f>20*20</f>
        <v>400</v>
      </c>
      <c r="AE14" s="38">
        <f>AD14*I16</f>
        <v>178400</v>
      </c>
      <c r="AF14" s="38">
        <f>AC14*AE14</f>
        <v>428160000</v>
      </c>
      <c r="AG14" s="75"/>
      <c r="AH14" s="38" t="str">
        <f>AA14</f>
        <v>05 - IV</v>
      </c>
      <c r="AI14" s="38">
        <v>1.0</v>
      </c>
      <c r="AJ14" s="38">
        <v>1.0</v>
      </c>
      <c r="AK14" s="38">
        <f>AJ14*8*4^AB14</f>
        <v>8192</v>
      </c>
      <c r="AL14" s="38">
        <f>MIN(ROUNDDOWN(AK14/AN14,0),U14)</f>
        <v>1</v>
      </c>
      <c r="AM14" s="38">
        <f>IF(OR(T14="No",T14=""),AI14*S14,AI14*T14)</f>
        <v>1</v>
      </c>
      <c r="AN14" s="38">
        <f>ROUNDUP(AC14*VLOOKUP(H14,'Machine List'!$A$2:$D$219,4,FALSE),0)</f>
        <v>2400</v>
      </c>
      <c r="AO14" s="38">
        <f>AN14*AM14</f>
        <v>2400</v>
      </c>
      <c r="AP14" s="38">
        <f>ROUNDUP(AD14*I16,0)</f>
        <v>178400</v>
      </c>
      <c r="AQ14" s="38">
        <f>IF(ISNUMBER(Y14),ROUNDUP(AP14/Y14,0),
  SWITCH(
      Y14,
      "1+0.5C",ROUNDUP(AP14/(1+0.5*VLOOKUP(J16,'Machine Helper Sheet'!$G$1:$K$16,2,FALSE)),0),
      ROUNDUP(AP14/1,0)
  )
)</f>
        <v>178400</v>
      </c>
      <c r="AR14" s="38">
        <f>ROUNDUP(AQ14/AM14,0)</f>
        <v>178400</v>
      </c>
      <c r="AS14" s="38">
        <f>AO14*AR14</f>
        <v>428160000</v>
      </c>
      <c r="AT14" s="75"/>
      <c r="AU14" s="164" t="s">
        <v>405</v>
      </c>
      <c r="AV14" s="38">
        <f>VLOOKUP(AU14,'Item Helper Sheet'!$A$2:$B$16,2,FALSE)</f>
        <v>5</v>
      </c>
      <c r="AW14" s="38">
        <f>AI14</f>
        <v>1</v>
      </c>
      <c r="AX14" s="38">
        <v>1.0</v>
      </c>
      <c r="AY14" s="38">
        <f>AX14*8*4^AV14</f>
        <v>8192</v>
      </c>
      <c r="AZ14" s="38">
        <f>MIN(ROUNDDOWN(AY14/AN14,0),X14)</f>
        <v>1</v>
      </c>
      <c r="BA14" s="38">
        <f>AZ14*AW14</f>
        <v>1</v>
      </c>
      <c r="BB14" s="38">
        <f>AN14</f>
        <v>2400</v>
      </c>
      <c r="BC14" s="38">
        <f>MIN(AV14-AB14,IF(AY14&gt;=BB15*4,
IF(AY14&gt;=BB15*4^2,
IF(AY14&gt;=BB15*4^3,
IF(AY14&gt;=BB15*4^4,
IF(AY14&gt;=BB15*4^5,
IF(AY14&gt;=BB15*4^6,
IF(AY14&gt;=BB15*4^7,
IF(AY14&gt;=BB15*4^8,
IF(AY14&gt;=BB15*4^9,
IF(AY14&gt;=BB15*4^10,
9),
8),
7),
6),
5),
4),
3),
2),
1),
0))</f>
        <v>0</v>
      </c>
      <c r="BD14" s="38">
        <f>BB14*AZ14*4^BC14</f>
        <v>2400</v>
      </c>
      <c r="BE14" s="38">
        <f>BD14*AW14</f>
        <v>2400</v>
      </c>
      <c r="BF14" s="45">
        <f>ROUNDUP(IF(R14="Yes",AP14/(2^((BC14)*2)),AP14/(2^(BC14))),0)</f>
        <v>178400</v>
      </c>
      <c r="BG14" s="45">
        <f>IF(ISNUMBER(Y14),ROUNDUP(BF14/Y14,0),
  SWITCH(
      Y14,
      "1+0.5C",ROUNDUP(BF14/(1+0.5*VLOOKUP(J16,'Machine Helper Sheet'!$G$1:$K$16,2,FALSE)),0),
      ROUNDUP(BF14/1,0)
  )
)</f>
        <v>178400</v>
      </c>
      <c r="BH14" s="45">
        <f>ROUNDUP(BG14/BA14,0)</f>
        <v>178400</v>
      </c>
      <c r="BI14" s="46">
        <f>BH14*BE14</f>
        <v>428160000</v>
      </c>
      <c r="BK14" s="22"/>
      <c r="BS14" s="6" t="s">
        <v>58</v>
      </c>
      <c r="BT14" s="140">
        <v>0.0</v>
      </c>
      <c r="BU14" s="6">
        <f>VLOOKUP(BS14,'Item List'!$A$2:$D$300,2,FALSE)</f>
        <v>1</v>
      </c>
      <c r="BV14" s="6">
        <f>VLOOKUP(BS14,'Item List'!$A$2:$D$300,3,FALSE)</f>
        <v>3</v>
      </c>
      <c r="BW14" s="6">
        <f>VLOOKUP(BS14,'Item List'!$A$2:$D$300,4,FALSE)</f>
        <v>2</v>
      </c>
      <c r="CA14" s="140">
        <f t="shared" si="1"/>
        <v>168</v>
      </c>
      <c r="CB14" s="6">
        <f t="shared" si="2"/>
        <v>1.6</v>
      </c>
      <c r="CC14" s="102">
        <f t="shared" si="3"/>
        <v>0.00120585702</v>
      </c>
      <c r="CD14" s="102">
        <f t="shared" si="4"/>
        <v>0.0180878553</v>
      </c>
      <c r="CE14" s="102">
        <f t="shared" si="5"/>
        <v>1.6</v>
      </c>
      <c r="CG14" s="5">
        <f>BZ134</f>
        <v>33</v>
      </c>
      <c r="CH14" s="5">
        <f>BZ171</f>
        <v>33</v>
      </c>
    </row>
    <row r="15">
      <c r="B15" s="40"/>
      <c r="C15" s="165" t="s">
        <v>120</v>
      </c>
      <c r="D15" s="38">
        <f>1*I16</f>
        <v>446</v>
      </c>
      <c r="E15" s="164" t="s">
        <v>172</v>
      </c>
      <c r="F15" s="42">
        <f>1*I16</f>
        <v>446</v>
      </c>
      <c r="G15" s="43"/>
      <c r="H15" s="99" t="s">
        <v>584</v>
      </c>
      <c r="I15" s="45">
        <f t="array" ref="I15">match(TRUE,ISBLANK(F15:F30),0)-1</f>
        <v>1</v>
      </c>
      <c r="J15" s="100" t="s">
        <v>420</v>
      </c>
      <c r="K15" s="100" t="s">
        <v>585</v>
      </c>
      <c r="L15" s="100" t="s">
        <v>704</v>
      </c>
      <c r="M15" s="38"/>
      <c r="N15" s="38"/>
      <c r="O15" s="38"/>
      <c r="P15" s="38"/>
      <c r="Q15" s="38"/>
      <c r="R15" s="101"/>
      <c r="S15" s="101"/>
      <c r="T15" s="101"/>
      <c r="U15" s="45"/>
      <c r="V15" s="45"/>
      <c r="W15" s="45"/>
      <c r="X15" s="45"/>
      <c r="Y15" s="45"/>
      <c r="Z15" s="45"/>
      <c r="AA15" s="45"/>
      <c r="AB15" s="45"/>
      <c r="AC15" s="45"/>
      <c r="AD15" s="45"/>
      <c r="AE15" s="45"/>
      <c r="AF15" s="45"/>
      <c r="AG15" s="79"/>
      <c r="AH15" s="45"/>
      <c r="AI15" s="45"/>
      <c r="AJ15" s="45"/>
      <c r="AK15" s="45"/>
      <c r="AL15" s="45"/>
      <c r="AM15" s="45"/>
      <c r="AN15" s="45"/>
      <c r="AO15" s="45"/>
      <c r="AP15" s="45"/>
      <c r="AQ15" s="45"/>
      <c r="AR15" s="45"/>
      <c r="AS15" s="45"/>
      <c r="AT15" s="79"/>
      <c r="AU15" s="45"/>
      <c r="AV15" s="45"/>
      <c r="AW15" s="45"/>
      <c r="AX15" s="45"/>
      <c r="AY15" s="45"/>
      <c r="AZ15" s="45"/>
      <c r="BA15" s="45"/>
      <c r="BB15" s="45">
        <f>BB14*AZ14</f>
        <v>2400</v>
      </c>
      <c r="BC15" s="45"/>
      <c r="BD15" s="45"/>
      <c r="BE15" s="45"/>
      <c r="BF15" s="45"/>
      <c r="BG15" s="45"/>
      <c r="BH15" s="45"/>
      <c r="BI15" s="46"/>
      <c r="BK15" s="22"/>
      <c r="BS15" s="140" t="s">
        <v>59</v>
      </c>
      <c r="BT15" s="140">
        <v>-4644.0</v>
      </c>
      <c r="BU15" s="6">
        <f>VLOOKUP(BS15,'Item List'!$A$2:$D$300,2,FALSE)</f>
        <v>1</v>
      </c>
      <c r="BV15" s="6">
        <f>VLOOKUP(BS15,'Item List'!$A$2:$D$300,3,FALSE)</f>
        <v>3</v>
      </c>
      <c r="BW15" s="6">
        <f>VLOOKUP(BS15,'Item List'!$A$2:$D$300,4,FALSE)</f>
        <v>2</v>
      </c>
      <c r="CA15" s="6">
        <f t="shared" si="1"/>
        <v>192960</v>
      </c>
      <c r="CB15" s="6">
        <f t="shared" si="2"/>
        <v>1837.714286</v>
      </c>
      <c r="CC15" s="102">
        <f t="shared" si="3"/>
        <v>1.38501292</v>
      </c>
      <c r="CD15" s="102">
        <f t="shared" si="4"/>
        <v>20.7751938</v>
      </c>
      <c r="CE15" s="102">
        <f t="shared" si="5"/>
        <v>1837.714286</v>
      </c>
      <c r="CG15" s="98" t="s">
        <v>598</v>
      </c>
      <c r="CH15" s="98" t="s">
        <v>598</v>
      </c>
    </row>
    <row r="16">
      <c r="B16" s="40"/>
      <c r="C16" s="165" t="s">
        <v>171</v>
      </c>
      <c r="D16" s="38">
        <f>2*I16</f>
        <v>892</v>
      </c>
      <c r="E16" s="38"/>
      <c r="F16" s="42"/>
      <c r="G16" s="43"/>
      <c r="H16" s="56" t="s">
        <v>502</v>
      </c>
      <c r="I16" s="166">
        <v>446.0</v>
      </c>
      <c r="J16" s="100" t="s">
        <v>424</v>
      </c>
      <c r="K16" s="100">
        <v>0.0</v>
      </c>
      <c r="L16" s="100">
        <v>0.0</v>
      </c>
      <c r="M16" s="45"/>
      <c r="N16" s="45"/>
      <c r="O16" s="45"/>
      <c r="P16" s="45"/>
      <c r="Q16" s="45"/>
      <c r="R16" s="45"/>
      <c r="S16" s="101"/>
      <c r="T16" s="101"/>
      <c r="U16" s="45"/>
      <c r="V16" s="45"/>
      <c r="W16" s="45"/>
      <c r="X16" s="45"/>
      <c r="Y16" s="45"/>
      <c r="Z16" s="45"/>
      <c r="AA16" s="45"/>
      <c r="AB16" s="45"/>
      <c r="AC16" s="45"/>
      <c r="AD16" s="45"/>
      <c r="AE16" s="45"/>
      <c r="AF16" s="45"/>
      <c r="AG16" s="79"/>
      <c r="AH16" s="45"/>
      <c r="AI16" s="45"/>
      <c r="AJ16" s="45"/>
      <c r="AK16" s="45"/>
      <c r="AL16" s="45"/>
      <c r="AM16" s="45"/>
      <c r="AN16" s="45"/>
      <c r="AO16" s="45"/>
      <c r="AP16" s="45"/>
      <c r="AQ16" s="45"/>
      <c r="AR16" s="45"/>
      <c r="AS16" s="45"/>
      <c r="AT16" s="79"/>
      <c r="AU16" s="45"/>
      <c r="AV16" s="45"/>
      <c r="AW16" s="45"/>
      <c r="AX16" s="45"/>
      <c r="AY16" s="45"/>
      <c r="AZ16" s="45"/>
      <c r="BA16" s="45"/>
      <c r="BB16" s="45"/>
      <c r="BC16" s="45"/>
      <c r="BD16" s="45"/>
      <c r="BE16" s="45"/>
      <c r="BF16" s="45"/>
      <c r="BG16" s="45"/>
      <c r="BH16" s="45"/>
      <c r="BI16" s="46"/>
      <c r="BK16" s="22"/>
      <c r="BS16" s="140" t="s">
        <v>60</v>
      </c>
      <c r="BT16" s="140">
        <v>-238455.0</v>
      </c>
      <c r="BU16" s="6">
        <f>VLOOKUP(BS16,'Item List'!$A$2:$D$300,2,FALSE)</f>
        <v>1</v>
      </c>
      <c r="BV16" s="6">
        <f>VLOOKUP(BS16,'Item List'!$A$2:$D$300,3,FALSE)</f>
        <v>3</v>
      </c>
      <c r="BW16" s="6">
        <f>VLOOKUP(BS16,'Item List'!$A$2:$D$300,4,FALSE)</f>
        <v>2</v>
      </c>
      <c r="CA16" s="6">
        <f t="shared" si="1"/>
        <v>1548000</v>
      </c>
      <c r="CB16" s="6">
        <f t="shared" si="2"/>
        <v>14742.85714</v>
      </c>
      <c r="CC16" s="102">
        <f t="shared" si="3"/>
        <v>11.11111111</v>
      </c>
      <c r="CD16" s="102">
        <f t="shared" si="4"/>
        <v>166.6666667</v>
      </c>
      <c r="CE16" s="102">
        <f t="shared" si="5"/>
        <v>14742.85714</v>
      </c>
      <c r="CG16" s="5">
        <f>SUM(BZ63:BZ95)</f>
        <v>437910</v>
      </c>
      <c r="CH16" s="5">
        <f>SUM(CD63:CD95)</f>
        <v>3300000</v>
      </c>
    </row>
    <row r="17">
      <c r="B17" s="40"/>
      <c r="C17" s="165" t="s">
        <v>175</v>
      </c>
      <c r="D17" s="38">
        <f>4*I16</f>
        <v>1784</v>
      </c>
      <c r="E17" s="38"/>
      <c r="F17" s="42"/>
      <c r="G17" s="43"/>
      <c r="H17" s="44"/>
      <c r="I17" s="45"/>
      <c r="J17" s="45"/>
      <c r="K17" s="45"/>
      <c r="L17" s="45"/>
      <c r="M17" s="45"/>
      <c r="N17" s="45"/>
      <c r="O17" s="45"/>
      <c r="P17" s="45"/>
      <c r="Q17" s="45"/>
      <c r="R17" s="45"/>
      <c r="S17" s="101"/>
      <c r="T17" s="101"/>
      <c r="U17" s="45"/>
      <c r="V17" s="45"/>
      <c r="W17" s="45"/>
      <c r="X17" s="45"/>
      <c r="Y17" s="45"/>
      <c r="Z17" s="45"/>
      <c r="AA17" s="45"/>
      <c r="AB17" s="45"/>
      <c r="AC17" s="45"/>
      <c r="AD17" s="45"/>
      <c r="AE17" s="45"/>
      <c r="AF17" s="45"/>
      <c r="AG17" s="79"/>
      <c r="AH17" s="45"/>
      <c r="AI17" s="45"/>
      <c r="AJ17" s="45"/>
      <c r="AK17" s="45"/>
      <c r="AL17" s="45"/>
      <c r="AM17" s="45"/>
      <c r="AN17" s="45"/>
      <c r="AO17" s="45"/>
      <c r="AP17" s="45"/>
      <c r="AQ17" s="45"/>
      <c r="AR17" s="45"/>
      <c r="AS17" s="45"/>
      <c r="AT17" s="79"/>
      <c r="AU17" s="45"/>
      <c r="AV17" s="45"/>
      <c r="AW17" s="45"/>
      <c r="AX17" s="45"/>
      <c r="AY17" s="45"/>
      <c r="AZ17" s="45"/>
      <c r="BA17" s="45"/>
      <c r="BB17" s="45"/>
      <c r="BC17" s="45"/>
      <c r="BD17" s="45"/>
      <c r="BE17" s="45"/>
      <c r="BF17" s="45"/>
      <c r="BG17" s="45"/>
      <c r="BH17" s="45"/>
      <c r="BI17" s="46"/>
      <c r="BK17" s="22"/>
      <c r="BS17" s="6" t="s">
        <v>65</v>
      </c>
      <c r="BT17" s="6">
        <v>0.0</v>
      </c>
      <c r="BU17" s="6">
        <f>VLOOKUP(BS17,'Item List'!$A$2:$D$300,2,FALSE)</f>
        <v>1</v>
      </c>
      <c r="BV17" s="6">
        <f>VLOOKUP(BS17,'Item List'!$A$2:$D$300,3,FALSE)</f>
        <v>3</v>
      </c>
      <c r="BW17" s="6">
        <f>VLOOKUP(BS17,'Item List'!$A$2:$D$300,4,FALSE)</f>
        <v>2</v>
      </c>
      <c r="CA17" s="140">
        <f t="shared" si="1"/>
        <v>108040</v>
      </c>
      <c r="CB17" s="6">
        <f t="shared" si="2"/>
        <v>1028.952381</v>
      </c>
      <c r="CC17" s="102">
        <f t="shared" si="3"/>
        <v>0.7754809073</v>
      </c>
      <c r="CD17" s="102">
        <f t="shared" si="4"/>
        <v>11.63221361</v>
      </c>
      <c r="CE17" s="102">
        <f t="shared" si="5"/>
        <v>1028.952381</v>
      </c>
      <c r="CG17" s="98" t="s">
        <v>600</v>
      </c>
      <c r="CH17" s="98" t="s">
        <v>600</v>
      </c>
    </row>
    <row r="18">
      <c r="B18" s="40"/>
      <c r="C18" s="165" t="s">
        <v>211</v>
      </c>
      <c r="D18" s="38">
        <f>12*I16</f>
        <v>5352</v>
      </c>
      <c r="E18" s="38"/>
      <c r="F18" s="38"/>
      <c r="G18" s="79"/>
      <c r="H18" s="45"/>
      <c r="I18" s="45"/>
      <c r="J18" s="45"/>
      <c r="K18" s="45"/>
      <c r="L18" s="45"/>
      <c r="M18" s="45"/>
      <c r="N18" s="45"/>
      <c r="O18" s="45"/>
      <c r="P18" s="45"/>
      <c r="Q18" s="45"/>
      <c r="R18" s="45"/>
      <c r="S18" s="101"/>
      <c r="T18" s="101"/>
      <c r="U18" s="45"/>
      <c r="V18" s="45"/>
      <c r="W18" s="45"/>
      <c r="X18" s="45"/>
      <c r="Y18" s="45"/>
      <c r="Z18" s="45"/>
      <c r="AA18" s="45"/>
      <c r="AB18" s="45"/>
      <c r="AC18" s="45"/>
      <c r="AD18" s="45"/>
      <c r="AE18" s="45"/>
      <c r="AF18" s="45"/>
      <c r="AG18" s="79"/>
      <c r="AH18" s="45"/>
      <c r="AI18" s="45"/>
      <c r="AJ18" s="45"/>
      <c r="AK18" s="45"/>
      <c r="AL18" s="45"/>
      <c r="AM18" s="45"/>
      <c r="AN18" s="45"/>
      <c r="AO18" s="45"/>
      <c r="AP18" s="45"/>
      <c r="AQ18" s="45"/>
      <c r="AR18" s="45"/>
      <c r="AS18" s="45"/>
      <c r="AT18" s="79"/>
      <c r="AU18" s="45"/>
      <c r="AV18" s="45"/>
      <c r="AW18" s="45"/>
      <c r="AX18" s="45"/>
      <c r="AY18" s="45"/>
      <c r="AZ18" s="45"/>
      <c r="BA18" s="45"/>
      <c r="BB18" s="45"/>
      <c r="BC18" s="45"/>
      <c r="BD18" s="45"/>
      <c r="BE18" s="45"/>
      <c r="BF18" s="45"/>
      <c r="BG18" s="45"/>
      <c r="BH18" s="45"/>
      <c r="BI18" s="46"/>
      <c r="BK18" s="22"/>
      <c r="BS18" s="6" t="s">
        <v>66</v>
      </c>
      <c r="BT18" s="140">
        <v>0.0</v>
      </c>
      <c r="BU18" s="6">
        <f>VLOOKUP(BS18,'Item List'!$A$2:$D$300,2,FALSE)</f>
        <v>1</v>
      </c>
      <c r="BV18" s="6">
        <f>VLOOKUP(BS18,'Item List'!$A$2:$D$300,3,FALSE)</f>
        <v>3</v>
      </c>
      <c r="BW18" s="6">
        <f>VLOOKUP(BS18,'Item List'!$A$2:$D$300,4,FALSE)</f>
        <v>2</v>
      </c>
      <c r="CA18" s="140">
        <f t="shared" si="1"/>
        <v>4385</v>
      </c>
      <c r="CB18" s="6">
        <f t="shared" si="2"/>
        <v>41.76190476</v>
      </c>
      <c r="CC18" s="102">
        <f t="shared" si="3"/>
        <v>0.03147430376</v>
      </c>
      <c r="CD18" s="102">
        <f t="shared" si="4"/>
        <v>0.4721145564</v>
      </c>
      <c r="CE18" s="102">
        <f t="shared" si="5"/>
        <v>41.76190476</v>
      </c>
      <c r="CG18" s="5">
        <f>BZ97</f>
        <v>100000</v>
      </c>
      <c r="CH18" s="5">
        <f>CD97</f>
        <v>100000</v>
      </c>
    </row>
    <row r="19">
      <c r="B19" s="40"/>
      <c r="C19" s="165" t="s">
        <v>209</v>
      </c>
      <c r="D19" s="38">
        <f>16*I16</f>
        <v>7136</v>
      </c>
      <c r="E19" s="38"/>
      <c r="F19" s="38"/>
      <c r="G19" s="79"/>
      <c r="H19" s="45"/>
      <c r="I19" s="45"/>
      <c r="J19" s="45"/>
      <c r="K19" s="45"/>
      <c r="L19" s="45"/>
      <c r="M19" s="45"/>
      <c r="N19" s="45"/>
      <c r="O19" s="45"/>
      <c r="P19" s="45"/>
      <c r="Q19" s="45"/>
      <c r="R19" s="45"/>
      <c r="S19" s="101"/>
      <c r="T19" s="101"/>
      <c r="U19" s="45"/>
      <c r="V19" s="45"/>
      <c r="W19" s="45"/>
      <c r="X19" s="45"/>
      <c r="Y19" s="45"/>
      <c r="Z19" s="45"/>
      <c r="AA19" s="45"/>
      <c r="AB19" s="45"/>
      <c r="AC19" s="45"/>
      <c r="AD19" s="45"/>
      <c r="AE19" s="45"/>
      <c r="AF19" s="45"/>
      <c r="AG19" s="79"/>
      <c r="AH19" s="45"/>
      <c r="AI19" s="45"/>
      <c r="AJ19" s="45"/>
      <c r="AK19" s="45"/>
      <c r="AL19" s="45"/>
      <c r="AM19" s="45"/>
      <c r="AN19" s="45"/>
      <c r="AO19" s="45"/>
      <c r="AP19" s="45"/>
      <c r="AQ19" s="45"/>
      <c r="AR19" s="45"/>
      <c r="AS19" s="45"/>
      <c r="AT19" s="79"/>
      <c r="AU19" s="45"/>
      <c r="AV19" s="45"/>
      <c r="AW19" s="45"/>
      <c r="AX19" s="45"/>
      <c r="AY19" s="45"/>
      <c r="AZ19" s="45"/>
      <c r="BA19" s="45"/>
      <c r="BB19" s="45"/>
      <c r="BC19" s="45"/>
      <c r="BD19" s="45"/>
      <c r="BE19" s="45"/>
      <c r="BF19" s="45"/>
      <c r="BG19" s="45"/>
      <c r="BH19" s="45"/>
      <c r="BI19" s="46"/>
      <c r="BK19" s="22"/>
      <c r="BS19" s="6" t="s">
        <v>67</v>
      </c>
      <c r="BT19" s="140">
        <v>0.0</v>
      </c>
      <c r="BU19" s="6">
        <f>VLOOKUP(BS19,'Item List'!$A$2:$D$300,2,FALSE)</f>
        <v>1</v>
      </c>
      <c r="BV19" s="6">
        <f>VLOOKUP(BS19,'Item List'!$A$2:$D$300,3,FALSE)</f>
        <v>3</v>
      </c>
      <c r="BW19" s="6">
        <f>VLOOKUP(BS19,'Item List'!$A$2:$D$300,4,FALSE)</f>
        <v>2</v>
      </c>
      <c r="CA19" s="6">
        <f t="shared" si="1"/>
        <v>354456</v>
      </c>
      <c r="CB19" s="6">
        <f t="shared" si="2"/>
        <v>3375.771429</v>
      </c>
      <c r="CC19" s="102">
        <f t="shared" si="3"/>
        <v>2.544186047</v>
      </c>
      <c r="CD19" s="102">
        <f t="shared" si="4"/>
        <v>38.1627907</v>
      </c>
      <c r="CE19" s="102">
        <f t="shared" si="5"/>
        <v>3375.771429</v>
      </c>
    </row>
    <row r="20">
      <c r="B20" s="40"/>
      <c r="C20" s="165" t="s">
        <v>68</v>
      </c>
      <c r="D20" s="38">
        <f>24*I16</f>
        <v>10704</v>
      </c>
      <c r="E20" s="38"/>
      <c r="F20" s="38"/>
      <c r="G20" s="79"/>
      <c r="H20" s="45"/>
      <c r="I20" s="45"/>
      <c r="J20" s="45"/>
      <c r="K20" s="45"/>
      <c r="L20" s="45"/>
      <c r="M20" s="45"/>
      <c r="N20" s="45"/>
      <c r="O20" s="45"/>
      <c r="P20" s="45"/>
      <c r="Q20" s="45"/>
      <c r="R20" s="45"/>
      <c r="S20" s="101"/>
      <c r="T20" s="101"/>
      <c r="U20" s="45"/>
      <c r="V20" s="45"/>
      <c r="W20" s="45"/>
      <c r="X20" s="45"/>
      <c r="Y20" s="45"/>
      <c r="Z20" s="45"/>
      <c r="AA20" s="45"/>
      <c r="AB20" s="45"/>
      <c r="AC20" s="45"/>
      <c r="AD20" s="45"/>
      <c r="AE20" s="45"/>
      <c r="AF20" s="45"/>
      <c r="AG20" s="79"/>
      <c r="AH20" s="45"/>
      <c r="AI20" s="45"/>
      <c r="AJ20" s="45"/>
      <c r="AK20" s="45"/>
      <c r="AL20" s="45"/>
      <c r="AM20" s="45"/>
      <c r="AN20" s="45"/>
      <c r="AO20" s="45"/>
      <c r="AP20" s="45"/>
      <c r="AQ20" s="45"/>
      <c r="AR20" s="45"/>
      <c r="AS20" s="45"/>
      <c r="AT20" s="79"/>
      <c r="AU20" s="45"/>
      <c r="AV20" s="45"/>
      <c r="AW20" s="45"/>
      <c r="AX20" s="45"/>
      <c r="AY20" s="45"/>
      <c r="AZ20" s="45"/>
      <c r="BA20" s="45"/>
      <c r="BB20" s="45"/>
      <c r="BC20" s="45"/>
      <c r="BD20" s="45"/>
      <c r="BE20" s="45"/>
      <c r="BF20" s="45"/>
      <c r="BG20" s="45"/>
      <c r="BH20" s="45"/>
      <c r="BI20" s="46"/>
      <c r="BK20" s="22"/>
      <c r="BS20" s="6" t="s">
        <v>68</v>
      </c>
      <c r="BT20" s="140">
        <v>-2376.0</v>
      </c>
      <c r="BU20" s="6">
        <f>VLOOKUP(BS20,'Item List'!$A$2:$D$300,2,FALSE)</f>
        <v>1</v>
      </c>
      <c r="BV20" s="6">
        <f>VLOOKUP(BS20,'Item List'!$A$2:$D$300,3,FALSE)</f>
        <v>3</v>
      </c>
      <c r="BW20" s="6">
        <f>VLOOKUP(BS20,'Item List'!$A$2:$D$300,4,FALSE)</f>
        <v>2</v>
      </c>
      <c r="CA20" s="140">
        <f t="shared" si="1"/>
        <v>137376</v>
      </c>
      <c r="CB20" s="6">
        <f t="shared" si="2"/>
        <v>1308.342857</v>
      </c>
      <c r="CC20" s="102">
        <f t="shared" si="3"/>
        <v>0.9860465116</v>
      </c>
      <c r="CD20" s="102">
        <f t="shared" si="4"/>
        <v>14.79069767</v>
      </c>
      <c r="CE20" s="102">
        <f t="shared" si="5"/>
        <v>1308.342857</v>
      </c>
    </row>
    <row r="21">
      <c r="B21" s="40"/>
      <c r="C21" s="165" t="s">
        <v>219</v>
      </c>
      <c r="D21" s="38">
        <f>144*I16</f>
        <v>64224</v>
      </c>
      <c r="E21" s="38"/>
      <c r="F21" s="38"/>
      <c r="G21" s="79"/>
      <c r="H21" s="45"/>
      <c r="I21" s="45"/>
      <c r="J21" s="45"/>
      <c r="K21" s="45"/>
      <c r="L21" s="45"/>
      <c r="M21" s="45"/>
      <c r="N21" s="45"/>
      <c r="O21" s="45"/>
      <c r="P21" s="45"/>
      <c r="Q21" s="45"/>
      <c r="R21" s="45"/>
      <c r="S21" s="101"/>
      <c r="T21" s="101"/>
      <c r="U21" s="45"/>
      <c r="V21" s="45"/>
      <c r="W21" s="45"/>
      <c r="X21" s="45"/>
      <c r="Y21" s="45"/>
      <c r="Z21" s="45"/>
      <c r="AA21" s="45"/>
      <c r="AB21" s="45"/>
      <c r="AC21" s="45"/>
      <c r="AD21" s="45"/>
      <c r="AE21" s="45"/>
      <c r="AF21" s="45"/>
      <c r="AG21" s="79"/>
      <c r="AH21" s="45"/>
      <c r="AI21" s="45"/>
      <c r="AJ21" s="45"/>
      <c r="AK21" s="45"/>
      <c r="AL21" s="45"/>
      <c r="AM21" s="45"/>
      <c r="AN21" s="45"/>
      <c r="AO21" s="45"/>
      <c r="AP21" s="45"/>
      <c r="AQ21" s="45"/>
      <c r="AR21" s="45"/>
      <c r="AS21" s="45"/>
      <c r="AT21" s="79"/>
      <c r="AU21" s="45"/>
      <c r="AV21" s="45"/>
      <c r="AW21" s="45"/>
      <c r="AX21" s="45"/>
      <c r="AY21" s="45"/>
      <c r="AZ21" s="45"/>
      <c r="BA21" s="45"/>
      <c r="BB21" s="45"/>
      <c r="BC21" s="45"/>
      <c r="BD21" s="45"/>
      <c r="BE21" s="45"/>
      <c r="BF21" s="45"/>
      <c r="BG21" s="45"/>
      <c r="BH21" s="45"/>
      <c r="BI21" s="46"/>
      <c r="BK21" s="22"/>
      <c r="BS21" s="6" t="s">
        <v>74</v>
      </c>
      <c r="BT21" s="6">
        <v>-27.0</v>
      </c>
      <c r="BU21" s="6">
        <f>VLOOKUP(BS21,'Item List'!$A$2:$D$300,2,FALSE)</f>
        <v>1</v>
      </c>
      <c r="BV21" s="6">
        <f>VLOOKUP(BS21,'Item List'!$A$2:$D$300,3,FALSE)</f>
        <v>3</v>
      </c>
      <c r="BW21" s="6">
        <f>VLOOKUP(BS21,'Item List'!$A$2:$D$300,4,FALSE)</f>
        <v>2</v>
      </c>
      <c r="CA21" s="140">
        <f t="shared" si="1"/>
        <v>111500</v>
      </c>
      <c r="CB21" s="6">
        <f t="shared" si="2"/>
        <v>1061.904762</v>
      </c>
      <c r="CC21" s="102">
        <f t="shared" si="3"/>
        <v>0.8003158197</v>
      </c>
      <c r="CD21" s="102">
        <f t="shared" si="4"/>
        <v>12.0047373</v>
      </c>
      <c r="CE21" s="102">
        <f t="shared" si="5"/>
        <v>1061.904762</v>
      </c>
    </row>
    <row r="22">
      <c r="B22" s="50"/>
      <c r="C22" s="51"/>
      <c r="D22" s="52"/>
      <c r="E22" s="52"/>
      <c r="F22" s="52"/>
      <c r="G22" s="112"/>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2"/>
      <c r="AH22" s="113"/>
      <c r="AI22" s="113"/>
      <c r="AJ22" s="113"/>
      <c r="AK22" s="113"/>
      <c r="AL22" s="113"/>
      <c r="AM22" s="113"/>
      <c r="AN22" s="113"/>
      <c r="AO22" s="113"/>
      <c r="AP22" s="113"/>
      <c r="AQ22" s="113"/>
      <c r="AR22" s="113"/>
      <c r="AS22" s="113"/>
      <c r="AT22" s="112"/>
      <c r="AU22" s="113"/>
      <c r="AV22" s="113"/>
      <c r="AW22" s="113"/>
      <c r="AX22" s="113"/>
      <c r="AY22" s="113"/>
      <c r="AZ22" s="113"/>
      <c r="BA22" s="113"/>
      <c r="BB22" s="113"/>
      <c r="BC22" s="113"/>
      <c r="BD22" s="113"/>
      <c r="BE22" s="113"/>
      <c r="BF22" s="113"/>
      <c r="BG22" s="113"/>
      <c r="BH22" s="113"/>
      <c r="BI22" s="114"/>
      <c r="BK22" s="22"/>
      <c r="BS22" s="6" t="s">
        <v>75</v>
      </c>
      <c r="BT22" s="6">
        <v>-54412.0</v>
      </c>
      <c r="BU22" s="6">
        <f>VLOOKUP(BS22,'Item List'!$A$2:$D$300,2,FALSE)</f>
        <v>1</v>
      </c>
      <c r="BV22" s="6">
        <f>VLOOKUP(BS22,'Item List'!$A$2:$D$300,3,FALSE)</f>
        <v>3</v>
      </c>
      <c r="BW22" s="6">
        <f>VLOOKUP(BS22,'Item List'!$A$2:$D$300,4,FALSE)</f>
        <v>2</v>
      </c>
      <c r="CA22" s="6">
        <f t="shared" si="1"/>
        <v>173808</v>
      </c>
      <c r="CB22" s="6">
        <f t="shared" si="2"/>
        <v>1655.314286</v>
      </c>
      <c r="CC22" s="102">
        <f t="shared" si="3"/>
        <v>1.24754522</v>
      </c>
      <c r="CD22" s="102">
        <f t="shared" si="4"/>
        <v>18.71317829</v>
      </c>
      <c r="CE22" s="102">
        <f t="shared" si="5"/>
        <v>1655.314286</v>
      </c>
    </row>
    <row r="23">
      <c r="B23" s="31" t="s">
        <v>787</v>
      </c>
      <c r="C23" s="54"/>
      <c r="D23" s="45"/>
      <c r="E23" s="45"/>
      <c r="F23" s="47"/>
      <c r="G23" s="35"/>
      <c r="H23" s="163" t="s">
        <v>380</v>
      </c>
      <c r="I23" s="38" t="str">
        <f>VLOOKUP(H23,'Machine List'!$A$1:$I$300,9,FALSE)</f>
        <v>1T</v>
      </c>
      <c r="J23" s="38">
        <f>IF(VLOOKUP(H23,'Machine List'!$A$1:$I$300,5,FALSE)="Multi",IF(VLOOKUP(H23,'Machine List'!$A$1:$I$300,6,FALSE)="Yes",AI23*3*10^AB23,AI23*(2*3)*10^(AB23-1)),0)</f>
        <v>0</v>
      </c>
      <c r="K23" s="38">
        <f>J23+IF(ISNUMBER(I23),I23,
  SWITCH(
      I23,
      "1T",1*10^AB23,
      "2T",2*10^AB23,
      "3T",3*10^AB23,
      "4T",4*10^AB23,
      "4000+500(7O-5)",4000+500*(7*I24-5),
      "13500 + 16C",13500+16*VLOOKUP(J25,'Machine Helper Sheet'!$G$1:$K$16,5,FALSE),
      1
  )
)</f>
        <v>100000</v>
      </c>
      <c r="L23" s="38">
        <f>IF(VLOOKUP(H23,'Machine List'!$A$1:$I$300,5,FALSE)="Multi",IF(VLOOKUP(H23,'Machine List'!$A$1:$I$300,6,FALSE)="Yes",AW23*3*10^AV23,AW23*(2*3)*10^(AV23-1)),0)</f>
        <v>0</v>
      </c>
      <c r="M23" s="38">
        <f>L23+IF(ISNUMBER(I23),I23,
  SWITCH(
      I23,
      "1T",1*10^AV23,
      "2T",2*10^AV23,
      "3T",3*10^AV23,
      "4T",4*10^AV23,
      "4000+500(7O-5)",4000+500*(7*I24-5),
      1
  )
)</f>
        <v>100000</v>
      </c>
      <c r="N23" s="38" t="str">
        <f>VLOOKUP(H23,'Machine List'!$A$1:$I$300,8,FALSE)</f>
        <v>Tier</v>
      </c>
      <c r="O23" s="38">
        <f>IF(ISNUMBER(N23),N23,10^AB23)</f>
        <v>100000</v>
      </c>
      <c r="P23" s="38">
        <f>IF(ISNUMBER(N23),N23,10^AV23)</f>
        <v>100000</v>
      </c>
      <c r="Q23" s="38">
        <f>VLOOKUP(H23,'Machine List'!$A$1:$B$138,2,FALSE)</f>
        <v>1</v>
      </c>
      <c r="R23" s="164" t="s">
        <v>277</v>
      </c>
      <c r="S23" s="45">
        <f>IF(ISNUMBER(Q23),Q23,
  SWITCH(
      Q23,
      "1",1,
      "2T",AB23*2,
      "4T",AB23*4,
      "6T",AB23*6,
      "8T",AB23*8,
      "10T",AB23*10,
      "12T",AB23*12,
      "14T",AB23*14,
      "16T",AB23*16,
      "24T",AB23*24,
      "2(T+1)",2*(AB23+1),
      "1T*C",AB23*J25,
      "2*P",L25*2,
      1
  )
)</f>
        <v>1</v>
      </c>
      <c r="T23" s="38" t="s">
        <v>277</v>
      </c>
      <c r="U23" s="38">
        <f>IF(OR(T23="No",T23=""),S23,T23)</f>
        <v>1</v>
      </c>
      <c r="V23" s="38">
        <f>IF(ISNUMBER(Q23),Q23,
  SWITCH(
      Q23,
      "1",1,
      "2T",AV23*2,
      "4T",AV23*4,
      "6T",AV23*6,
      "8T",AV23*8,
      "10T",AV23*10,
      "12T",AV23*12,
      "14T",AV23*14,
      "16T",AV23*16,
      "24T",AV23*24,
      "2(T+1)",2*(AV23+1),
      "1T*C",AV23*J25,
      "2*P",L25*2,
      1
  )
)</f>
        <v>1</v>
      </c>
      <c r="W23" s="38" t="str">
        <f>T23</f>
        <v>No</v>
      </c>
      <c r="X23" s="38">
        <f>IF(OR(W23="No",W23=""),V23,W23)</f>
        <v>1</v>
      </c>
      <c r="Y23" s="38">
        <f>VLOOKUP(H23,'Machine List'!$A$1:$C$138,3,FALSE)</f>
        <v>1</v>
      </c>
      <c r="Z23" s="38">
        <f>VLOOKUP(H23,'Machine List'!$A$1:$D$138,4,FALSE)</f>
        <v>1</v>
      </c>
      <c r="AA23" s="164" t="s">
        <v>405</v>
      </c>
      <c r="AB23" s="38">
        <f>VLOOKUP(AA23,'Item Helper Sheet'!$A$2:$B$16,2,FALSE)</f>
        <v>5</v>
      </c>
      <c r="AC23" s="164">
        <v>2400.0</v>
      </c>
      <c r="AD23" s="38">
        <f>20*20</f>
        <v>400</v>
      </c>
      <c r="AE23" s="38">
        <f>AD23*I25</f>
        <v>84000</v>
      </c>
      <c r="AF23" s="38">
        <f>AC23*AE23</f>
        <v>201600000</v>
      </c>
      <c r="AG23" s="75"/>
      <c r="AH23" s="38" t="str">
        <f>AA23</f>
        <v>05 - IV</v>
      </c>
      <c r="AI23" s="38">
        <v>1.0</v>
      </c>
      <c r="AJ23" s="38">
        <v>1.0</v>
      </c>
      <c r="AK23" s="38">
        <f>AJ23*8*4^AB23</f>
        <v>8192</v>
      </c>
      <c r="AL23" s="38">
        <f>MIN(ROUNDDOWN(AK23/AN23,0),U23)</f>
        <v>1</v>
      </c>
      <c r="AM23" s="38">
        <f>IF(OR(T23="No",T23=""),AI23*S23,AI23*T23)</f>
        <v>1</v>
      </c>
      <c r="AN23" s="38">
        <f>ROUNDUP(AC23*VLOOKUP(H23,'Machine List'!$A$2:$D$219,4,FALSE),0)</f>
        <v>2400</v>
      </c>
      <c r="AO23" s="38">
        <f>AN23*AM23</f>
        <v>2400</v>
      </c>
      <c r="AP23" s="38">
        <f>ROUNDUP(AD23*I25,0)</f>
        <v>84000</v>
      </c>
      <c r="AQ23" s="38">
        <f>IF(ISNUMBER(Y23),ROUNDUP(AP23/Y23,0),
  SWITCH(
      Y23,
      "1+0.5C",ROUNDUP(AP23/(1+0.5*VLOOKUP(J25,'Machine Helper Sheet'!$G$1:$K$16,2,FALSE)),0),
      ROUNDUP(AP23/1,0)
  )
)</f>
        <v>84000</v>
      </c>
      <c r="AR23" s="38">
        <f>ROUNDUP(AQ23/AM23,0)</f>
        <v>84000</v>
      </c>
      <c r="AS23" s="38">
        <f>AO23*AR23</f>
        <v>201600000</v>
      </c>
      <c r="AT23" s="75"/>
      <c r="AU23" s="164" t="s">
        <v>405</v>
      </c>
      <c r="AV23" s="38">
        <f>VLOOKUP(AU23,'Item Helper Sheet'!$A$2:$B$16,2,FALSE)</f>
        <v>5</v>
      </c>
      <c r="AW23" s="38">
        <f>AI23</f>
        <v>1</v>
      </c>
      <c r="AX23" s="38">
        <v>1.0</v>
      </c>
      <c r="AY23" s="38">
        <f>AX23*8*4^AV23</f>
        <v>8192</v>
      </c>
      <c r="AZ23" s="38">
        <f>MIN(ROUNDDOWN(AY23/AN23,0),X23)</f>
        <v>1</v>
      </c>
      <c r="BA23" s="38">
        <f>AZ23*AW23</f>
        <v>1</v>
      </c>
      <c r="BB23" s="38">
        <f>AN23</f>
        <v>2400</v>
      </c>
      <c r="BC23" s="38">
        <f>MIN(AV23-AB23,IF(AY23&gt;=BB24*4,
IF(AY23&gt;=BB24*4^2,
IF(AY23&gt;=BB24*4^3,
IF(AY23&gt;=BB24*4^4,
IF(AY23&gt;=BB24*4^5,
IF(AY23&gt;=BB24*4^6,
IF(AY23&gt;=BB24*4^7,
IF(AY23&gt;=BB24*4^8,
IF(AY23&gt;=BB24*4^9,
IF(AY23&gt;=BB24*4^10,
9),
8),
7),
6),
5),
4),
3),
2),
1),
0))</f>
        <v>0</v>
      </c>
      <c r="BD23" s="38">
        <f>BB23*AZ23*4^BC23</f>
        <v>2400</v>
      </c>
      <c r="BE23" s="38">
        <f>BD23*AW23</f>
        <v>2400</v>
      </c>
      <c r="BF23" s="45">
        <f>ROUNDUP(IF(R23="Yes",AP23/(2^((BC23)*2)),AP23/(2^(BC23))),0)</f>
        <v>84000</v>
      </c>
      <c r="BG23" s="45">
        <f>IF(ISNUMBER(Y23),ROUNDUP(BF23/Y23,0),
  SWITCH(
      Y23,
      "1+0.5C",ROUNDUP(BF23/(1+0.5*VLOOKUP(J25,'Machine Helper Sheet'!$G$1:$K$16,2,FALSE)),0),
      ROUNDUP(BF23/1,0)
  )
)</f>
        <v>84000</v>
      </c>
      <c r="BH23" s="45">
        <f>ROUNDUP(BG23/BA23,0)</f>
        <v>84000</v>
      </c>
      <c r="BI23" s="46">
        <f>BH23*BE23</f>
        <v>201600000</v>
      </c>
      <c r="BK23" s="22"/>
      <c r="BS23" s="6" t="s">
        <v>76</v>
      </c>
      <c r="BT23" s="140">
        <v>3.0</v>
      </c>
      <c r="BU23" s="6">
        <f>VLOOKUP(BS23,'Item List'!$A$2:$D$300,2,FALSE)</f>
        <v>1</v>
      </c>
      <c r="BV23" s="6">
        <f>VLOOKUP(BS23,'Item List'!$A$2:$D$300,3,FALSE)</f>
        <v>3</v>
      </c>
      <c r="BW23" s="6">
        <f>VLOOKUP(BS23,'Item List'!$A$2:$D$300,4,FALSE)</f>
        <v>2</v>
      </c>
      <c r="CA23" s="6">
        <f t="shared" si="1"/>
        <v>774000</v>
      </c>
      <c r="CB23" s="6">
        <f t="shared" si="2"/>
        <v>7371.428571</v>
      </c>
      <c r="CC23" s="102">
        <f t="shared" si="3"/>
        <v>5.555555556</v>
      </c>
      <c r="CD23" s="102">
        <f t="shared" si="4"/>
        <v>83.33333333</v>
      </c>
      <c r="CE23" s="102">
        <f t="shared" si="5"/>
        <v>7371.428571</v>
      </c>
    </row>
    <row r="24">
      <c r="B24" s="40"/>
      <c r="C24" s="165" t="s">
        <v>120</v>
      </c>
      <c r="D24" s="38">
        <f>1*I25</f>
        <v>210</v>
      </c>
      <c r="E24" s="164" t="s">
        <v>116</v>
      </c>
      <c r="F24" s="42">
        <f>1*I25</f>
        <v>210</v>
      </c>
      <c r="G24" s="43"/>
      <c r="H24" s="99" t="s">
        <v>584</v>
      </c>
      <c r="I24" s="45">
        <f t="array" ref="I24">match(TRUE,ISBLANK(F24:F39),0)-1</f>
        <v>1</v>
      </c>
      <c r="J24" s="100" t="s">
        <v>420</v>
      </c>
      <c r="K24" s="100" t="s">
        <v>585</v>
      </c>
      <c r="L24" s="100" t="s">
        <v>704</v>
      </c>
      <c r="M24" s="38"/>
      <c r="N24" s="38"/>
      <c r="O24" s="38"/>
      <c r="P24" s="38"/>
      <c r="Q24" s="38"/>
      <c r="R24" s="101"/>
      <c r="S24" s="101"/>
      <c r="T24" s="101"/>
      <c r="U24" s="45"/>
      <c r="V24" s="45"/>
      <c r="W24" s="45"/>
      <c r="X24" s="45"/>
      <c r="Y24" s="45"/>
      <c r="Z24" s="45"/>
      <c r="AA24" s="45"/>
      <c r="AB24" s="45"/>
      <c r="AC24" s="45"/>
      <c r="AD24" s="45"/>
      <c r="AE24" s="45"/>
      <c r="AF24" s="45"/>
      <c r="AG24" s="79"/>
      <c r="AH24" s="45"/>
      <c r="AI24" s="45"/>
      <c r="AJ24" s="45"/>
      <c r="AK24" s="45"/>
      <c r="AL24" s="45"/>
      <c r="AM24" s="45"/>
      <c r="AN24" s="45"/>
      <c r="AO24" s="45"/>
      <c r="AP24" s="45"/>
      <c r="AQ24" s="45"/>
      <c r="AR24" s="45"/>
      <c r="AS24" s="45"/>
      <c r="AT24" s="79"/>
      <c r="AU24" s="45"/>
      <c r="AV24" s="45"/>
      <c r="AW24" s="45"/>
      <c r="AX24" s="45"/>
      <c r="AY24" s="45"/>
      <c r="AZ24" s="45"/>
      <c r="BA24" s="45"/>
      <c r="BB24" s="45">
        <f>BB23*AZ23</f>
        <v>2400</v>
      </c>
      <c r="BC24" s="45"/>
      <c r="BD24" s="45"/>
      <c r="BE24" s="45"/>
      <c r="BF24" s="45"/>
      <c r="BG24" s="45"/>
      <c r="BH24" s="45"/>
      <c r="BI24" s="46"/>
      <c r="BK24" s="22"/>
      <c r="BS24" s="140" t="s">
        <v>77</v>
      </c>
      <c r="BT24" s="140">
        <v>-168.0</v>
      </c>
      <c r="BU24" s="6">
        <f>VLOOKUP(BS24,'Item List'!$A$2:$D$300,2,FALSE)</f>
        <v>1</v>
      </c>
      <c r="BV24" s="6">
        <f>VLOOKUP(BS24,'Item List'!$A$2:$D$300,3,FALSE)</f>
        <v>3</v>
      </c>
      <c r="BW24" s="6">
        <f>VLOOKUP(BS24,'Item List'!$A$2:$D$300,4,FALSE)</f>
        <v>2</v>
      </c>
    </row>
    <row r="25">
      <c r="B25" s="40"/>
      <c r="C25" s="165" t="s">
        <v>172</v>
      </c>
      <c r="D25" s="38">
        <f>2*I25</f>
        <v>420</v>
      </c>
      <c r="E25" s="38"/>
      <c r="F25" s="42"/>
      <c r="G25" s="43"/>
      <c r="H25" s="56" t="s">
        <v>502</v>
      </c>
      <c r="I25" s="166">
        <v>210.0</v>
      </c>
      <c r="J25" s="100" t="s">
        <v>424</v>
      </c>
      <c r="K25" s="100">
        <v>0.0</v>
      </c>
      <c r="L25" s="100">
        <v>0.0</v>
      </c>
      <c r="M25" s="45"/>
      <c r="N25" s="45"/>
      <c r="O25" s="45"/>
      <c r="P25" s="45"/>
      <c r="Q25" s="45"/>
      <c r="R25" s="45"/>
      <c r="S25" s="101"/>
      <c r="T25" s="101"/>
      <c r="U25" s="45"/>
      <c r="V25" s="45"/>
      <c r="W25" s="45"/>
      <c r="X25" s="45"/>
      <c r="Y25" s="45"/>
      <c r="Z25" s="45"/>
      <c r="AA25" s="45"/>
      <c r="AB25" s="45"/>
      <c r="AC25" s="45"/>
      <c r="AD25" s="45"/>
      <c r="AE25" s="45"/>
      <c r="AF25" s="45"/>
      <c r="AG25" s="79"/>
      <c r="AH25" s="45"/>
      <c r="AI25" s="45"/>
      <c r="AJ25" s="45"/>
      <c r="AK25" s="45"/>
      <c r="AL25" s="45"/>
      <c r="AM25" s="45"/>
      <c r="AN25" s="45"/>
      <c r="AO25" s="45"/>
      <c r="AP25" s="45"/>
      <c r="AQ25" s="45"/>
      <c r="AR25" s="45"/>
      <c r="AS25" s="45"/>
      <c r="AT25" s="79"/>
      <c r="AU25" s="45"/>
      <c r="AV25" s="45"/>
      <c r="AW25" s="45"/>
      <c r="AX25" s="45"/>
      <c r="AY25" s="45"/>
      <c r="AZ25" s="45"/>
      <c r="BA25" s="45"/>
      <c r="BB25" s="45"/>
      <c r="BC25" s="45"/>
      <c r="BD25" s="45"/>
      <c r="BE25" s="45"/>
      <c r="BF25" s="45"/>
      <c r="BG25" s="45"/>
      <c r="BH25" s="45"/>
      <c r="BI25" s="46"/>
      <c r="BK25" s="22"/>
      <c r="BS25" s="6" t="s">
        <v>79</v>
      </c>
      <c r="BT25" s="6">
        <v>-192960.0</v>
      </c>
      <c r="BU25" s="6">
        <f>VLOOKUP(BS25,'Item List'!$A$2:$D$300,2,FALSE)</f>
        <v>1</v>
      </c>
      <c r="BV25" s="6">
        <f>VLOOKUP(BS25,'Item List'!$A$2:$D$300,3,FALSE)</f>
        <v>3</v>
      </c>
      <c r="BW25" s="6">
        <f>VLOOKUP(BS25,'Item List'!$A$2:$D$300,4,FALSE)</f>
        <v>2</v>
      </c>
    </row>
    <row r="26">
      <c r="B26" s="40"/>
      <c r="C26" s="165" t="s">
        <v>135</v>
      </c>
      <c r="D26" s="38">
        <f>4*I25</f>
        <v>840</v>
      </c>
      <c r="E26" s="38"/>
      <c r="F26" s="42"/>
      <c r="G26" s="43"/>
      <c r="H26" s="44"/>
      <c r="I26" s="45"/>
      <c r="J26" s="45"/>
      <c r="K26" s="45"/>
      <c r="L26" s="45"/>
      <c r="M26" s="45"/>
      <c r="N26" s="45"/>
      <c r="O26" s="45"/>
      <c r="P26" s="45"/>
      <c r="Q26" s="45"/>
      <c r="R26" s="45"/>
      <c r="S26" s="101"/>
      <c r="T26" s="101"/>
      <c r="U26" s="45"/>
      <c r="V26" s="45"/>
      <c r="W26" s="45"/>
      <c r="X26" s="45"/>
      <c r="Y26" s="45"/>
      <c r="Z26" s="45"/>
      <c r="AA26" s="45"/>
      <c r="AB26" s="45"/>
      <c r="AC26" s="45"/>
      <c r="AD26" s="45"/>
      <c r="AE26" s="45"/>
      <c r="AF26" s="45"/>
      <c r="AG26" s="79"/>
      <c r="AH26" s="45"/>
      <c r="AI26" s="45"/>
      <c r="AJ26" s="45"/>
      <c r="AK26" s="45"/>
      <c r="AL26" s="45"/>
      <c r="AM26" s="45"/>
      <c r="AN26" s="45"/>
      <c r="AO26" s="45"/>
      <c r="AP26" s="45"/>
      <c r="AQ26" s="45"/>
      <c r="AR26" s="45"/>
      <c r="AS26" s="45"/>
      <c r="AT26" s="79"/>
      <c r="AU26" s="45"/>
      <c r="AV26" s="45"/>
      <c r="AW26" s="45"/>
      <c r="AX26" s="45"/>
      <c r="AY26" s="45"/>
      <c r="AZ26" s="45"/>
      <c r="BA26" s="45"/>
      <c r="BB26" s="45"/>
      <c r="BC26" s="45"/>
      <c r="BD26" s="45"/>
      <c r="BE26" s="45"/>
      <c r="BF26" s="45"/>
      <c r="BG26" s="45"/>
      <c r="BH26" s="45"/>
      <c r="BI26" s="46"/>
      <c r="BK26" s="22"/>
      <c r="BS26" s="6" t="s">
        <v>97</v>
      </c>
      <c r="BT26" s="6">
        <v>-1548000.0</v>
      </c>
      <c r="BU26" s="6">
        <f>VLOOKUP(BS26,'Item List'!$A$2:$D$300,2,FALSE)</f>
        <v>1</v>
      </c>
      <c r="BV26" s="6">
        <f>VLOOKUP(BS26,'Item List'!$A$2:$D$300,3,FALSE)</f>
        <v>3</v>
      </c>
      <c r="BW26" s="6">
        <f>VLOOKUP(BS26,'Item List'!$A$2:$D$300,4,FALSE)</f>
        <v>2</v>
      </c>
      <c r="CA26" s="97" t="s">
        <v>589</v>
      </c>
      <c r="CB26" s="97" t="s">
        <v>514</v>
      </c>
      <c r="CC26" s="97" t="s">
        <v>590</v>
      </c>
      <c r="CD26" s="97" t="s">
        <v>591</v>
      </c>
      <c r="CE26" s="97" t="s">
        <v>592</v>
      </c>
    </row>
    <row r="27">
      <c r="B27" s="40"/>
      <c r="C27" s="165" t="s">
        <v>210</v>
      </c>
      <c r="D27" s="38">
        <f>8*I25</f>
        <v>1680</v>
      </c>
      <c r="E27" s="38"/>
      <c r="F27" s="38"/>
      <c r="G27" s="79"/>
      <c r="H27" s="45"/>
      <c r="I27" s="45"/>
      <c r="J27" s="45"/>
      <c r="K27" s="45"/>
      <c r="L27" s="45"/>
      <c r="M27" s="45"/>
      <c r="N27" s="45"/>
      <c r="O27" s="45"/>
      <c r="P27" s="45"/>
      <c r="Q27" s="45"/>
      <c r="R27" s="45"/>
      <c r="S27" s="101"/>
      <c r="T27" s="101"/>
      <c r="U27" s="45"/>
      <c r="V27" s="45"/>
      <c r="W27" s="45"/>
      <c r="X27" s="45"/>
      <c r="Y27" s="45"/>
      <c r="Z27" s="45"/>
      <c r="AA27" s="45"/>
      <c r="AB27" s="45"/>
      <c r="AC27" s="45"/>
      <c r="AD27" s="45"/>
      <c r="AE27" s="45"/>
      <c r="AF27" s="45"/>
      <c r="AG27" s="79"/>
      <c r="AH27" s="45"/>
      <c r="AI27" s="45"/>
      <c r="AJ27" s="45"/>
      <c r="AK27" s="45"/>
      <c r="AL27" s="45"/>
      <c r="AM27" s="45"/>
      <c r="AN27" s="45"/>
      <c r="AO27" s="45"/>
      <c r="AP27" s="45"/>
      <c r="AQ27" s="45"/>
      <c r="AR27" s="45"/>
      <c r="AS27" s="45"/>
      <c r="AT27" s="79"/>
      <c r="AU27" s="45"/>
      <c r="AV27" s="45"/>
      <c r="AW27" s="45"/>
      <c r="AX27" s="45"/>
      <c r="AY27" s="45"/>
      <c r="AZ27" s="45"/>
      <c r="BA27" s="45"/>
      <c r="BB27" s="45"/>
      <c r="BC27" s="45"/>
      <c r="BD27" s="45"/>
      <c r="BE27" s="45"/>
      <c r="BF27" s="45"/>
      <c r="BG27" s="45"/>
      <c r="BH27" s="45"/>
      <c r="BI27" s="46"/>
      <c r="BK27" s="22"/>
      <c r="BS27" s="140" t="s">
        <v>115</v>
      </c>
      <c r="BT27" s="140">
        <v>-108040.0</v>
      </c>
      <c r="BU27" s="6">
        <f>VLOOKUP(BS27,'Item List'!$A$2:$D$300,2,FALSE)</f>
        <v>1</v>
      </c>
      <c r="BV27" s="6">
        <f>VLOOKUP(BS27,'Item List'!$A$2:$D$300,3,FALSE)</f>
        <v>3</v>
      </c>
      <c r="BW27" s="6">
        <f>VLOOKUP(BS27,'Item List'!$A$2:$D$300,4,FALSE)</f>
        <v>2</v>
      </c>
      <c r="CA27" s="6">
        <f>VLOOKUP(BY27,$BS$6:$BT$59,2)</f>
        <v>105</v>
      </c>
      <c r="CB27" s="6">
        <f>CA27/$CH$6</f>
        <v>1</v>
      </c>
      <c r="CC27" s="102">
        <f>1/($CI$8/CB27)</f>
        <v>0.0007536606374</v>
      </c>
      <c r="CD27" s="102">
        <f>1/($CJ$8/CB27)</f>
        <v>0.01130490956</v>
      </c>
      <c r="CE27" s="102">
        <f>1/($CK$8/CB27)</f>
        <v>1</v>
      </c>
    </row>
    <row r="28">
      <c r="B28" s="40"/>
      <c r="C28" s="165" t="s">
        <v>175</v>
      </c>
      <c r="D28" s="38">
        <f>16*I25</f>
        <v>3360</v>
      </c>
      <c r="E28" s="38"/>
      <c r="F28" s="38"/>
      <c r="G28" s="79"/>
      <c r="H28" s="45"/>
      <c r="I28" s="45"/>
      <c r="J28" s="45"/>
      <c r="K28" s="45"/>
      <c r="L28" s="45"/>
      <c r="M28" s="45"/>
      <c r="N28" s="45"/>
      <c r="O28" s="45"/>
      <c r="P28" s="45"/>
      <c r="Q28" s="45"/>
      <c r="R28" s="45"/>
      <c r="S28" s="101"/>
      <c r="T28" s="101"/>
      <c r="U28" s="45"/>
      <c r="V28" s="45"/>
      <c r="W28" s="45"/>
      <c r="X28" s="45"/>
      <c r="Y28" s="45"/>
      <c r="Z28" s="45"/>
      <c r="AA28" s="45"/>
      <c r="AB28" s="45"/>
      <c r="AC28" s="45"/>
      <c r="AD28" s="45"/>
      <c r="AE28" s="45"/>
      <c r="AF28" s="45"/>
      <c r="AG28" s="79"/>
      <c r="AH28" s="45"/>
      <c r="AI28" s="45"/>
      <c r="AJ28" s="45"/>
      <c r="AK28" s="45"/>
      <c r="AL28" s="45"/>
      <c r="AM28" s="45"/>
      <c r="AN28" s="45"/>
      <c r="AO28" s="45"/>
      <c r="AP28" s="45"/>
      <c r="AQ28" s="45"/>
      <c r="AR28" s="45"/>
      <c r="AS28" s="45"/>
      <c r="AT28" s="79"/>
      <c r="AU28" s="45"/>
      <c r="AV28" s="45"/>
      <c r="AW28" s="45"/>
      <c r="AX28" s="45"/>
      <c r="AY28" s="45"/>
      <c r="AZ28" s="45"/>
      <c r="BA28" s="45"/>
      <c r="BB28" s="45"/>
      <c r="BC28" s="45"/>
      <c r="BD28" s="45"/>
      <c r="BE28" s="45"/>
      <c r="BF28" s="45"/>
      <c r="BG28" s="45"/>
      <c r="BH28" s="45"/>
      <c r="BI28" s="46"/>
      <c r="BK28" s="22"/>
      <c r="BS28" s="6" t="s">
        <v>116</v>
      </c>
      <c r="BT28" s="6">
        <v>0.0</v>
      </c>
      <c r="BU28" s="6">
        <f>VLOOKUP(BS28,'Item List'!$A$2:$D$300,2,FALSE)</f>
        <v>1</v>
      </c>
      <c r="BV28" s="6">
        <f>VLOOKUP(BS28,'Item List'!$A$2:$D$300,3,FALSE)</f>
        <v>3</v>
      </c>
      <c r="BW28" s="6">
        <f>VLOOKUP(BS28,'Item List'!$A$2:$D$300,4,FALSE)</f>
        <v>2</v>
      </c>
    </row>
    <row r="29">
      <c r="B29" s="40"/>
      <c r="C29" s="165" t="s">
        <v>68</v>
      </c>
      <c r="D29" s="38">
        <f>48*I25</f>
        <v>10080</v>
      </c>
      <c r="E29" s="38"/>
      <c r="F29" s="38"/>
      <c r="G29" s="79"/>
      <c r="H29" s="45"/>
      <c r="I29" s="45"/>
      <c r="J29" s="45"/>
      <c r="K29" s="45"/>
      <c r="L29" s="45"/>
      <c r="M29" s="45"/>
      <c r="N29" s="45"/>
      <c r="O29" s="45"/>
      <c r="P29" s="45"/>
      <c r="Q29" s="45"/>
      <c r="R29" s="45"/>
      <c r="S29" s="101"/>
      <c r="T29" s="101"/>
      <c r="U29" s="45"/>
      <c r="V29" s="45"/>
      <c r="W29" s="45"/>
      <c r="X29" s="45"/>
      <c r="Y29" s="45"/>
      <c r="Z29" s="45"/>
      <c r="AA29" s="45"/>
      <c r="AB29" s="45"/>
      <c r="AC29" s="45"/>
      <c r="AD29" s="45"/>
      <c r="AE29" s="45"/>
      <c r="AF29" s="45"/>
      <c r="AG29" s="79"/>
      <c r="AH29" s="45"/>
      <c r="AI29" s="45"/>
      <c r="AJ29" s="45"/>
      <c r="AK29" s="45"/>
      <c r="AL29" s="45"/>
      <c r="AM29" s="45"/>
      <c r="AN29" s="45"/>
      <c r="AO29" s="45"/>
      <c r="AP29" s="45"/>
      <c r="AQ29" s="45"/>
      <c r="AR29" s="45"/>
      <c r="AS29" s="45"/>
      <c r="AT29" s="79"/>
      <c r="AU29" s="45"/>
      <c r="AV29" s="45"/>
      <c r="AW29" s="45"/>
      <c r="AX29" s="45"/>
      <c r="AY29" s="45"/>
      <c r="AZ29" s="45"/>
      <c r="BA29" s="45"/>
      <c r="BB29" s="45"/>
      <c r="BC29" s="45"/>
      <c r="BD29" s="45"/>
      <c r="BE29" s="45"/>
      <c r="BF29" s="45"/>
      <c r="BG29" s="45"/>
      <c r="BH29" s="45"/>
      <c r="BI29" s="46"/>
      <c r="BK29" s="22"/>
      <c r="BS29" s="6" t="s">
        <v>120</v>
      </c>
      <c r="BT29" s="6">
        <v>0.0</v>
      </c>
      <c r="BU29" s="6">
        <f>VLOOKUP(BS29,'Item List'!$A$2:$D$300,2,FALSE)</f>
        <v>1</v>
      </c>
      <c r="BV29" s="6">
        <f>VLOOKUP(BS29,'Item List'!$A$2:$D$300,3,FALSE)</f>
        <v>3</v>
      </c>
      <c r="BW29" s="6">
        <f>VLOOKUP(BS29,'Item List'!$A$2:$D$300,4,FALSE)</f>
        <v>2</v>
      </c>
    </row>
    <row r="30">
      <c r="B30" s="40"/>
      <c r="C30" s="165" t="s">
        <v>219</v>
      </c>
      <c r="D30" s="38">
        <f>72*I25</f>
        <v>15120</v>
      </c>
      <c r="E30" s="38"/>
      <c r="F30" s="38"/>
      <c r="G30" s="79"/>
      <c r="H30" s="45"/>
      <c r="I30" s="45"/>
      <c r="J30" s="45"/>
      <c r="K30" s="45"/>
      <c r="L30" s="45"/>
      <c r="M30" s="45"/>
      <c r="N30" s="45"/>
      <c r="O30" s="45"/>
      <c r="P30" s="45"/>
      <c r="Q30" s="45"/>
      <c r="R30" s="45"/>
      <c r="S30" s="101"/>
      <c r="T30" s="101"/>
      <c r="U30" s="45"/>
      <c r="V30" s="45"/>
      <c r="W30" s="45"/>
      <c r="X30" s="45"/>
      <c r="Y30" s="45"/>
      <c r="Z30" s="45"/>
      <c r="AA30" s="45"/>
      <c r="AB30" s="45"/>
      <c r="AC30" s="45"/>
      <c r="AD30" s="45"/>
      <c r="AE30" s="45"/>
      <c r="AF30" s="45"/>
      <c r="AG30" s="79"/>
      <c r="AH30" s="45"/>
      <c r="AI30" s="45"/>
      <c r="AJ30" s="45"/>
      <c r="AK30" s="45"/>
      <c r="AL30" s="45"/>
      <c r="AM30" s="45"/>
      <c r="AN30" s="45"/>
      <c r="AO30" s="45"/>
      <c r="AP30" s="45"/>
      <c r="AQ30" s="45"/>
      <c r="AR30" s="45"/>
      <c r="AS30" s="45"/>
      <c r="AT30" s="79"/>
      <c r="AU30" s="45"/>
      <c r="AV30" s="45"/>
      <c r="AW30" s="45"/>
      <c r="AX30" s="45"/>
      <c r="AY30" s="45"/>
      <c r="AZ30" s="45"/>
      <c r="BA30" s="45"/>
      <c r="BB30" s="45"/>
      <c r="BC30" s="45"/>
      <c r="BD30" s="45"/>
      <c r="BE30" s="45"/>
      <c r="BF30" s="45"/>
      <c r="BG30" s="45"/>
      <c r="BH30" s="45"/>
      <c r="BI30" s="46"/>
      <c r="BK30" s="22"/>
      <c r="BS30" s="6" t="s">
        <v>122</v>
      </c>
      <c r="BT30" s="140">
        <v>4.0</v>
      </c>
      <c r="BU30" s="6">
        <f>VLOOKUP(BS30,'Item List'!$A$2:$D$300,2,FALSE)</f>
        <v>1</v>
      </c>
      <c r="BV30" s="6">
        <f>VLOOKUP(BS30,'Item List'!$A$2:$D$300,3,FALSE)</f>
        <v>3</v>
      </c>
      <c r="BW30" s="6">
        <f>VLOOKUP(BS30,'Item List'!$A$2:$D$300,4,FALSE)</f>
        <v>2</v>
      </c>
    </row>
    <row r="31">
      <c r="B31" s="50"/>
      <c r="C31" s="51"/>
      <c r="D31" s="52"/>
      <c r="E31" s="52"/>
      <c r="F31" s="52"/>
      <c r="G31" s="112"/>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2"/>
      <c r="AH31" s="113"/>
      <c r="AI31" s="113"/>
      <c r="AJ31" s="113"/>
      <c r="AK31" s="113"/>
      <c r="AL31" s="113"/>
      <c r="AM31" s="113"/>
      <c r="AN31" s="113"/>
      <c r="AO31" s="113"/>
      <c r="AP31" s="113"/>
      <c r="AQ31" s="113"/>
      <c r="AR31" s="113"/>
      <c r="AS31" s="113"/>
      <c r="AT31" s="112"/>
      <c r="AU31" s="113"/>
      <c r="AV31" s="113"/>
      <c r="AW31" s="113"/>
      <c r="AX31" s="113"/>
      <c r="AY31" s="113"/>
      <c r="AZ31" s="113"/>
      <c r="BA31" s="113"/>
      <c r="BB31" s="113"/>
      <c r="BC31" s="113"/>
      <c r="BD31" s="113"/>
      <c r="BE31" s="113"/>
      <c r="BF31" s="113"/>
      <c r="BG31" s="113"/>
      <c r="BH31" s="113"/>
      <c r="BI31" s="114"/>
      <c r="BK31" s="22"/>
      <c r="BS31" s="140" t="s">
        <v>123</v>
      </c>
      <c r="BT31" s="140">
        <v>0.0</v>
      </c>
      <c r="BU31" s="6">
        <f>VLOOKUP(BS31,'Item List'!$A$2:$D$300,2,FALSE)</f>
        <v>1</v>
      </c>
      <c r="BV31" s="6">
        <f>VLOOKUP(BS31,'Item List'!$A$2:$D$300,3,FALSE)</f>
        <v>3</v>
      </c>
      <c r="BW31" s="6">
        <f>VLOOKUP(BS31,'Item List'!$A$2:$D$300,4,FALSE)</f>
        <v>2</v>
      </c>
    </row>
    <row r="32">
      <c r="B32" s="31" t="s">
        <v>788</v>
      </c>
      <c r="C32" s="54"/>
      <c r="D32" s="45"/>
      <c r="E32" s="45"/>
      <c r="F32" s="47"/>
      <c r="G32" s="35"/>
      <c r="H32" s="163" t="s">
        <v>380</v>
      </c>
      <c r="I32" s="38" t="str">
        <f>VLOOKUP(H32,'Machine List'!$A$1:$I$300,9,FALSE)</f>
        <v>1T</v>
      </c>
      <c r="J32" s="38">
        <f>IF(VLOOKUP(H32,'Machine List'!$A$1:$I$300,5,FALSE)="Multi",IF(VLOOKUP(H32,'Machine List'!$A$1:$I$300,6,FALSE)="Yes",AI32*3*10^AB32,AI32*(2*3)*10^(AB32-1)),0)</f>
        <v>0</v>
      </c>
      <c r="K32" s="38">
        <f>J32+IF(ISNUMBER(I32),I32,
  SWITCH(
      I32,
      "1T",1*10^AB32,
      "2T",2*10^AB32,
      "3T",3*10^AB32,
      "4T",4*10^AB32,
      "4000+500(7O-5)",4000+500*(7*I33-5),
      "13500 + 16C",13500+16*VLOOKUP(J34,'Machine Helper Sheet'!$G$1:$K$16,5,FALSE),
      1
  )
)</f>
        <v>100000</v>
      </c>
      <c r="L32" s="38">
        <f>IF(VLOOKUP(H32,'Machine List'!$A$1:$I$300,5,FALSE)="Multi",IF(VLOOKUP(H32,'Machine List'!$A$1:$I$300,6,FALSE)="Yes",AW32*3*10^AV32,AW32*(2*3)*10^(AV32-1)),0)</f>
        <v>0</v>
      </c>
      <c r="M32" s="38">
        <f>L32+IF(ISNUMBER(I32),I32,
  SWITCH(
      I32,
      "1T",1*10^AV32,
      "2T",2*10^AV32,
      "3T",3*10^AV32,
      "4T",4*10^AV32,
      "4000+500(7O-5)",4000+500*(7*I33-5),
      1
  )
)</f>
        <v>100000</v>
      </c>
      <c r="N32" s="38" t="str">
        <f>VLOOKUP(H32,'Machine List'!$A$1:$I$300,8,FALSE)</f>
        <v>Tier</v>
      </c>
      <c r="O32" s="38">
        <f>IF(ISNUMBER(N32),N32,10^AB32)</f>
        <v>100000</v>
      </c>
      <c r="P32" s="38">
        <f>IF(ISNUMBER(N32),N32,10^AV32)</f>
        <v>100000</v>
      </c>
      <c r="Q32" s="38">
        <f>VLOOKUP(H32,'Machine List'!$A$1:$B$138,2,FALSE)</f>
        <v>1</v>
      </c>
      <c r="R32" s="164" t="s">
        <v>277</v>
      </c>
      <c r="S32" s="45">
        <f>IF(ISNUMBER(Q32),Q32,
  SWITCH(
      Q32,
      "1",1,
      "2T",AB32*2,
      "4T",AB32*4,
      "6T",AB32*6,
      "8T",AB32*8,
      "10T",AB32*10,
      "12T",AB32*12,
      "14T",AB32*14,
      "16T",AB32*16,
      "24T",AB32*24,
      "2(T+1)",2*(AB32+1),
      "1T*C",AB32*J34,
      "2*P",L34*2,
      1
  )
)</f>
        <v>1</v>
      </c>
      <c r="T32" s="38" t="s">
        <v>277</v>
      </c>
      <c r="U32" s="38">
        <f>IF(OR(T32="No",T32=""),S32,T32)</f>
        <v>1</v>
      </c>
      <c r="V32" s="38">
        <f>IF(ISNUMBER(Q32),Q32,
  SWITCH(
      Q32,
      "1",1,
      "2T",AV32*2,
      "4T",AV32*4,
      "6T",AV32*6,
      "8T",AV32*8,
      "10T",AV32*10,
      "12T",AV32*12,
      "14T",AV32*14,
      "16T",AV32*16,
      "24T",AV32*24,
      "2(T+1)",2*(AV32+1),
      "1T*C",AV32*J34,
      "2*P",L34*2,
      1
  )
)</f>
        <v>1</v>
      </c>
      <c r="W32" s="38" t="str">
        <f>T32</f>
        <v>No</v>
      </c>
      <c r="X32" s="38">
        <f>IF(OR(W32="No",W32=""),V32,W32)</f>
        <v>1</v>
      </c>
      <c r="Y32" s="38">
        <f>VLOOKUP(H32,'Machine List'!$A$1:$C$138,3,FALSE)</f>
        <v>1</v>
      </c>
      <c r="Z32" s="38">
        <f>VLOOKUP(H32,'Machine List'!$A$1:$D$138,4,FALSE)</f>
        <v>1</v>
      </c>
      <c r="AA32" s="164" t="s">
        <v>405</v>
      </c>
      <c r="AB32" s="38">
        <f>VLOOKUP(AA32,'Item Helper Sheet'!$A$2:$B$16,2,FALSE)</f>
        <v>5</v>
      </c>
      <c r="AC32" s="164">
        <v>7680.0</v>
      </c>
      <c r="AD32" s="38">
        <f>80*20</f>
        <v>1600</v>
      </c>
      <c r="AE32" s="38">
        <f>AD32*I34</f>
        <v>168000</v>
      </c>
      <c r="AF32" s="38">
        <f>AC32*AE32</f>
        <v>1290240000</v>
      </c>
      <c r="AG32" s="75"/>
      <c r="AH32" s="38" t="str">
        <f>AA32</f>
        <v>05 - IV</v>
      </c>
      <c r="AI32" s="38">
        <v>1.0</v>
      </c>
      <c r="AJ32" s="38">
        <v>1.0</v>
      </c>
      <c r="AK32" s="38">
        <f>AJ32*8*4^AB32</f>
        <v>8192</v>
      </c>
      <c r="AL32" s="38">
        <f>MIN(ROUNDDOWN(AK32/AN32,0),U32)</f>
        <v>1</v>
      </c>
      <c r="AM32" s="38">
        <f>IF(OR(T32="No",T32=""),AI32*S32,AI32*T32)</f>
        <v>1</v>
      </c>
      <c r="AN32" s="38">
        <f>ROUNDUP(AC32*VLOOKUP(H32,'Machine List'!$A$2:$D$219,4,FALSE),0)</f>
        <v>7680</v>
      </c>
      <c r="AO32" s="38">
        <f>AN32*AM32</f>
        <v>7680</v>
      </c>
      <c r="AP32" s="38">
        <f>ROUNDUP(AD32*I34,0)</f>
        <v>168000</v>
      </c>
      <c r="AQ32" s="38">
        <f>IF(ISNUMBER(Y32),ROUNDUP(AP32/Y32,0),
  SWITCH(
      Y32,
      "1+0.5C",ROUNDUP(AP32/(1+0.5*VLOOKUP(J34,'Machine Helper Sheet'!$G$1:$K$16,2,FALSE)),0),
      ROUNDUP(AP32/1,0)
  )
)</f>
        <v>168000</v>
      </c>
      <c r="AR32" s="38">
        <f>ROUNDUP(AQ32/AM32,0)</f>
        <v>168000</v>
      </c>
      <c r="AS32" s="38">
        <f>AO32*AR32</f>
        <v>1290240000</v>
      </c>
      <c r="AT32" s="75"/>
      <c r="AU32" s="164" t="s">
        <v>405</v>
      </c>
      <c r="AV32" s="38">
        <f>VLOOKUP(AU32,'Item Helper Sheet'!$A$2:$B$16,2,FALSE)</f>
        <v>5</v>
      </c>
      <c r="AW32" s="38">
        <f>AI32</f>
        <v>1</v>
      </c>
      <c r="AX32" s="38">
        <v>1.0</v>
      </c>
      <c r="AY32" s="38">
        <f>AX32*8*4^AV32</f>
        <v>8192</v>
      </c>
      <c r="AZ32" s="38">
        <f>MIN(ROUNDDOWN(AY32/AN32,0),X32)</f>
        <v>1</v>
      </c>
      <c r="BA32" s="38">
        <f>AZ32*AW32</f>
        <v>1</v>
      </c>
      <c r="BB32" s="38">
        <f>AN32</f>
        <v>7680</v>
      </c>
      <c r="BC32" s="38">
        <f>MIN(AV32-AB32,IF(AY32&gt;=BB33*4,
IF(AY32&gt;=BB33*4^2,
IF(AY32&gt;=BB33*4^3,
IF(AY32&gt;=BB33*4^4,
IF(AY32&gt;=BB33*4^5,
IF(AY32&gt;=BB33*4^6,
IF(AY32&gt;=BB33*4^7,
IF(AY32&gt;=BB33*4^8,
IF(AY32&gt;=BB33*4^9,
IF(AY32&gt;=BB33*4^10,
9),
8),
7),
6),
5),
4),
3),
2),
1),
0))</f>
        <v>0</v>
      </c>
      <c r="BD32" s="38">
        <f>BB32*AZ32*4^BC32</f>
        <v>7680</v>
      </c>
      <c r="BE32" s="38">
        <f>BD32*AW32</f>
        <v>7680</v>
      </c>
      <c r="BF32" s="45">
        <f>ROUNDUP(IF(R32="Yes",AP32/(2^((BC32)*2)),AP32/(2^(BC32))),0)</f>
        <v>168000</v>
      </c>
      <c r="BG32" s="45">
        <f>IF(ISNUMBER(Y32),ROUNDUP(BF32/Y32,0),
  SWITCH(
      Y32,
      "1+0.5C",ROUNDUP(BF32/(1+0.5*VLOOKUP(J34,'Machine Helper Sheet'!$G$1:$K$16,2,FALSE)),0),
      ROUNDUP(BF32/1,0)
  )
)</f>
        <v>168000</v>
      </c>
      <c r="BH32" s="45">
        <f>ROUNDUP(BG32/BA32,0)</f>
        <v>168000</v>
      </c>
      <c r="BI32" s="46">
        <f>BH32*BE32</f>
        <v>1290240000</v>
      </c>
      <c r="BK32" s="22"/>
      <c r="BS32" s="140" t="s">
        <v>126</v>
      </c>
      <c r="BT32" s="140">
        <v>-62.0</v>
      </c>
      <c r="BU32" s="6">
        <f>VLOOKUP(BS32,'Item List'!$A$2:$D$300,2,FALSE)</f>
        <v>1</v>
      </c>
      <c r="BV32" s="6">
        <f>VLOOKUP(BS32,'Item List'!$A$2:$D$300,3,FALSE)</f>
        <v>3</v>
      </c>
      <c r="BW32" s="6">
        <f>VLOOKUP(BS32,'Item List'!$A$2:$D$300,4,FALSE)</f>
        <v>2</v>
      </c>
    </row>
    <row r="33">
      <c r="B33" s="40"/>
      <c r="C33" s="165" t="s">
        <v>19</v>
      </c>
      <c r="D33" s="38">
        <f>2*I34</f>
        <v>210</v>
      </c>
      <c r="E33" s="164" t="s">
        <v>173</v>
      </c>
      <c r="F33" s="42">
        <f>1*I34</f>
        <v>105</v>
      </c>
      <c r="G33" s="43"/>
      <c r="H33" s="99" t="s">
        <v>584</v>
      </c>
      <c r="I33" s="45">
        <f t="array" ref="I33">match(TRUE,ISBLANK(F33:F48),0)-1</f>
        <v>1</v>
      </c>
      <c r="J33" s="100" t="s">
        <v>420</v>
      </c>
      <c r="K33" s="100" t="s">
        <v>585</v>
      </c>
      <c r="L33" s="100" t="s">
        <v>704</v>
      </c>
      <c r="M33" s="38"/>
      <c r="N33" s="38"/>
      <c r="O33" s="38"/>
      <c r="P33" s="38"/>
      <c r="Q33" s="38"/>
      <c r="R33" s="101"/>
      <c r="S33" s="101"/>
      <c r="T33" s="101"/>
      <c r="U33" s="45"/>
      <c r="V33" s="45"/>
      <c r="W33" s="45"/>
      <c r="X33" s="45"/>
      <c r="Y33" s="45"/>
      <c r="Z33" s="45"/>
      <c r="AA33" s="45"/>
      <c r="AB33" s="45"/>
      <c r="AC33" s="45"/>
      <c r="AD33" s="45"/>
      <c r="AE33" s="45"/>
      <c r="AF33" s="45"/>
      <c r="AG33" s="79"/>
      <c r="AH33" s="45"/>
      <c r="AI33" s="45"/>
      <c r="AJ33" s="45"/>
      <c r="AK33" s="45"/>
      <c r="AL33" s="45"/>
      <c r="AM33" s="45"/>
      <c r="AN33" s="45"/>
      <c r="AO33" s="45"/>
      <c r="AP33" s="45"/>
      <c r="AQ33" s="45"/>
      <c r="AR33" s="45"/>
      <c r="AS33" s="45"/>
      <c r="AT33" s="79"/>
      <c r="AU33" s="45"/>
      <c r="AV33" s="45"/>
      <c r="AW33" s="45"/>
      <c r="AX33" s="45"/>
      <c r="AY33" s="45"/>
      <c r="AZ33" s="45"/>
      <c r="BA33" s="45"/>
      <c r="BB33" s="45">
        <f>BB32*AZ32</f>
        <v>7680</v>
      </c>
      <c r="BC33" s="45"/>
      <c r="BD33" s="45"/>
      <c r="BE33" s="45"/>
      <c r="BF33" s="45"/>
      <c r="BG33" s="45"/>
      <c r="BH33" s="45"/>
      <c r="BI33" s="46"/>
      <c r="BK33" s="22"/>
      <c r="BS33" s="6" t="s">
        <v>127</v>
      </c>
      <c r="BT33" s="140">
        <v>2.0</v>
      </c>
      <c r="BU33" s="6">
        <f>VLOOKUP(BS33,'Item List'!$A$2:$D$300,2,FALSE)</f>
        <v>1</v>
      </c>
      <c r="BV33" s="6">
        <f>VLOOKUP(BS33,'Item List'!$A$2:$D$300,3,FALSE)</f>
        <v>3</v>
      </c>
      <c r="BW33" s="6">
        <f>VLOOKUP(BS33,'Item List'!$A$2:$D$300,4,FALSE)</f>
        <v>2</v>
      </c>
    </row>
    <row r="34">
      <c r="B34" s="40"/>
      <c r="C34" s="165" t="s">
        <v>116</v>
      </c>
      <c r="D34" s="38">
        <f>2*I34</f>
        <v>210</v>
      </c>
      <c r="E34" s="38"/>
      <c r="F34" s="42"/>
      <c r="G34" s="43"/>
      <c r="H34" s="56" t="s">
        <v>502</v>
      </c>
      <c r="I34" s="166">
        <v>105.0</v>
      </c>
      <c r="J34" s="100" t="s">
        <v>424</v>
      </c>
      <c r="K34" s="100">
        <v>0.0</v>
      </c>
      <c r="L34" s="100">
        <v>0.0</v>
      </c>
      <c r="M34" s="45"/>
      <c r="N34" s="45"/>
      <c r="O34" s="45"/>
      <c r="P34" s="45"/>
      <c r="Q34" s="45"/>
      <c r="R34" s="45"/>
      <c r="S34" s="101"/>
      <c r="T34" s="101"/>
      <c r="U34" s="45"/>
      <c r="V34" s="45"/>
      <c r="W34" s="45"/>
      <c r="X34" s="45"/>
      <c r="Y34" s="45"/>
      <c r="Z34" s="45"/>
      <c r="AA34" s="45"/>
      <c r="AB34" s="45"/>
      <c r="AC34" s="45"/>
      <c r="AD34" s="45"/>
      <c r="AE34" s="45"/>
      <c r="AF34" s="45"/>
      <c r="AG34" s="79"/>
      <c r="AH34" s="45"/>
      <c r="AI34" s="45"/>
      <c r="AJ34" s="45"/>
      <c r="AK34" s="45"/>
      <c r="AL34" s="45"/>
      <c r="AM34" s="45"/>
      <c r="AN34" s="45"/>
      <c r="AO34" s="45"/>
      <c r="AP34" s="45"/>
      <c r="AQ34" s="45"/>
      <c r="AR34" s="45"/>
      <c r="AS34" s="45"/>
      <c r="AT34" s="79"/>
      <c r="AU34" s="45"/>
      <c r="AV34" s="45"/>
      <c r="AW34" s="45"/>
      <c r="AX34" s="45"/>
      <c r="AY34" s="45"/>
      <c r="AZ34" s="45"/>
      <c r="BA34" s="45"/>
      <c r="BB34" s="45"/>
      <c r="BC34" s="45"/>
      <c r="BD34" s="45"/>
      <c r="BE34" s="45"/>
      <c r="BF34" s="45"/>
      <c r="BG34" s="45"/>
      <c r="BH34" s="45"/>
      <c r="BI34" s="46"/>
      <c r="BK34" s="22"/>
      <c r="BS34" s="6" t="s">
        <v>135</v>
      </c>
      <c r="BT34" s="140">
        <v>8.0</v>
      </c>
      <c r="BU34" s="6">
        <f>VLOOKUP(BS34,'Item List'!$A$2:$D$300,2,FALSE)</f>
        <v>1</v>
      </c>
      <c r="BV34" s="6">
        <f>VLOOKUP(BS34,'Item List'!$A$2:$D$300,3,FALSE)</f>
        <v>3</v>
      </c>
      <c r="BW34" s="6">
        <f>VLOOKUP(BS34,'Item List'!$A$2:$D$300,4,FALSE)</f>
        <v>2</v>
      </c>
    </row>
    <row r="35">
      <c r="B35" s="40"/>
      <c r="C35" s="165" t="s">
        <v>175</v>
      </c>
      <c r="D35" s="38">
        <f>24*I34</f>
        <v>2520</v>
      </c>
      <c r="E35" s="38"/>
      <c r="F35" s="42"/>
      <c r="G35" s="43"/>
      <c r="H35" s="44"/>
      <c r="I35" s="45"/>
      <c r="J35" s="45"/>
      <c r="K35" s="45"/>
      <c r="L35" s="45"/>
      <c r="M35" s="45"/>
      <c r="N35" s="45"/>
      <c r="O35" s="45"/>
      <c r="P35" s="45"/>
      <c r="Q35" s="45"/>
      <c r="R35" s="45"/>
      <c r="S35" s="101"/>
      <c r="T35" s="101"/>
      <c r="U35" s="45"/>
      <c r="V35" s="45"/>
      <c r="W35" s="45"/>
      <c r="X35" s="45"/>
      <c r="Y35" s="45"/>
      <c r="Z35" s="45"/>
      <c r="AA35" s="45"/>
      <c r="AB35" s="45"/>
      <c r="AC35" s="45"/>
      <c r="AD35" s="45"/>
      <c r="AE35" s="45"/>
      <c r="AF35" s="45"/>
      <c r="AG35" s="79"/>
      <c r="AH35" s="45"/>
      <c r="AI35" s="45"/>
      <c r="AJ35" s="45"/>
      <c r="AK35" s="45"/>
      <c r="AL35" s="45"/>
      <c r="AM35" s="45"/>
      <c r="AN35" s="45"/>
      <c r="AO35" s="45"/>
      <c r="AP35" s="45"/>
      <c r="AQ35" s="45"/>
      <c r="AR35" s="45"/>
      <c r="AS35" s="45"/>
      <c r="AT35" s="79"/>
      <c r="AU35" s="45"/>
      <c r="AV35" s="45"/>
      <c r="AW35" s="45"/>
      <c r="AX35" s="45"/>
      <c r="AY35" s="45"/>
      <c r="AZ35" s="45"/>
      <c r="BA35" s="45"/>
      <c r="BB35" s="45"/>
      <c r="BC35" s="45"/>
      <c r="BD35" s="45"/>
      <c r="BE35" s="45"/>
      <c r="BF35" s="45"/>
      <c r="BG35" s="45"/>
      <c r="BH35" s="45"/>
      <c r="BI35" s="46"/>
      <c r="BK35" s="22"/>
      <c r="BS35" s="140" t="s">
        <v>136</v>
      </c>
      <c r="BT35" s="140">
        <v>0.0</v>
      </c>
      <c r="BU35" s="6">
        <f>VLOOKUP(BS35,'Item List'!$A$2:$D$300,2,FALSE)</f>
        <v>1</v>
      </c>
      <c r="BV35" s="6">
        <f>VLOOKUP(BS35,'Item List'!$A$2:$D$300,3,FALSE)</f>
        <v>3</v>
      </c>
      <c r="BW35" s="6">
        <f>VLOOKUP(BS35,'Item List'!$A$2:$D$300,4,FALSE)</f>
        <v>2</v>
      </c>
    </row>
    <row r="36">
      <c r="B36" s="40"/>
      <c r="C36" s="165" t="s">
        <v>211</v>
      </c>
      <c r="D36" s="38">
        <f>24*I34</f>
        <v>2520</v>
      </c>
      <c r="E36" s="38"/>
      <c r="F36" s="38"/>
      <c r="G36" s="79"/>
      <c r="H36" s="45"/>
      <c r="I36" s="45"/>
      <c r="J36" s="45"/>
      <c r="K36" s="45"/>
      <c r="L36" s="45"/>
      <c r="M36" s="45"/>
      <c r="N36" s="45"/>
      <c r="O36" s="45"/>
      <c r="P36" s="45"/>
      <c r="Q36" s="45"/>
      <c r="R36" s="45"/>
      <c r="S36" s="101"/>
      <c r="T36" s="101"/>
      <c r="U36" s="45"/>
      <c r="V36" s="45"/>
      <c r="W36" s="45"/>
      <c r="X36" s="45"/>
      <c r="Y36" s="45"/>
      <c r="Z36" s="45"/>
      <c r="AA36" s="45"/>
      <c r="AB36" s="45"/>
      <c r="AC36" s="45"/>
      <c r="AD36" s="45"/>
      <c r="AE36" s="45"/>
      <c r="AF36" s="45"/>
      <c r="AG36" s="79"/>
      <c r="AH36" s="45"/>
      <c r="AI36" s="45"/>
      <c r="AJ36" s="45"/>
      <c r="AK36" s="45"/>
      <c r="AL36" s="45"/>
      <c r="AM36" s="45"/>
      <c r="AN36" s="45"/>
      <c r="AO36" s="45"/>
      <c r="AP36" s="45"/>
      <c r="AQ36" s="45"/>
      <c r="AR36" s="45"/>
      <c r="AS36" s="45"/>
      <c r="AT36" s="79"/>
      <c r="AU36" s="45"/>
      <c r="AV36" s="45"/>
      <c r="AW36" s="45"/>
      <c r="AX36" s="45"/>
      <c r="AY36" s="45"/>
      <c r="AZ36" s="45"/>
      <c r="BA36" s="45"/>
      <c r="BB36" s="45"/>
      <c r="BC36" s="45"/>
      <c r="BD36" s="45"/>
      <c r="BE36" s="45"/>
      <c r="BF36" s="45"/>
      <c r="BG36" s="45"/>
      <c r="BH36" s="45"/>
      <c r="BI36" s="46"/>
      <c r="BK36" s="22"/>
      <c r="BS36" s="140" t="s">
        <v>150</v>
      </c>
      <c r="BT36" s="140">
        <v>-7.0</v>
      </c>
      <c r="BU36" s="6">
        <f>VLOOKUP(BS36,'Item List'!$A$2:$D$300,2,FALSE)</f>
        <v>1</v>
      </c>
      <c r="BV36" s="6">
        <f>VLOOKUP(BS36,'Item List'!$A$2:$D$300,3,FALSE)</f>
        <v>3</v>
      </c>
      <c r="BW36" s="6">
        <f>VLOOKUP(BS36,'Item List'!$A$2:$D$300,4,FALSE)</f>
        <v>2</v>
      </c>
    </row>
    <row r="37">
      <c r="B37" s="40"/>
      <c r="C37" s="165" t="s">
        <v>209</v>
      </c>
      <c r="D37" s="38">
        <f>48*I34</f>
        <v>5040</v>
      </c>
      <c r="E37" s="38"/>
      <c r="F37" s="38"/>
      <c r="G37" s="79"/>
      <c r="H37" s="45"/>
      <c r="I37" s="45"/>
      <c r="J37" s="45"/>
      <c r="K37" s="45"/>
      <c r="L37" s="45"/>
      <c r="M37" s="45"/>
      <c r="N37" s="45"/>
      <c r="O37" s="45"/>
      <c r="P37" s="45"/>
      <c r="Q37" s="45"/>
      <c r="R37" s="45"/>
      <c r="S37" s="101"/>
      <c r="T37" s="101"/>
      <c r="U37" s="45"/>
      <c r="V37" s="45"/>
      <c r="W37" s="45"/>
      <c r="X37" s="45"/>
      <c r="Y37" s="45"/>
      <c r="Z37" s="45"/>
      <c r="AA37" s="45"/>
      <c r="AB37" s="45"/>
      <c r="AC37" s="45"/>
      <c r="AD37" s="45"/>
      <c r="AE37" s="45"/>
      <c r="AF37" s="45"/>
      <c r="AG37" s="79"/>
      <c r="AH37" s="45"/>
      <c r="AI37" s="45"/>
      <c r="AJ37" s="45"/>
      <c r="AK37" s="45"/>
      <c r="AL37" s="45"/>
      <c r="AM37" s="45"/>
      <c r="AN37" s="45"/>
      <c r="AO37" s="45"/>
      <c r="AP37" s="45"/>
      <c r="AQ37" s="45"/>
      <c r="AR37" s="45"/>
      <c r="AS37" s="45"/>
      <c r="AT37" s="79"/>
      <c r="AU37" s="45"/>
      <c r="AV37" s="45"/>
      <c r="AW37" s="45"/>
      <c r="AX37" s="45"/>
      <c r="AY37" s="45"/>
      <c r="AZ37" s="45"/>
      <c r="BA37" s="45"/>
      <c r="BB37" s="45"/>
      <c r="BC37" s="45"/>
      <c r="BD37" s="45"/>
      <c r="BE37" s="45"/>
      <c r="BF37" s="45"/>
      <c r="BG37" s="45"/>
      <c r="BH37" s="45"/>
      <c r="BI37" s="46"/>
      <c r="BK37" s="22"/>
      <c r="BS37" s="140" t="s">
        <v>151</v>
      </c>
      <c r="BT37" s="140">
        <v>27.0</v>
      </c>
      <c r="BU37" s="6">
        <f>VLOOKUP(BS37,'Item List'!$A$2:$D$300,2,FALSE)</f>
        <v>1</v>
      </c>
      <c r="BV37" s="6">
        <f>VLOOKUP(BS37,'Item List'!$A$2:$D$300,3,FALSE)</f>
        <v>3</v>
      </c>
      <c r="BW37" s="6">
        <f>VLOOKUP(BS37,'Item List'!$A$2:$D$300,4,FALSE)</f>
        <v>2</v>
      </c>
    </row>
    <row r="38">
      <c r="B38" s="40"/>
      <c r="C38" s="165" t="s">
        <v>25</v>
      </c>
      <c r="D38" s="38">
        <f>48*I34</f>
        <v>5040</v>
      </c>
      <c r="E38" s="38"/>
      <c r="F38" s="38"/>
      <c r="G38" s="79"/>
      <c r="H38" s="45"/>
      <c r="I38" s="45"/>
      <c r="J38" s="45"/>
      <c r="K38" s="45"/>
      <c r="L38" s="45"/>
      <c r="M38" s="45"/>
      <c r="N38" s="45"/>
      <c r="O38" s="45"/>
      <c r="P38" s="45"/>
      <c r="Q38" s="45"/>
      <c r="R38" s="45"/>
      <c r="S38" s="101"/>
      <c r="T38" s="101"/>
      <c r="U38" s="45"/>
      <c r="V38" s="45"/>
      <c r="W38" s="45"/>
      <c r="X38" s="45"/>
      <c r="Y38" s="45"/>
      <c r="Z38" s="45"/>
      <c r="AA38" s="45"/>
      <c r="AB38" s="45"/>
      <c r="AC38" s="45"/>
      <c r="AD38" s="45"/>
      <c r="AE38" s="45"/>
      <c r="AF38" s="45"/>
      <c r="AG38" s="79"/>
      <c r="AH38" s="45"/>
      <c r="AI38" s="45"/>
      <c r="AJ38" s="45"/>
      <c r="AK38" s="45"/>
      <c r="AL38" s="45"/>
      <c r="AM38" s="45"/>
      <c r="AN38" s="45"/>
      <c r="AO38" s="45"/>
      <c r="AP38" s="45"/>
      <c r="AQ38" s="45"/>
      <c r="AR38" s="45"/>
      <c r="AS38" s="45"/>
      <c r="AT38" s="79"/>
      <c r="AU38" s="45"/>
      <c r="AV38" s="45"/>
      <c r="AW38" s="45"/>
      <c r="AX38" s="45"/>
      <c r="AY38" s="45"/>
      <c r="AZ38" s="45"/>
      <c r="BA38" s="45"/>
      <c r="BB38" s="45"/>
      <c r="BC38" s="45"/>
      <c r="BD38" s="45"/>
      <c r="BE38" s="45"/>
      <c r="BF38" s="45"/>
      <c r="BG38" s="45"/>
      <c r="BH38" s="45"/>
      <c r="BI38" s="46"/>
      <c r="BK38" s="22"/>
      <c r="BS38" s="140" t="s">
        <v>152</v>
      </c>
      <c r="BT38" s="140">
        <v>-4385.0</v>
      </c>
      <c r="BU38" s="6">
        <f>VLOOKUP(BS38,'Item List'!$A$2:$D$300,2,FALSE)</f>
        <v>4</v>
      </c>
      <c r="BV38" s="6">
        <f>VLOOKUP(BS38,'Item List'!$A$2:$D$300,3,FALSE)</f>
        <v>5</v>
      </c>
      <c r="BW38" s="6">
        <f>VLOOKUP(BS38,'Item List'!$A$2:$D$300,4,FALSE)</f>
        <v>3</v>
      </c>
    </row>
    <row r="39">
      <c r="B39" s="40"/>
      <c r="C39" s="165" t="s">
        <v>219</v>
      </c>
      <c r="D39" s="38">
        <f>288*I34</f>
        <v>30240</v>
      </c>
      <c r="E39" s="38"/>
      <c r="F39" s="38"/>
      <c r="G39" s="79"/>
      <c r="H39" s="45"/>
      <c r="I39" s="45"/>
      <c r="J39" s="45"/>
      <c r="K39" s="45"/>
      <c r="L39" s="45"/>
      <c r="M39" s="45"/>
      <c r="N39" s="45"/>
      <c r="O39" s="45"/>
      <c r="P39" s="45"/>
      <c r="Q39" s="45"/>
      <c r="R39" s="45"/>
      <c r="S39" s="101"/>
      <c r="T39" s="101"/>
      <c r="U39" s="45"/>
      <c r="V39" s="45"/>
      <c r="W39" s="45"/>
      <c r="X39" s="45"/>
      <c r="Y39" s="45"/>
      <c r="Z39" s="45"/>
      <c r="AA39" s="45"/>
      <c r="AB39" s="45"/>
      <c r="AC39" s="45"/>
      <c r="AD39" s="45"/>
      <c r="AE39" s="45"/>
      <c r="AF39" s="45"/>
      <c r="AG39" s="79"/>
      <c r="AH39" s="45"/>
      <c r="AI39" s="45"/>
      <c r="AJ39" s="45"/>
      <c r="AK39" s="45"/>
      <c r="AL39" s="45"/>
      <c r="AM39" s="45"/>
      <c r="AN39" s="45"/>
      <c r="AO39" s="45"/>
      <c r="AP39" s="45"/>
      <c r="AQ39" s="45"/>
      <c r="AR39" s="45"/>
      <c r="AS39" s="45"/>
      <c r="AT39" s="79"/>
      <c r="AU39" s="45"/>
      <c r="AV39" s="45"/>
      <c r="AW39" s="45"/>
      <c r="AX39" s="45"/>
      <c r="AY39" s="45"/>
      <c r="AZ39" s="45"/>
      <c r="BA39" s="45"/>
      <c r="BB39" s="45"/>
      <c r="BC39" s="45"/>
      <c r="BD39" s="45"/>
      <c r="BE39" s="45"/>
      <c r="BF39" s="45"/>
      <c r="BG39" s="45"/>
      <c r="BH39" s="45"/>
      <c r="BI39" s="46"/>
      <c r="BK39" s="22"/>
      <c r="BS39" s="6" t="s">
        <v>157</v>
      </c>
      <c r="BT39" s="6">
        <v>-354456.0</v>
      </c>
      <c r="BU39" s="6">
        <f>VLOOKUP(BS39,'Item List'!$A$2:$D$300,2,FALSE)</f>
        <v>1</v>
      </c>
      <c r="BV39" s="6">
        <f>VLOOKUP(BS39,'Item List'!$A$2:$D$300,3,FALSE)</f>
        <v>5</v>
      </c>
      <c r="BW39" s="6">
        <f>VLOOKUP(BS39,'Item List'!$A$2:$D$300,4,FALSE)</f>
        <v>1</v>
      </c>
    </row>
    <row r="40">
      <c r="B40" s="50"/>
      <c r="C40" s="51"/>
      <c r="D40" s="52"/>
      <c r="E40" s="52"/>
      <c r="F40" s="52"/>
      <c r="G40" s="112"/>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2"/>
      <c r="AH40" s="113"/>
      <c r="AI40" s="113"/>
      <c r="AJ40" s="113"/>
      <c r="AK40" s="113"/>
      <c r="AL40" s="113"/>
      <c r="AM40" s="113"/>
      <c r="AN40" s="113"/>
      <c r="AO40" s="113"/>
      <c r="AP40" s="113"/>
      <c r="AQ40" s="113"/>
      <c r="AR40" s="113"/>
      <c r="AS40" s="113"/>
      <c r="AT40" s="112"/>
      <c r="AU40" s="113"/>
      <c r="AV40" s="113"/>
      <c r="AW40" s="113"/>
      <c r="AX40" s="113"/>
      <c r="AY40" s="113"/>
      <c r="AZ40" s="113"/>
      <c r="BA40" s="113"/>
      <c r="BB40" s="113"/>
      <c r="BC40" s="113"/>
      <c r="BD40" s="113"/>
      <c r="BE40" s="113"/>
      <c r="BF40" s="113"/>
      <c r="BG40" s="113"/>
      <c r="BH40" s="113"/>
      <c r="BI40" s="114"/>
      <c r="BK40" s="22"/>
      <c r="BS40" s="140" t="s">
        <v>166</v>
      </c>
      <c r="BT40" s="140">
        <v>-137376.0</v>
      </c>
      <c r="BU40" s="6">
        <f>VLOOKUP(BS40,'Item List'!$A$2:$D$300,2,FALSE)</f>
        <v>1</v>
      </c>
      <c r="BV40" s="6">
        <f>VLOOKUP(BS40,'Item List'!$A$2:$D$300,3,FALSE)</f>
        <v>3</v>
      </c>
      <c r="BW40" s="6">
        <f>VLOOKUP(BS40,'Item List'!$A$2:$D$300,4,FALSE)</f>
        <v>2</v>
      </c>
    </row>
    <row r="41">
      <c r="B41" s="141" t="s">
        <v>789</v>
      </c>
      <c r="C41" s="142"/>
      <c r="D41" s="143"/>
      <c r="E41" s="143"/>
      <c r="F41" s="144"/>
      <c r="G41" s="145"/>
      <c r="H41" s="167" t="s">
        <v>311</v>
      </c>
      <c r="I41" s="147" t="str">
        <f>VLOOKUP(H41,'Machine List'!$A$1:$I$300,9,FALSE)</f>
        <v>1T</v>
      </c>
      <c r="J41" s="147">
        <f>IF(VLOOKUP(H41,'Machine List'!$A$1:$I$300,5,FALSE)="Multi",IF(VLOOKUP(H41,'Machine List'!$A$1:$I$300,6,FALSE)="Yes",AI41*3*10^AB41,AI41*(2*3)*10^(AB41-1)),0)</f>
        <v>0</v>
      </c>
      <c r="K41" s="147">
        <f>J41+IF(ISNUMBER(I41),I41,
  SWITCH(
      I41,
      "1T",1*10^AB41,
      "2T",2*10^AB41,
      "3T",3*10^AB41,
      "4T",4*10^AB41,
      "4000+500(7O-5)",4000+500*(7*I42-5),
      "13500 + 16C",13500+16*VLOOKUP(J43,'Machine Helper Sheet'!$G$1:$K$16,5,FALSE),
      1
  )
)</f>
        <v>10</v>
      </c>
      <c r="L41" s="147">
        <f>IF(VLOOKUP(H41,'Machine List'!$A$1:$I$300,5,FALSE)="Multi",IF(VLOOKUP(H41,'Machine List'!$A$1:$I$300,6,FALSE)="Yes",AW41*3*10^AV41,AW41*(2*3)*10^(AV41-1)),0)</f>
        <v>0</v>
      </c>
      <c r="M41" s="147">
        <f>L41+IF(ISNUMBER(I41),I41,
  SWITCH(
      I41,
      "1T",1*10^AV41,
      "2T",2*10^AV41,
      "3T",3*10^AV41,
      "4T",4*10^AV41,
      "4000+500(7O-5)",4000+500*(7*I42-5),
      1
  )
)</f>
        <v>100000</v>
      </c>
      <c r="N41" s="147" t="str">
        <f>VLOOKUP(H41,'Machine List'!$A$1:$I$300,8,FALSE)</f>
        <v>Tier</v>
      </c>
      <c r="O41" s="147">
        <f>IF(ISNUMBER(N41),N41,10^AB41)</f>
        <v>10</v>
      </c>
      <c r="P41" s="147">
        <f>IF(ISNUMBER(N41),N41,10^AV41)</f>
        <v>100000</v>
      </c>
      <c r="Q41" s="147">
        <f>VLOOKUP(H41,'Machine List'!$A$1:$B$138,2,FALSE)</f>
        <v>1</v>
      </c>
      <c r="R41" s="147" t="s">
        <v>277</v>
      </c>
      <c r="S41" s="143">
        <f>IF(ISNUMBER(Q41),Q41,
  SWITCH(
      Q41,
      "1",1,
      "2T",AB41*2,
      "4T",AB41*4,
      "6T",AB41*6,
      "8T",AB41*8,
      "10T",AB41*10,
      "12T",AB41*12,
      "14T",AB41*14,
      "16T",AB41*16,
      "24T",AB41*24,
      "2(T+1)",2*(AB41+1),
      "1T*C",AB41*J43,
      "2*P",L43*2,
      1
  )
)</f>
        <v>1</v>
      </c>
      <c r="T41" s="38" t="s">
        <v>277</v>
      </c>
      <c r="U41" s="147">
        <f>IF(OR(T41="No",T41=""),S41,T41)</f>
        <v>1</v>
      </c>
      <c r="V41" s="147">
        <f>IF(ISNUMBER(Q41),Q41,
  SWITCH(
      Q41,
      "1",1,
      "2T",AV41*2,
      "4T",AV41*4,
      "6T",AV41*6,
      "8T",AV41*8,
      "10T",AV41*10,
      "12T",AV41*12,
      "14T",AV41*14,
      "16T",AV41*16,
      "24T",AV41*24,
      "2(T+1)",2*(AV41+1),
      "1T*C",AV41*J43,
      "2*P",L43*2,
      1
  )
)</f>
        <v>1</v>
      </c>
      <c r="W41" s="147" t="str">
        <f>T41</f>
        <v>No</v>
      </c>
      <c r="X41" s="147">
        <f>IF(OR(W41="No",W41=""),V41,W41)</f>
        <v>1</v>
      </c>
      <c r="Y41" s="38">
        <f>VLOOKUP(H41,'Machine List'!$A$1:$C$138,3,FALSE)</f>
        <v>1</v>
      </c>
      <c r="Z41" s="38">
        <f>VLOOKUP(H41,'Machine List'!$A$1:$D$138,4,FALSE)</f>
        <v>1</v>
      </c>
      <c r="AA41" s="168" t="s">
        <v>390</v>
      </c>
      <c r="AB41" s="147">
        <f>VLOOKUP(AA41,'Item Helper Sheet'!$A$2:$B$16,2,FALSE)</f>
        <v>1</v>
      </c>
      <c r="AC41" s="147">
        <v>7.0</v>
      </c>
      <c r="AD41" s="147">
        <f>1.6*20</f>
        <v>32</v>
      </c>
      <c r="AE41" s="147">
        <f>AD41*I43</f>
        <v>30528</v>
      </c>
      <c r="AF41" s="147">
        <f>AC41*AE41</f>
        <v>213696</v>
      </c>
      <c r="AG41" s="148"/>
      <c r="AH41" s="147" t="str">
        <f>AA41</f>
        <v>01 - LV</v>
      </c>
      <c r="AI41" s="147">
        <v>1.0</v>
      </c>
      <c r="AJ41" s="147">
        <v>1.0</v>
      </c>
      <c r="AK41" s="147">
        <f>AJ41*8*4^AB41</f>
        <v>32</v>
      </c>
      <c r="AL41" s="147">
        <f>MIN(ROUNDDOWN(AK41/AN41,0),U41)</f>
        <v>1</v>
      </c>
      <c r="AM41" s="147">
        <f>IF(OR(T41="No",T41=""),AI41*S41,AI41*T41)</f>
        <v>1</v>
      </c>
      <c r="AN41" s="147">
        <f>ROUNDUP(AC41*VLOOKUP(H41,'Machine List'!$A$2:$D$219,4,FALSE),0)</f>
        <v>7</v>
      </c>
      <c r="AO41" s="147">
        <f>AN41*AM41</f>
        <v>7</v>
      </c>
      <c r="AP41" s="147">
        <f>ROUNDUP(AD41*I43,0)</f>
        <v>30528</v>
      </c>
      <c r="AQ41" s="38">
        <f>IF(ISNUMBER(Y41),ROUNDUP(AP41/Y41,0),
  SWITCH(
      Y41,
      "1+0.5C",ROUNDUP(AP41/(1+0.5*VLOOKUP(J43,'Machine Helper Sheet'!$G$1:$K$16,2,FALSE)),0),
      ROUNDUP(AP41/1,0)
  )
)</f>
        <v>30528</v>
      </c>
      <c r="AR41" s="147">
        <f>ROUNDUP(AQ41/AM41,0)</f>
        <v>30528</v>
      </c>
      <c r="AS41" s="147">
        <f>AO41*AR41</f>
        <v>213696</v>
      </c>
      <c r="AT41" s="148"/>
      <c r="AU41" s="168" t="s">
        <v>405</v>
      </c>
      <c r="AV41" s="147">
        <f>VLOOKUP(AU41,'Item Helper Sheet'!$A$2:$B$16,2,FALSE)</f>
        <v>5</v>
      </c>
      <c r="AW41" s="147">
        <f>AI41</f>
        <v>1</v>
      </c>
      <c r="AX41" s="147">
        <v>1.0</v>
      </c>
      <c r="AY41" s="147">
        <f>AX41*8*4^AV41</f>
        <v>8192</v>
      </c>
      <c r="AZ41" s="147">
        <f>MIN(ROUNDDOWN(AY41/AN41,0),X41)</f>
        <v>1</v>
      </c>
      <c r="BA41" s="147">
        <f>AZ41*AW41</f>
        <v>1</v>
      </c>
      <c r="BB41" s="147">
        <f>AN41</f>
        <v>7</v>
      </c>
      <c r="BC41" s="147">
        <f>MIN(AV41-AB41,IF(AY41&gt;=BB42*4,
IF(AY41&gt;=BB42*4^2,
IF(AY41&gt;=BB42*4^3,
IF(AY41&gt;=BB42*4^4,
IF(AY41&gt;=BB42*4^5,
IF(AY41&gt;=BB42*4^6,
IF(AY41&gt;=BB42*4^7,
IF(AY41&gt;=BB42*4^8,
IF(AY41&gt;=BB42*4^9,
IF(AY41&gt;=BB42*4^10,
9),
8),
7),
6),
5),
4),
3),
2),
1),
0))</f>
        <v>4</v>
      </c>
      <c r="BD41" s="147">
        <f>BB41*AZ41*4^BC41</f>
        <v>1792</v>
      </c>
      <c r="BE41" s="147">
        <f>BD41*AW41</f>
        <v>1792</v>
      </c>
      <c r="BF41" s="143">
        <f>ROUNDUP(IF(R41="Yes",AP41/(2^((BC41)*2)),AP41/(2^(BC41))),0)</f>
        <v>1908</v>
      </c>
      <c r="BG41" s="45">
        <f>IF(ISNUMBER(Y41),ROUNDUP(BF41/Y41,0),
  SWITCH(
      Y41,
      "1+0.5C",ROUNDUP(BF41/(1+0.5*VLOOKUP(J43,'Machine Helper Sheet'!$G$1:$K$16,2,FALSE)),0),
      ROUNDUP(BF41/1,0)
  )
)</f>
        <v>1908</v>
      </c>
      <c r="BH41" s="143">
        <f>ROUNDUP(BG41/BA41,0)</f>
        <v>1908</v>
      </c>
      <c r="BI41" s="149">
        <f>BH41*BE41</f>
        <v>3419136</v>
      </c>
      <c r="BK41" s="22"/>
      <c r="BS41" s="140" t="s">
        <v>167</v>
      </c>
      <c r="BT41" s="140">
        <v>0.0</v>
      </c>
      <c r="BU41" s="6">
        <f>VLOOKUP(BS41,'Item List'!$A$2:$D$300,2,FALSE)</f>
        <v>1</v>
      </c>
      <c r="BV41" s="6">
        <f>VLOOKUP(BS41,'Item List'!$A$2:$D$300,3,FALSE)</f>
        <v>3</v>
      </c>
      <c r="BW41" s="6">
        <f>VLOOKUP(BS41,'Item List'!$A$2:$D$300,4,FALSE)</f>
        <v>2</v>
      </c>
      <c r="CC41" s="7"/>
      <c r="CD41" s="7"/>
      <c r="CE41" s="7"/>
    </row>
    <row r="42">
      <c r="B42" s="150"/>
      <c r="C42" s="169" t="s">
        <v>166</v>
      </c>
      <c r="D42" s="147">
        <f>144*I43</f>
        <v>137376</v>
      </c>
      <c r="E42" s="168" t="s">
        <v>167</v>
      </c>
      <c r="F42" s="152">
        <f>1*I43</f>
        <v>954</v>
      </c>
      <c r="G42" s="138"/>
      <c r="H42" s="153" t="s">
        <v>584</v>
      </c>
      <c r="I42" s="45">
        <f t="array" ref="I42">match(TRUE,ISBLANK(F42:F57),0)-1</f>
        <v>1</v>
      </c>
      <c r="J42" s="154" t="s">
        <v>420</v>
      </c>
      <c r="K42" s="154" t="s">
        <v>585</v>
      </c>
      <c r="L42" s="100" t="s">
        <v>704</v>
      </c>
      <c r="M42" s="147"/>
      <c r="N42" s="147"/>
      <c r="O42" s="147"/>
      <c r="P42" s="147"/>
      <c r="Q42" s="147"/>
      <c r="R42" s="155"/>
      <c r="S42" s="155"/>
      <c r="T42" s="155"/>
      <c r="U42" s="143"/>
      <c r="V42" s="143"/>
      <c r="W42" s="143"/>
      <c r="X42" s="143"/>
      <c r="Y42" s="143"/>
      <c r="Z42" s="143"/>
      <c r="AA42" s="143"/>
      <c r="AB42" s="143"/>
      <c r="AC42" s="143"/>
      <c r="AD42" s="143"/>
      <c r="AE42" s="143"/>
      <c r="AF42" s="143"/>
      <c r="AG42" s="156"/>
      <c r="AH42" s="143"/>
      <c r="AI42" s="143"/>
      <c r="AJ42" s="143"/>
      <c r="AK42" s="143"/>
      <c r="AL42" s="143"/>
      <c r="AM42" s="143"/>
      <c r="AN42" s="143"/>
      <c r="AO42" s="143"/>
      <c r="AP42" s="143"/>
      <c r="AQ42" s="143"/>
      <c r="AR42" s="143"/>
      <c r="AS42" s="143"/>
      <c r="AT42" s="156"/>
      <c r="AU42" s="143"/>
      <c r="AV42" s="143"/>
      <c r="AW42" s="143"/>
      <c r="AX42" s="143"/>
      <c r="AY42" s="143"/>
      <c r="AZ42" s="143"/>
      <c r="BA42" s="143"/>
      <c r="BB42" s="143">
        <f>BB41*AZ41</f>
        <v>7</v>
      </c>
      <c r="BC42" s="143"/>
      <c r="BD42" s="143"/>
      <c r="BE42" s="143"/>
      <c r="BF42" s="143"/>
      <c r="BG42" s="143"/>
      <c r="BH42" s="143"/>
      <c r="BI42" s="149"/>
      <c r="BK42" s="22"/>
      <c r="BS42" s="6" t="s">
        <v>168</v>
      </c>
      <c r="BT42" s="140">
        <v>0.0</v>
      </c>
      <c r="BU42" s="6">
        <f>VLOOKUP(BS42,'Item List'!$A$2:$D$300,2,FALSE)</f>
        <v>1</v>
      </c>
      <c r="BV42" s="6">
        <f>VLOOKUP(BS42,'Item List'!$A$2:$D$300,3,FALSE)</f>
        <v>3</v>
      </c>
      <c r="BW42" s="6">
        <f>VLOOKUP(BS42,'Item List'!$A$2:$D$300,4,FALSE)</f>
        <v>2</v>
      </c>
      <c r="CC42" s="102"/>
      <c r="CD42" s="102"/>
      <c r="CE42" s="102"/>
    </row>
    <row r="43">
      <c r="B43" s="150"/>
      <c r="C43" s="151"/>
      <c r="D43" s="147"/>
      <c r="E43" s="147"/>
      <c r="F43" s="152"/>
      <c r="G43" s="138"/>
      <c r="H43" s="157" t="s">
        <v>502</v>
      </c>
      <c r="I43" s="170">
        <v>954.0</v>
      </c>
      <c r="J43" s="154" t="s">
        <v>424</v>
      </c>
      <c r="K43" s="154">
        <v>0.0</v>
      </c>
      <c r="L43" s="100">
        <v>0.0</v>
      </c>
      <c r="M43" s="143"/>
      <c r="N43" s="143"/>
      <c r="O43" s="143"/>
      <c r="P43" s="143"/>
      <c r="Q43" s="143"/>
      <c r="R43" s="143"/>
      <c r="S43" s="155"/>
      <c r="T43" s="155"/>
      <c r="U43" s="143"/>
      <c r="V43" s="143"/>
      <c r="W43" s="143"/>
      <c r="X43" s="143"/>
      <c r="Y43" s="143"/>
      <c r="Z43" s="143"/>
      <c r="AA43" s="143"/>
      <c r="AB43" s="143"/>
      <c r="AC43" s="143"/>
      <c r="AD43" s="143"/>
      <c r="AE43" s="143"/>
      <c r="AF43" s="143"/>
      <c r="AG43" s="156"/>
      <c r="AH43" s="143"/>
      <c r="AI43" s="143"/>
      <c r="AJ43" s="143"/>
      <c r="AK43" s="143"/>
      <c r="AL43" s="143"/>
      <c r="AM43" s="143"/>
      <c r="AN43" s="143"/>
      <c r="AO43" s="143"/>
      <c r="AP43" s="143"/>
      <c r="AQ43" s="143"/>
      <c r="AR43" s="143"/>
      <c r="AS43" s="143"/>
      <c r="AT43" s="156"/>
      <c r="AU43" s="143"/>
      <c r="AV43" s="143"/>
      <c r="AW43" s="143"/>
      <c r="AX43" s="143"/>
      <c r="AY43" s="143"/>
      <c r="AZ43" s="143"/>
      <c r="BA43" s="143"/>
      <c r="BB43" s="143"/>
      <c r="BC43" s="143"/>
      <c r="BD43" s="143"/>
      <c r="BE43" s="143"/>
      <c r="BF43" s="143"/>
      <c r="BG43" s="143"/>
      <c r="BH43" s="143"/>
      <c r="BI43" s="149"/>
      <c r="BK43" s="22"/>
      <c r="BS43" s="140" t="s">
        <v>169</v>
      </c>
      <c r="BT43" s="140">
        <v>0.0</v>
      </c>
      <c r="BU43" s="6">
        <f>VLOOKUP(BS43,'Item List'!$A$2:$D$300,2,FALSE)</f>
        <v>1</v>
      </c>
      <c r="BV43" s="6">
        <f>VLOOKUP(BS43,'Item List'!$A$2:$D$300,3,FALSE)</f>
        <v>3</v>
      </c>
      <c r="BW43" s="6">
        <f>VLOOKUP(BS43,'Item List'!$A$2:$D$300,4,FALSE)</f>
        <v>2</v>
      </c>
      <c r="CC43" s="102"/>
      <c r="CD43" s="102"/>
      <c r="CE43" s="102"/>
    </row>
    <row r="44">
      <c r="B44" s="135"/>
      <c r="C44" s="136"/>
      <c r="D44" s="137"/>
      <c r="E44" s="137"/>
      <c r="F44" s="137"/>
      <c r="G44" s="138"/>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8"/>
      <c r="AH44" s="137"/>
      <c r="AI44" s="137"/>
      <c r="AJ44" s="137"/>
      <c r="AK44" s="137"/>
      <c r="AL44" s="137"/>
      <c r="AM44" s="137"/>
      <c r="AN44" s="137"/>
      <c r="AO44" s="137"/>
      <c r="AP44" s="137"/>
      <c r="AQ44" s="137"/>
      <c r="AR44" s="137"/>
      <c r="AS44" s="137"/>
      <c r="AT44" s="138"/>
      <c r="AU44" s="137"/>
      <c r="AV44" s="137"/>
      <c r="AW44" s="137"/>
      <c r="AX44" s="137"/>
      <c r="AY44" s="137"/>
      <c r="AZ44" s="137"/>
      <c r="BA44" s="137"/>
      <c r="BB44" s="137"/>
      <c r="BC44" s="137"/>
      <c r="BD44" s="137"/>
      <c r="BE44" s="137"/>
      <c r="BF44" s="137"/>
      <c r="BG44" s="137"/>
      <c r="BH44" s="137"/>
      <c r="BI44" s="139"/>
      <c r="BK44" s="22"/>
      <c r="BS44" s="6" t="s">
        <v>170</v>
      </c>
      <c r="BT44" s="140">
        <v>0.0</v>
      </c>
      <c r="BU44" s="6">
        <f>VLOOKUP(BS44,'Item List'!$A$2:$D$300,2,FALSE)</f>
        <v>1</v>
      </c>
      <c r="BV44" s="6">
        <f>VLOOKUP(BS44,'Item List'!$A$2:$D$300,3,FALSE)</f>
        <v>3</v>
      </c>
      <c r="BW44" s="6">
        <f>VLOOKUP(BS44,'Item List'!$A$2:$D$300,4,FALSE)</f>
        <v>2</v>
      </c>
    </row>
    <row r="45">
      <c r="B45" s="141" t="s">
        <v>790</v>
      </c>
      <c r="C45" s="142"/>
      <c r="D45" s="143"/>
      <c r="E45" s="143"/>
      <c r="F45" s="144"/>
      <c r="G45" s="145"/>
      <c r="H45" s="167" t="s">
        <v>288</v>
      </c>
      <c r="I45" s="147" t="str">
        <f>VLOOKUP(H45,'Machine List'!$A$1:$I$300,9,FALSE)</f>
        <v>1T</v>
      </c>
      <c r="J45" s="147">
        <f>IF(VLOOKUP(H45,'Machine List'!$A$1:$I$300,5,FALSE)="Multi",IF(VLOOKUP(H45,'Machine List'!$A$1:$I$300,6,FALSE)="Yes",AI45*3*10^AB45,AI45*(2*3)*10^(AB45-1)),0)</f>
        <v>0</v>
      </c>
      <c r="K45" s="147">
        <f>J45+IF(ISNUMBER(I45),I45,
  SWITCH(
      I45,
      "1T",1*10^AB45,
      "2T",2*10^AB45,
      "3T",3*10^AB45,
      "4T",4*10^AB45,
      "4000+500(7O-5)",4000+500*(7*I46-5),
      "13500 + 16C",13500+16*VLOOKUP(J47,'Machine Helper Sheet'!$G$1:$K$16,5,FALSE),
      1
  )
)</f>
        <v>10</v>
      </c>
      <c r="L45" s="147">
        <f>IF(VLOOKUP(H45,'Machine List'!$A$1:$I$300,5,FALSE)="Multi",IF(VLOOKUP(H45,'Machine List'!$A$1:$I$300,6,FALSE)="Yes",AW45*3*10^AV45,AW45*(2*3)*10^(AV45-1)),0)</f>
        <v>0</v>
      </c>
      <c r="M45" s="147">
        <f>L45+IF(ISNUMBER(I45),I45,
  SWITCH(
      I45,
      "1T",1*10^AV45,
      "2T",2*10^AV45,
      "3T",3*10^AV45,
      "4T",4*10^AV45,
      "4000+500(7O-5)",4000+500*(7*I46-5),
      1
  )
)</f>
        <v>100000</v>
      </c>
      <c r="N45" s="147" t="str">
        <f>VLOOKUP(H45,'Machine List'!$A$1:$I$300,8,FALSE)</f>
        <v>Tier</v>
      </c>
      <c r="O45" s="147">
        <f>IF(ISNUMBER(N45),N45,10^AB45)</f>
        <v>10</v>
      </c>
      <c r="P45" s="147">
        <f>IF(ISNUMBER(N45),N45,10^AV45)</f>
        <v>100000</v>
      </c>
      <c r="Q45" s="147">
        <f>VLOOKUP(H45,'Machine List'!$A$1:$B$138,2,FALSE)</f>
        <v>1</v>
      </c>
      <c r="R45" s="147" t="s">
        <v>277</v>
      </c>
      <c r="S45" s="143">
        <f>IF(ISNUMBER(Q45),Q45,
  SWITCH(
      Q45,
      "1",1,
      "2T",AB45*2,
      "4T",AB45*4,
      "6T",AB45*6,
      "8T",AB45*8,
      "10T",AB45*10,
      "12T",AB45*12,
      "14T",AB45*14,
      "16T",AB45*16,
      "24T",AB45*24,
      "2(T+1)",2*(AB45+1),
      "1T*C",AB45*J47,
      "2*P",L47*2,
      1
  )
)</f>
        <v>1</v>
      </c>
      <c r="T45" s="38" t="s">
        <v>277</v>
      </c>
      <c r="U45" s="147">
        <f>IF(OR(T45="No",T45=""),S45,T45)</f>
        <v>1</v>
      </c>
      <c r="V45" s="147">
        <f>IF(ISNUMBER(Q45),Q45,
  SWITCH(
      Q45,
      "1",1,
      "2T",AV45*2,
      "4T",AV45*4,
      "6T",AV45*6,
      "8T",AV45*8,
      "10T",AV45*10,
      "12T",AV45*12,
      "14T",AV45*14,
      "16T",AV45*16,
      "24T",AV45*24,
      "2(T+1)",2*(AV45+1),
      "1T*C",AV45*J47,
      "2*P",L47*2,
      1
  )
)</f>
        <v>1</v>
      </c>
      <c r="W45" s="147" t="str">
        <f>T45</f>
        <v>No</v>
      </c>
      <c r="X45" s="147">
        <f>IF(OR(W45="No",W45=""),V45,W45)</f>
        <v>1</v>
      </c>
      <c r="Y45" s="38">
        <f>VLOOKUP(H45,'Machine List'!$A$1:$C$138,3,FALSE)</f>
        <v>1</v>
      </c>
      <c r="Z45" s="38">
        <f>VLOOKUP(H45,'Machine List'!$A$1:$D$138,4,FALSE)</f>
        <v>1</v>
      </c>
      <c r="AA45" s="168" t="s">
        <v>390</v>
      </c>
      <c r="AB45" s="147">
        <f>VLOOKUP(AA45,'Item Helper Sheet'!$A$2:$B$16,2,FALSE)</f>
        <v>1</v>
      </c>
      <c r="AC45" s="147">
        <v>24.0</v>
      </c>
      <c r="AD45" s="147">
        <f>0.5*20</f>
        <v>10</v>
      </c>
      <c r="AE45" s="147">
        <f>AD45*I47</f>
        <v>9540</v>
      </c>
      <c r="AF45" s="147">
        <f>AC45*AE45</f>
        <v>228960</v>
      </c>
      <c r="AG45" s="148"/>
      <c r="AH45" s="147" t="str">
        <f>AA45</f>
        <v>01 - LV</v>
      </c>
      <c r="AI45" s="147">
        <v>1.0</v>
      </c>
      <c r="AJ45" s="147">
        <v>1.0</v>
      </c>
      <c r="AK45" s="147">
        <f>AJ45*8*4^AB45</f>
        <v>32</v>
      </c>
      <c r="AL45" s="147">
        <f>MIN(ROUNDDOWN(AK45/AN45,0),U45)</f>
        <v>1</v>
      </c>
      <c r="AM45" s="147">
        <f>IF(OR(T45="No",T45=""),AI45*S45,AI45*T45)</f>
        <v>1</v>
      </c>
      <c r="AN45" s="147">
        <f>ROUNDUP(AC45*VLOOKUP(H45,'Machine List'!$A$2:$D$219,4,FALSE),0)</f>
        <v>24</v>
      </c>
      <c r="AO45" s="147">
        <f>AN45*AM45</f>
        <v>24</v>
      </c>
      <c r="AP45" s="147">
        <f>ROUNDUP(AD45*I47,0)</f>
        <v>9540</v>
      </c>
      <c r="AQ45" s="38">
        <f>IF(ISNUMBER(Y45),ROUNDUP(AP45/Y45,0),
  SWITCH(
      Y45,
      "1+0.5C",ROUNDUP(AP45/(1+0.5*VLOOKUP(J47,'Machine Helper Sheet'!$G$1:$K$16,2,FALSE)),0),
      ROUNDUP(AP45/1,0)
  )
)</f>
        <v>9540</v>
      </c>
      <c r="AR45" s="147">
        <f>ROUNDUP(AQ45/AM45,0)</f>
        <v>9540</v>
      </c>
      <c r="AS45" s="147">
        <f>AO45*AR45</f>
        <v>228960</v>
      </c>
      <c r="AT45" s="148"/>
      <c r="AU45" s="168" t="s">
        <v>405</v>
      </c>
      <c r="AV45" s="147">
        <f>VLOOKUP(AU45,'Item Helper Sheet'!$A$2:$B$16,2,FALSE)</f>
        <v>5</v>
      </c>
      <c r="AW45" s="147">
        <f>AI45</f>
        <v>1</v>
      </c>
      <c r="AX45" s="147">
        <v>1.0</v>
      </c>
      <c r="AY45" s="147">
        <f>AX45*8*4^AV45</f>
        <v>8192</v>
      </c>
      <c r="AZ45" s="147">
        <f>MIN(ROUNDDOWN(AY45/AN45,0),X45)</f>
        <v>1</v>
      </c>
      <c r="BA45" s="147">
        <f>AZ45*AW45</f>
        <v>1</v>
      </c>
      <c r="BB45" s="147">
        <f>AN45</f>
        <v>24</v>
      </c>
      <c r="BC45" s="147">
        <f>MIN(AV45-AB45,IF(AY45&gt;=BB46*4,
IF(AY45&gt;=BB46*4^2,
IF(AY45&gt;=BB46*4^3,
IF(AY45&gt;=BB46*4^4,
IF(AY45&gt;=BB46*4^5,
IF(AY45&gt;=BB46*4^6,
IF(AY45&gt;=BB46*4^7,
IF(AY45&gt;=BB46*4^8,
IF(AY45&gt;=BB46*4^9,
IF(AY45&gt;=BB46*4^10,
9),
8),
7),
6),
5),
4),
3),
2),
1),
0))</f>
        <v>4</v>
      </c>
      <c r="BD45" s="147">
        <f>BB45*AZ45*4^BC45</f>
        <v>6144</v>
      </c>
      <c r="BE45" s="147">
        <f>BD45*AW45</f>
        <v>6144</v>
      </c>
      <c r="BF45" s="143">
        <f>ROUNDUP(IF(R45="Yes",AP45/(2^((BC45)*2)),AP45/(2^(BC45))),0)</f>
        <v>597</v>
      </c>
      <c r="BG45" s="45">
        <f>IF(ISNUMBER(Y45),ROUNDUP(BF45/Y45,0),
  SWITCH(
      Y45,
      "1+0.5C",ROUNDUP(BF45/(1+0.5*VLOOKUP(J47,'Machine Helper Sheet'!$G$1:$K$16,2,FALSE)),0),
      ROUNDUP(BF45/1,0)
  )
)</f>
        <v>597</v>
      </c>
      <c r="BH45" s="143">
        <f>ROUNDUP(BG45/BA45,0)</f>
        <v>597</v>
      </c>
      <c r="BI45" s="149">
        <f>BH45*BE45</f>
        <v>3667968</v>
      </c>
      <c r="BK45" s="22"/>
      <c r="BS45" s="6" t="s">
        <v>171</v>
      </c>
      <c r="BT45" s="6">
        <v>0.0</v>
      </c>
      <c r="BU45" s="6">
        <f>VLOOKUP(BS45,'Item List'!$A$2:$D$300,2,FALSE)</f>
        <v>1</v>
      </c>
      <c r="BV45" s="6">
        <f>VLOOKUP(BS45,'Item List'!$A$2:$D$300,3,FALSE)</f>
        <v>3</v>
      </c>
      <c r="BW45" s="6">
        <f>VLOOKUP(BS45,'Item List'!$A$2:$D$300,4,FALSE)</f>
        <v>2</v>
      </c>
    </row>
    <row r="46">
      <c r="B46" s="150"/>
      <c r="C46" s="169" t="s">
        <v>167</v>
      </c>
      <c r="D46" s="147">
        <f>1*I47</f>
        <v>954</v>
      </c>
      <c r="E46" s="168" t="s">
        <v>234</v>
      </c>
      <c r="F46" s="152">
        <f>4*I47</f>
        <v>3816</v>
      </c>
      <c r="G46" s="138"/>
      <c r="H46" s="153" t="s">
        <v>584</v>
      </c>
      <c r="I46" s="45">
        <f t="array" ref="I46">match(TRUE,ISBLANK(F46:F61),0)-1</f>
        <v>1</v>
      </c>
      <c r="J46" s="154" t="s">
        <v>420</v>
      </c>
      <c r="K46" s="154" t="s">
        <v>585</v>
      </c>
      <c r="L46" s="100" t="s">
        <v>704</v>
      </c>
      <c r="M46" s="147"/>
      <c r="N46" s="147"/>
      <c r="O46" s="147"/>
      <c r="P46" s="147"/>
      <c r="Q46" s="147"/>
      <c r="R46" s="155"/>
      <c r="S46" s="155"/>
      <c r="T46" s="155"/>
      <c r="U46" s="143"/>
      <c r="V46" s="143"/>
      <c r="W46" s="143"/>
      <c r="X46" s="143"/>
      <c r="Y46" s="143"/>
      <c r="Z46" s="143"/>
      <c r="AA46" s="143"/>
      <c r="AB46" s="143"/>
      <c r="AC46" s="143"/>
      <c r="AD46" s="143"/>
      <c r="AE46" s="143"/>
      <c r="AF46" s="143"/>
      <c r="AG46" s="156"/>
      <c r="AH46" s="143"/>
      <c r="AI46" s="143"/>
      <c r="AJ46" s="143"/>
      <c r="AK46" s="143"/>
      <c r="AL46" s="143"/>
      <c r="AM46" s="143"/>
      <c r="AN46" s="143"/>
      <c r="AO46" s="143"/>
      <c r="AP46" s="143"/>
      <c r="AQ46" s="143"/>
      <c r="AR46" s="143"/>
      <c r="AS46" s="143"/>
      <c r="AT46" s="156"/>
      <c r="AU46" s="143"/>
      <c r="AV46" s="143"/>
      <c r="AW46" s="143"/>
      <c r="AX46" s="143"/>
      <c r="AY46" s="143"/>
      <c r="AZ46" s="143"/>
      <c r="BA46" s="143"/>
      <c r="BB46" s="143">
        <f>BB45*AZ45</f>
        <v>24</v>
      </c>
      <c r="BC46" s="143"/>
      <c r="BD46" s="143"/>
      <c r="BE46" s="143"/>
      <c r="BF46" s="143"/>
      <c r="BG46" s="143"/>
      <c r="BH46" s="143"/>
      <c r="BI46" s="149"/>
      <c r="BK46" s="22"/>
      <c r="BS46" s="6" t="s">
        <v>172</v>
      </c>
      <c r="BT46" s="6">
        <v>26.0</v>
      </c>
      <c r="BU46" s="6">
        <f>VLOOKUP(BS46,'Item List'!$A$2:$D$300,2,FALSE)</f>
        <v>1</v>
      </c>
      <c r="BV46" s="6">
        <f>VLOOKUP(BS46,'Item List'!$A$2:$D$300,3,FALSE)</f>
        <v>3</v>
      </c>
      <c r="BW46" s="6">
        <f>VLOOKUP(BS46,'Item List'!$A$2:$D$300,4,FALSE)</f>
        <v>2</v>
      </c>
    </row>
    <row r="47">
      <c r="B47" s="150"/>
      <c r="C47" s="151"/>
      <c r="D47" s="147"/>
      <c r="E47" s="147"/>
      <c r="F47" s="152"/>
      <c r="G47" s="138"/>
      <c r="H47" s="157" t="s">
        <v>502</v>
      </c>
      <c r="I47" s="170">
        <v>954.0</v>
      </c>
      <c r="J47" s="154" t="s">
        <v>424</v>
      </c>
      <c r="K47" s="154">
        <v>0.0</v>
      </c>
      <c r="L47" s="100">
        <v>0.0</v>
      </c>
      <c r="M47" s="143"/>
      <c r="N47" s="143"/>
      <c r="O47" s="143"/>
      <c r="P47" s="143"/>
      <c r="Q47" s="143"/>
      <c r="R47" s="143"/>
      <c r="S47" s="155"/>
      <c r="T47" s="155"/>
      <c r="U47" s="143"/>
      <c r="V47" s="143"/>
      <c r="W47" s="143"/>
      <c r="X47" s="143"/>
      <c r="Y47" s="143"/>
      <c r="Z47" s="143"/>
      <c r="AA47" s="143"/>
      <c r="AB47" s="143"/>
      <c r="AC47" s="143"/>
      <c r="AD47" s="143"/>
      <c r="AE47" s="143"/>
      <c r="AF47" s="143"/>
      <c r="AG47" s="156"/>
      <c r="AH47" s="143"/>
      <c r="AI47" s="143"/>
      <c r="AJ47" s="143"/>
      <c r="AK47" s="143"/>
      <c r="AL47" s="143"/>
      <c r="AM47" s="143"/>
      <c r="AN47" s="143"/>
      <c r="AO47" s="143"/>
      <c r="AP47" s="143"/>
      <c r="AQ47" s="143"/>
      <c r="AR47" s="143"/>
      <c r="AS47" s="143"/>
      <c r="AT47" s="156"/>
      <c r="AU47" s="143"/>
      <c r="AV47" s="143"/>
      <c r="AW47" s="143"/>
      <c r="AX47" s="143"/>
      <c r="AY47" s="143"/>
      <c r="AZ47" s="143"/>
      <c r="BA47" s="143"/>
      <c r="BB47" s="143"/>
      <c r="BC47" s="143"/>
      <c r="BD47" s="143"/>
      <c r="BE47" s="143"/>
      <c r="BF47" s="143"/>
      <c r="BG47" s="143"/>
      <c r="BH47" s="143"/>
      <c r="BI47" s="149"/>
      <c r="BK47" s="22"/>
      <c r="BS47" s="6" t="s">
        <v>173</v>
      </c>
      <c r="BT47" s="6">
        <v>105.0</v>
      </c>
      <c r="BU47" s="6">
        <f>VLOOKUP(BS47,'Item List'!$A$2:$D$300,2,FALSE)</f>
        <v>1</v>
      </c>
      <c r="BV47" s="6">
        <f>VLOOKUP(BS47,'Item List'!$A$2:$D$300,3,FALSE)</f>
        <v>3</v>
      </c>
      <c r="BW47" s="6">
        <f>VLOOKUP(BS47,'Item List'!$A$2:$D$300,4,FALSE)</f>
        <v>2</v>
      </c>
    </row>
    <row r="48">
      <c r="B48" s="135"/>
      <c r="C48" s="136"/>
      <c r="D48" s="137"/>
      <c r="E48" s="137"/>
      <c r="F48" s="137"/>
      <c r="G48" s="138"/>
      <c r="H48" s="137"/>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8"/>
      <c r="AH48" s="137"/>
      <c r="AI48" s="137"/>
      <c r="AJ48" s="137"/>
      <c r="AK48" s="137"/>
      <c r="AL48" s="137"/>
      <c r="AM48" s="137"/>
      <c r="AN48" s="137"/>
      <c r="AO48" s="137"/>
      <c r="AP48" s="137"/>
      <c r="AQ48" s="137"/>
      <c r="AR48" s="137"/>
      <c r="AS48" s="137"/>
      <c r="AT48" s="138"/>
      <c r="AU48" s="137"/>
      <c r="AV48" s="137"/>
      <c r="AW48" s="137"/>
      <c r="AX48" s="137"/>
      <c r="AY48" s="137"/>
      <c r="AZ48" s="137"/>
      <c r="BA48" s="137"/>
      <c r="BB48" s="137"/>
      <c r="BC48" s="137"/>
      <c r="BD48" s="137"/>
      <c r="BE48" s="137"/>
      <c r="BF48" s="137"/>
      <c r="BG48" s="137"/>
      <c r="BH48" s="137"/>
      <c r="BI48" s="139"/>
      <c r="BK48" s="22"/>
      <c r="BS48" s="140" t="s">
        <v>174</v>
      </c>
      <c r="BT48" s="140">
        <v>-111500.0</v>
      </c>
      <c r="BU48" s="6">
        <f>VLOOKUP(BS48,'Item List'!$A$2:$D$300,2,FALSE)</f>
        <v>1</v>
      </c>
      <c r="BV48" s="6">
        <f>VLOOKUP(BS48,'Item List'!$A$2:$D$300,3,FALSE)</f>
        <v>3</v>
      </c>
      <c r="BW48" s="6">
        <f>VLOOKUP(BS48,'Item List'!$A$2:$D$300,4,FALSE)</f>
        <v>2</v>
      </c>
    </row>
    <row r="49">
      <c r="B49" s="141" t="s">
        <v>791</v>
      </c>
      <c r="C49" s="142"/>
      <c r="D49" s="143"/>
      <c r="E49" s="143"/>
      <c r="F49" s="144"/>
      <c r="G49" s="145"/>
      <c r="H49" s="167" t="s">
        <v>288</v>
      </c>
      <c r="I49" s="147" t="str">
        <f>VLOOKUP(H49,'Machine List'!$A$1:$I$300,9,FALSE)</f>
        <v>1T</v>
      </c>
      <c r="J49" s="147">
        <f>IF(VLOOKUP(H49,'Machine List'!$A$1:$I$300,5,FALSE)="Multi",IF(VLOOKUP(H49,'Machine List'!$A$1:$I$300,6,FALSE)="Yes",AI49*3*10^AB49,AI49*(2*3)*10^(AB49-1)),0)</f>
        <v>0</v>
      </c>
      <c r="K49" s="147">
        <f>J49+IF(ISNUMBER(I49),I49,
  SWITCH(
      I49,
      "1T",1*10^AB49,
      "2T",2*10^AB49,
      "3T",3*10^AB49,
      "4T",4*10^AB49,
      "4000+500(7O-5)",4000+500*(7*I50-5),
      "13500 + 16C",13500+16*VLOOKUP(J51,'Machine Helper Sheet'!$G$1:$K$16,5,FALSE),
      1
  )
)</f>
        <v>10</v>
      </c>
      <c r="L49" s="147">
        <f>IF(VLOOKUP(H49,'Machine List'!$A$1:$I$300,5,FALSE)="Multi",IF(VLOOKUP(H49,'Machine List'!$A$1:$I$300,6,FALSE)="Yes",AW49*3*10^AV49,AW49*(2*3)*10^(AV49-1)),0)</f>
        <v>0</v>
      </c>
      <c r="M49" s="147">
        <f>L49+IF(ISNUMBER(I49),I49,
  SWITCH(
      I49,
      "1T",1*10^AV49,
      "2T",2*10^AV49,
      "3T",3*10^AV49,
      "4T",4*10^AV49,
      "4000+500(7O-5)",4000+500*(7*I50-5),
      1
  )
)</f>
        <v>100000</v>
      </c>
      <c r="N49" s="147" t="str">
        <f>VLOOKUP(H49,'Machine List'!$A$1:$I$300,8,FALSE)</f>
        <v>Tier</v>
      </c>
      <c r="O49" s="147">
        <f>IF(ISNUMBER(N49),N49,10^AB49)</f>
        <v>10</v>
      </c>
      <c r="P49" s="147">
        <f>IF(ISNUMBER(N49),N49,10^AV49)</f>
        <v>100000</v>
      </c>
      <c r="Q49" s="147">
        <f>VLOOKUP(H49,'Machine List'!$A$1:$B$138,2,FALSE)</f>
        <v>1</v>
      </c>
      <c r="R49" s="147" t="s">
        <v>277</v>
      </c>
      <c r="S49" s="143">
        <f>IF(ISNUMBER(Q49),Q49,
  SWITCH(
      Q49,
      "1",1,
      "2T",AB49*2,
      "4T",AB49*4,
      "6T",AB49*6,
      "8T",AB49*8,
      "10T",AB49*10,
      "12T",AB49*12,
      "14T",AB49*14,
      "16T",AB49*16,
      "24T",AB49*24,
      "2(T+1)",2*(AB49+1),
      "1T*C",AB49*J51,
      "2*P",L51*2,
      1
  )
)</f>
        <v>1</v>
      </c>
      <c r="T49" s="38" t="s">
        <v>277</v>
      </c>
      <c r="U49" s="147">
        <f>IF(OR(T49="No",T49=""),S49,T49)</f>
        <v>1</v>
      </c>
      <c r="V49" s="147">
        <f>IF(ISNUMBER(Q49),Q49,
  SWITCH(
      Q49,
      "1",1,
      "2T",AV49*2,
      "4T",AV49*4,
      "6T",AV49*6,
      "8T",AV49*8,
      "10T",AV49*10,
      "12T",AV49*12,
      "14T",AV49*14,
      "16T",AV49*16,
      "24T",AV49*24,
      "2(T+1)",2*(AV49+1),
      "1T*C",AV49*J51,
      "2*P",L51*2,
      1
  )
)</f>
        <v>1</v>
      </c>
      <c r="W49" s="147" t="str">
        <f>T49</f>
        <v>No</v>
      </c>
      <c r="X49" s="147">
        <f>IF(OR(W49="No",W49=""),V49,W49)</f>
        <v>1</v>
      </c>
      <c r="Y49" s="38">
        <f>VLOOKUP(H49,'Machine List'!$A$1:$C$138,3,FALSE)</f>
        <v>1</v>
      </c>
      <c r="Z49" s="38">
        <f>VLOOKUP(H49,'Machine List'!$A$1:$D$138,4,FALSE)</f>
        <v>1</v>
      </c>
      <c r="AA49" s="168" t="s">
        <v>390</v>
      </c>
      <c r="AB49" s="147">
        <f>VLOOKUP(AA49,'Item Helper Sheet'!$A$2:$B$16,2,FALSE)</f>
        <v>1</v>
      </c>
      <c r="AC49" s="147">
        <v>24.0</v>
      </c>
      <c r="AD49" s="147">
        <f>1.3*20</f>
        <v>26</v>
      </c>
      <c r="AE49" s="147">
        <f>AD49*I51</f>
        <v>133146</v>
      </c>
      <c r="AF49" s="147">
        <f>AC49*AE49</f>
        <v>3195504</v>
      </c>
      <c r="AG49" s="148"/>
      <c r="AH49" s="147" t="str">
        <f>AA49</f>
        <v>01 - LV</v>
      </c>
      <c r="AI49" s="147">
        <v>1.0</v>
      </c>
      <c r="AJ49" s="147">
        <v>1.0</v>
      </c>
      <c r="AK49" s="147">
        <f>AJ49*8*4^AB49</f>
        <v>32</v>
      </c>
      <c r="AL49" s="147">
        <f>MIN(ROUNDDOWN(AK49/AN49,0),U49)</f>
        <v>1</v>
      </c>
      <c r="AM49" s="147">
        <f>IF(OR(T49="No",T49=""),AI49*S49,AI49*T49)</f>
        <v>1</v>
      </c>
      <c r="AN49" s="147">
        <f>ROUNDUP(AC49*VLOOKUP(H49,'Machine List'!$A$2:$D$219,4,FALSE),0)</f>
        <v>24</v>
      </c>
      <c r="AO49" s="147">
        <f>AN49*AM49</f>
        <v>24</v>
      </c>
      <c r="AP49" s="147">
        <f>ROUNDUP(AD49*I51,0)</f>
        <v>133146</v>
      </c>
      <c r="AQ49" s="38">
        <f>IF(ISNUMBER(Y49),ROUNDUP(AP49/Y49,0),
  SWITCH(
      Y49,
      "1+0.5C",ROUNDUP(AP49/(1+0.5*VLOOKUP(J51,'Machine Helper Sheet'!$G$1:$K$16,2,FALSE)),0),
      ROUNDUP(AP49/1,0)
  )
)</f>
        <v>133146</v>
      </c>
      <c r="AR49" s="147">
        <f>ROUNDUP(AQ49/AM49,0)</f>
        <v>133146</v>
      </c>
      <c r="AS49" s="147">
        <f>AO49*AR49</f>
        <v>3195504</v>
      </c>
      <c r="AT49" s="148"/>
      <c r="AU49" s="168" t="s">
        <v>405</v>
      </c>
      <c r="AV49" s="147">
        <f>VLOOKUP(AU49,'Item Helper Sheet'!$A$2:$B$16,2,FALSE)</f>
        <v>5</v>
      </c>
      <c r="AW49" s="147">
        <f>AI49</f>
        <v>1</v>
      </c>
      <c r="AX49" s="147">
        <v>1.0</v>
      </c>
      <c r="AY49" s="147">
        <f>AX49*8*4^AV49</f>
        <v>8192</v>
      </c>
      <c r="AZ49" s="147">
        <f>MIN(ROUNDDOWN(AY49/AN49,0),X49)</f>
        <v>1</v>
      </c>
      <c r="BA49" s="147">
        <f>AZ49*AW49</f>
        <v>1</v>
      </c>
      <c r="BB49" s="147">
        <f>AN49</f>
        <v>24</v>
      </c>
      <c r="BC49" s="147">
        <f>MIN(AV49-AB49,IF(AY49&gt;=BB50*4,
IF(AY49&gt;=BB50*4^2,
IF(AY49&gt;=BB50*4^3,
IF(AY49&gt;=BB50*4^4,
IF(AY49&gt;=BB50*4^5,
IF(AY49&gt;=BB50*4^6,
IF(AY49&gt;=BB50*4^7,
IF(AY49&gt;=BB50*4^8,
IF(AY49&gt;=BB50*4^9,
IF(AY49&gt;=BB50*4^10,
9),
8),
7),
6),
5),
4),
3),
2),
1),
0))</f>
        <v>4</v>
      </c>
      <c r="BD49" s="147">
        <f>BB49*AZ49*4^BC49</f>
        <v>6144</v>
      </c>
      <c r="BE49" s="147">
        <f>BD49*AW49</f>
        <v>6144</v>
      </c>
      <c r="BF49" s="143">
        <f>ROUNDUP(IF(R49="Yes",AP49/(2^((BC49)*2)),AP49/(2^(BC49))),0)</f>
        <v>8322</v>
      </c>
      <c r="BG49" s="45">
        <f>IF(ISNUMBER(Y49),ROUNDUP(BF49/Y49,0),
  SWITCH(
      Y49,
      "1+0.5C",ROUNDUP(BF49/(1+0.5*VLOOKUP(J51,'Machine Helper Sheet'!$G$1:$K$16,2,FALSE)),0),
      ROUNDUP(BF49/1,0)
  )
)</f>
        <v>8322</v>
      </c>
      <c r="BH49" s="143">
        <f>ROUNDUP(BG49/BA49,0)</f>
        <v>8322</v>
      </c>
      <c r="BI49" s="149">
        <f>BH49*BE49</f>
        <v>51130368</v>
      </c>
      <c r="BK49" s="22"/>
      <c r="BS49" s="6" t="s">
        <v>175</v>
      </c>
      <c r="BT49" s="140">
        <v>16.0</v>
      </c>
      <c r="BU49" s="6">
        <f>VLOOKUP(BS49,'Item List'!$A$2:$D$300,2,FALSE)</f>
        <v>1</v>
      </c>
      <c r="BV49" s="6">
        <f>VLOOKUP(BS49,'Item List'!$A$2:$D$300,3,FALSE)</f>
        <v>3</v>
      </c>
      <c r="BW49" s="6">
        <f>VLOOKUP(BS49,'Item List'!$A$2:$D$300,4,FALSE)</f>
        <v>2</v>
      </c>
    </row>
    <row r="50">
      <c r="B50" s="150"/>
      <c r="C50" s="169" t="s">
        <v>17</v>
      </c>
      <c r="D50" s="147">
        <f>1*I51</f>
        <v>5121</v>
      </c>
      <c r="E50" s="168" t="s">
        <v>18</v>
      </c>
      <c r="F50" s="152">
        <f>4*I51</f>
        <v>20484</v>
      </c>
      <c r="G50" s="138"/>
      <c r="H50" s="153" t="s">
        <v>584</v>
      </c>
      <c r="I50" s="45">
        <f t="array" ref="I50">match(TRUE,ISBLANK(F50:F65),0)-1</f>
        <v>1</v>
      </c>
      <c r="J50" s="154" t="s">
        <v>420</v>
      </c>
      <c r="K50" s="154" t="s">
        <v>585</v>
      </c>
      <c r="L50" s="100" t="s">
        <v>704</v>
      </c>
      <c r="M50" s="147"/>
      <c r="N50" s="147"/>
      <c r="O50" s="147"/>
      <c r="P50" s="147"/>
      <c r="Q50" s="147"/>
      <c r="R50" s="155"/>
      <c r="S50" s="155"/>
      <c r="T50" s="155"/>
      <c r="U50" s="143"/>
      <c r="V50" s="143"/>
      <c r="W50" s="143"/>
      <c r="X50" s="143"/>
      <c r="Y50" s="143"/>
      <c r="Z50" s="143"/>
      <c r="AA50" s="143"/>
      <c r="AB50" s="143"/>
      <c r="AC50" s="143"/>
      <c r="AD50" s="143"/>
      <c r="AE50" s="143"/>
      <c r="AF50" s="143"/>
      <c r="AG50" s="156"/>
      <c r="AH50" s="143"/>
      <c r="AI50" s="143"/>
      <c r="AJ50" s="143"/>
      <c r="AK50" s="143"/>
      <c r="AL50" s="143"/>
      <c r="AM50" s="143"/>
      <c r="AN50" s="143"/>
      <c r="AO50" s="143"/>
      <c r="AP50" s="143"/>
      <c r="AQ50" s="143"/>
      <c r="AR50" s="143"/>
      <c r="AS50" s="143"/>
      <c r="AT50" s="156"/>
      <c r="AU50" s="143"/>
      <c r="AV50" s="143"/>
      <c r="AW50" s="143"/>
      <c r="AX50" s="143"/>
      <c r="AY50" s="143"/>
      <c r="AZ50" s="143"/>
      <c r="BA50" s="143"/>
      <c r="BB50" s="143">
        <f>BB49*AZ49</f>
        <v>24</v>
      </c>
      <c r="BC50" s="143"/>
      <c r="BD50" s="143"/>
      <c r="BE50" s="143"/>
      <c r="BF50" s="143"/>
      <c r="BG50" s="143"/>
      <c r="BH50" s="143"/>
      <c r="BI50" s="149"/>
      <c r="BK50" s="22"/>
      <c r="BS50" s="140" t="s">
        <v>176</v>
      </c>
      <c r="BT50" s="140">
        <v>0.0</v>
      </c>
      <c r="BU50" s="6">
        <f>VLOOKUP(BS50,'Item List'!$A$2:$D$300,2,FALSE)</f>
        <v>1</v>
      </c>
      <c r="BV50" s="6">
        <f>VLOOKUP(BS50,'Item List'!$A$2:$D$300,3,FALSE)</f>
        <v>3</v>
      </c>
      <c r="BW50" s="6">
        <f>VLOOKUP(BS50,'Item List'!$A$2:$D$300,4,FALSE)</f>
        <v>2</v>
      </c>
    </row>
    <row r="51">
      <c r="B51" s="150"/>
      <c r="C51" s="151"/>
      <c r="D51" s="147"/>
      <c r="E51" s="147"/>
      <c r="F51" s="152"/>
      <c r="G51" s="138"/>
      <c r="H51" s="157" t="s">
        <v>502</v>
      </c>
      <c r="I51" s="170">
        <v>5121.0</v>
      </c>
      <c r="J51" s="154" t="s">
        <v>424</v>
      </c>
      <c r="K51" s="154">
        <v>0.0</v>
      </c>
      <c r="L51" s="100">
        <v>0.0</v>
      </c>
      <c r="M51" s="143"/>
      <c r="N51" s="143"/>
      <c r="O51" s="143"/>
      <c r="P51" s="143"/>
      <c r="Q51" s="143"/>
      <c r="R51" s="143"/>
      <c r="S51" s="155"/>
      <c r="T51" s="155"/>
      <c r="U51" s="143"/>
      <c r="V51" s="143"/>
      <c r="W51" s="143"/>
      <c r="X51" s="143"/>
      <c r="Y51" s="143"/>
      <c r="Z51" s="143"/>
      <c r="AA51" s="143"/>
      <c r="AB51" s="143"/>
      <c r="AC51" s="143"/>
      <c r="AD51" s="143"/>
      <c r="AE51" s="143"/>
      <c r="AF51" s="143"/>
      <c r="AG51" s="156"/>
      <c r="AH51" s="143"/>
      <c r="AI51" s="143"/>
      <c r="AJ51" s="143"/>
      <c r="AK51" s="143"/>
      <c r="AL51" s="143"/>
      <c r="AM51" s="143"/>
      <c r="AN51" s="143"/>
      <c r="AO51" s="143"/>
      <c r="AP51" s="143"/>
      <c r="AQ51" s="143"/>
      <c r="AR51" s="143"/>
      <c r="AS51" s="143"/>
      <c r="AT51" s="156"/>
      <c r="AU51" s="143"/>
      <c r="AV51" s="143"/>
      <c r="AW51" s="143"/>
      <c r="AX51" s="143"/>
      <c r="AY51" s="143"/>
      <c r="AZ51" s="143"/>
      <c r="BA51" s="143"/>
      <c r="BB51" s="143"/>
      <c r="BC51" s="143"/>
      <c r="BD51" s="143"/>
      <c r="BE51" s="143"/>
      <c r="BF51" s="143"/>
      <c r="BG51" s="143"/>
      <c r="BH51" s="143"/>
      <c r="BI51" s="149"/>
      <c r="BK51" s="22"/>
      <c r="BS51" s="6" t="s">
        <v>178</v>
      </c>
      <c r="BT51" s="140">
        <v>0.0</v>
      </c>
      <c r="BU51" s="6">
        <f>VLOOKUP(BS51,'Item List'!$A$2:$D$300,2,FALSE)</f>
        <v>1</v>
      </c>
      <c r="BV51" s="6">
        <f>VLOOKUP(BS51,'Item List'!$A$2:$D$300,3,FALSE)</f>
        <v>3</v>
      </c>
      <c r="BW51" s="6">
        <f>VLOOKUP(BS51,'Item List'!$A$2:$D$300,4,FALSE)</f>
        <v>2</v>
      </c>
    </row>
    <row r="52">
      <c r="B52" s="135"/>
      <c r="C52" s="136"/>
      <c r="D52" s="137"/>
      <c r="E52" s="137"/>
      <c r="F52" s="137"/>
      <c r="G52" s="138"/>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8"/>
      <c r="AH52" s="137"/>
      <c r="AI52" s="137"/>
      <c r="AJ52" s="137"/>
      <c r="AK52" s="137"/>
      <c r="AL52" s="137"/>
      <c r="AM52" s="137"/>
      <c r="AN52" s="137"/>
      <c r="AO52" s="137"/>
      <c r="AP52" s="137"/>
      <c r="AQ52" s="137"/>
      <c r="AR52" s="137"/>
      <c r="AS52" s="137"/>
      <c r="AT52" s="138"/>
      <c r="AU52" s="137"/>
      <c r="AV52" s="137"/>
      <c r="AW52" s="137"/>
      <c r="AX52" s="137"/>
      <c r="AY52" s="137"/>
      <c r="AZ52" s="137"/>
      <c r="BA52" s="137"/>
      <c r="BB52" s="137"/>
      <c r="BC52" s="137"/>
      <c r="BD52" s="137"/>
      <c r="BE52" s="137"/>
      <c r="BF52" s="137"/>
      <c r="BG52" s="137"/>
      <c r="BH52" s="137"/>
      <c r="BI52" s="139"/>
      <c r="BK52" s="22"/>
      <c r="BS52" s="6" t="s">
        <v>206</v>
      </c>
      <c r="BT52" s="140">
        <v>56.0</v>
      </c>
      <c r="BU52" s="6">
        <f>VLOOKUP(BS52,'Item List'!$A$2:$D$300,2,FALSE)</f>
        <v>1</v>
      </c>
      <c r="BV52" s="6">
        <f>VLOOKUP(BS52,'Item List'!$A$2:$D$300,3,FALSE)</f>
        <v>5</v>
      </c>
      <c r="BW52" s="6">
        <f>VLOOKUP(BS52,'Item List'!$A$2:$D$300,4,FALSE)</f>
        <v>3</v>
      </c>
    </row>
    <row r="53">
      <c r="B53" s="141" t="s">
        <v>792</v>
      </c>
      <c r="C53" s="142"/>
      <c r="D53" s="143"/>
      <c r="E53" s="143"/>
      <c r="F53" s="144"/>
      <c r="G53" s="145"/>
      <c r="H53" s="167" t="s">
        <v>288</v>
      </c>
      <c r="I53" s="147" t="str">
        <f>VLOOKUP(H53,'Machine List'!$A$1:$I$300,9,FALSE)</f>
        <v>1T</v>
      </c>
      <c r="J53" s="147">
        <f>IF(VLOOKUP(H53,'Machine List'!$A$1:$I$300,5,FALSE)="Multi",IF(VLOOKUP(H53,'Machine List'!$A$1:$I$300,6,FALSE)="Yes",AI53*3*10^AB53,AI53*(2*3)*10^(AB53-1)),0)</f>
        <v>0</v>
      </c>
      <c r="K53" s="147">
        <f>J53+IF(ISNUMBER(I53),I53,
  SWITCH(
      I53,
      "1T",1*10^AB53,
      "2T",2*10^AB53,
      "3T",3*10^AB53,
      "4T",4*10^AB53,
      "4000+500(7O-5)",4000+500*(7*I54-5),
      "13500 + 16C",13500+16*VLOOKUP(J55,'Machine Helper Sheet'!$G$1:$K$16,5,FALSE),
      1
  )
)</f>
        <v>10</v>
      </c>
      <c r="L53" s="147">
        <f>IF(VLOOKUP(H53,'Machine List'!$A$1:$I$300,5,FALSE)="Multi",IF(VLOOKUP(H53,'Machine List'!$A$1:$I$300,6,FALSE)="Yes",AW53*3*10^AV53,AW53*(2*3)*10^(AV53-1)),0)</f>
        <v>0</v>
      </c>
      <c r="M53" s="147">
        <f>L53+IF(ISNUMBER(I53),I53,
  SWITCH(
      I53,
      "1T",1*10^AV53,
      "2T",2*10^AV53,
      "3T",3*10^AV53,
      "4T",4*10^AV53,
      "4000+500(7O-5)",4000+500*(7*I54-5),
      1
  )
)</f>
        <v>100000</v>
      </c>
      <c r="N53" s="147" t="str">
        <f>VLOOKUP(H53,'Machine List'!$A$1:$I$300,8,FALSE)</f>
        <v>Tier</v>
      </c>
      <c r="O53" s="147">
        <f>IF(ISNUMBER(N53),N53,10^AB53)</f>
        <v>10</v>
      </c>
      <c r="P53" s="147">
        <f>IF(ISNUMBER(N53),N53,10^AV53)</f>
        <v>100000</v>
      </c>
      <c r="Q53" s="147">
        <f>VLOOKUP(H53,'Machine List'!$A$1:$B$138,2,FALSE)</f>
        <v>1</v>
      </c>
      <c r="R53" s="147" t="s">
        <v>277</v>
      </c>
      <c r="S53" s="143">
        <f>IF(ISNUMBER(Q53),Q53,
  SWITCH(
      Q53,
      "1",1,
      "2T",AB53*2,
      "4T",AB53*4,
      "6T",AB53*6,
      "8T",AB53*8,
      "10T",AB53*10,
      "12T",AB53*12,
      "14T",AB53*14,
      "16T",AB53*16,
      "24T",AB53*24,
      "2(T+1)",2*(AB53+1),
      "1T*C",AB53*J55,
      "2*P",L55*2,
      1
  )
)</f>
        <v>1</v>
      </c>
      <c r="T53" s="38" t="s">
        <v>277</v>
      </c>
      <c r="U53" s="147">
        <f>IF(OR(T53="No",T53=""),S53,T53)</f>
        <v>1</v>
      </c>
      <c r="V53" s="147">
        <f>IF(ISNUMBER(Q53),Q53,
  SWITCH(
      Q53,
      "1",1,
      "2T",AV53*2,
      "4T",AV53*4,
      "6T",AV53*6,
      "8T",AV53*8,
      "10T",AV53*10,
      "12T",AV53*12,
      "14T",AV53*14,
      "16T",AV53*16,
      "24T",AV53*24,
      "2(T+1)",2*(AV53+1),
      "1T*C",AV53*J55,
      "2*P",L55*2,
      1
  )
)</f>
        <v>1</v>
      </c>
      <c r="W53" s="147" t="str">
        <f>T53</f>
        <v>No</v>
      </c>
      <c r="X53" s="147">
        <f>IF(OR(W53="No",W53=""),V53,W53)</f>
        <v>1</v>
      </c>
      <c r="Y53" s="38">
        <f>VLOOKUP(H53,'Machine List'!$A$1:$C$138,3,FALSE)</f>
        <v>1</v>
      </c>
      <c r="Z53" s="38">
        <f>VLOOKUP(H53,'Machine List'!$A$1:$D$138,4,FALSE)</f>
        <v>1</v>
      </c>
      <c r="AA53" s="168" t="s">
        <v>390</v>
      </c>
      <c r="AB53" s="147">
        <f>VLOOKUP(AA53,'Item Helper Sheet'!$A$2:$B$16,2,FALSE)</f>
        <v>1</v>
      </c>
      <c r="AC53" s="147">
        <v>24.0</v>
      </c>
      <c r="AD53" s="147">
        <f>3.5*20</f>
        <v>70</v>
      </c>
      <c r="AE53" s="147">
        <f>AD53*I55</f>
        <v>11760</v>
      </c>
      <c r="AF53" s="147">
        <f>AC53*AE53</f>
        <v>282240</v>
      </c>
      <c r="AG53" s="148"/>
      <c r="AH53" s="147" t="str">
        <f>AA53</f>
        <v>01 - LV</v>
      </c>
      <c r="AI53" s="147">
        <v>1.0</v>
      </c>
      <c r="AJ53" s="147">
        <v>1.0</v>
      </c>
      <c r="AK53" s="147">
        <f>AJ53*8*4^AB53</f>
        <v>32</v>
      </c>
      <c r="AL53" s="147">
        <f>MIN(ROUNDDOWN(AK53/AN53,0),U53)</f>
        <v>1</v>
      </c>
      <c r="AM53" s="147">
        <f>IF(OR(T53="No",T53=""),AI53*S53,AI53*T53)</f>
        <v>1</v>
      </c>
      <c r="AN53" s="147">
        <f>ROUNDUP(AC53*VLOOKUP(H53,'Machine List'!$A$2:$D$219,4,FALSE),0)</f>
        <v>24</v>
      </c>
      <c r="AO53" s="147">
        <f>AN53*AM53</f>
        <v>24</v>
      </c>
      <c r="AP53" s="147">
        <f>ROUNDUP(AD53*I55,0)</f>
        <v>11760</v>
      </c>
      <c r="AQ53" s="38">
        <f>IF(ISNUMBER(Y53),ROUNDUP(AP53/Y53,0),
  SWITCH(
      Y53,
      "1+0.5C",ROUNDUP(AP53/(1+0.5*VLOOKUP(J55,'Machine Helper Sheet'!$G$1:$K$16,2,FALSE)),0),
      ROUNDUP(AP53/1,0)
  )
)</f>
        <v>11760</v>
      </c>
      <c r="AR53" s="147">
        <f>ROUNDUP(AQ53/AM53,0)</f>
        <v>11760</v>
      </c>
      <c r="AS53" s="147">
        <f>AO53*AR53</f>
        <v>282240</v>
      </c>
      <c r="AT53" s="148"/>
      <c r="AU53" s="168" t="s">
        <v>405</v>
      </c>
      <c r="AV53" s="147">
        <f>VLOOKUP(AU53,'Item Helper Sheet'!$A$2:$B$16,2,FALSE)</f>
        <v>5</v>
      </c>
      <c r="AW53" s="147">
        <f>AI53</f>
        <v>1</v>
      </c>
      <c r="AX53" s="147">
        <v>1.0</v>
      </c>
      <c r="AY53" s="147">
        <f>AX53*8*4^AV53</f>
        <v>8192</v>
      </c>
      <c r="AZ53" s="147">
        <f>MIN(ROUNDDOWN(AY53/AN53,0),X53)</f>
        <v>1</v>
      </c>
      <c r="BA53" s="147">
        <f>AZ53*AW53</f>
        <v>1</v>
      </c>
      <c r="BB53" s="147">
        <f>AN53</f>
        <v>24</v>
      </c>
      <c r="BC53" s="147">
        <f>MIN(AV53-AB53,IF(AY53&gt;=BB54*4,
IF(AY53&gt;=BB54*4^2,
IF(AY53&gt;=BB54*4^3,
IF(AY53&gt;=BB54*4^4,
IF(AY53&gt;=BB54*4^5,
IF(AY53&gt;=BB54*4^6,
IF(AY53&gt;=BB54*4^7,
IF(AY53&gt;=BB54*4^8,
IF(AY53&gt;=BB54*4^9,
IF(AY53&gt;=BB54*4^10,
9),
8),
7),
6),
5),
4),
3),
2),
1),
0))</f>
        <v>4</v>
      </c>
      <c r="BD53" s="147">
        <f>BB53*AZ53*4^BC53</f>
        <v>6144</v>
      </c>
      <c r="BE53" s="147">
        <f>BD53*AW53</f>
        <v>6144</v>
      </c>
      <c r="BF53" s="143">
        <f>ROUNDUP(IF(R53="Yes",AP53/(2^((BC53)*2)),AP53/(2^(BC53))),0)</f>
        <v>735</v>
      </c>
      <c r="BG53" s="45">
        <f>IF(ISNUMBER(Y53),ROUNDUP(BF53/Y53,0),
  SWITCH(
      Y53,
      "1+0.5C",ROUNDUP(BF53/(1+0.5*VLOOKUP(J55,'Machine Helper Sheet'!$G$1:$K$16,2,FALSE)),0),
      ROUNDUP(BF53/1,0)
  )
)</f>
        <v>735</v>
      </c>
      <c r="BH53" s="143">
        <f>ROUNDUP(BG53/BA53,0)</f>
        <v>735</v>
      </c>
      <c r="BI53" s="149">
        <f>BH53*BE53</f>
        <v>4515840</v>
      </c>
      <c r="BK53" s="22"/>
      <c r="BS53" s="6" t="s">
        <v>209</v>
      </c>
      <c r="BT53" s="6">
        <v>16.0</v>
      </c>
      <c r="BU53" s="6">
        <f>VLOOKUP(BS53,'Item List'!$A$2:$D$300,2,FALSE)</f>
        <v>1</v>
      </c>
      <c r="BV53" s="6">
        <f>VLOOKUP(BS53,'Item List'!$A$2:$D$300,3,FALSE)</f>
        <v>3</v>
      </c>
      <c r="BW53" s="6">
        <f>VLOOKUP(BS53,'Item List'!$A$2:$D$300,4,FALSE)</f>
        <v>2</v>
      </c>
    </row>
    <row r="54">
      <c r="B54" s="150"/>
      <c r="C54" s="169" t="s">
        <v>77</v>
      </c>
      <c r="D54" s="147">
        <f>1*I55</f>
        <v>168</v>
      </c>
      <c r="E54" s="168" t="s">
        <v>76</v>
      </c>
      <c r="F54" s="152">
        <f>4*I55</f>
        <v>672</v>
      </c>
      <c r="G54" s="138"/>
      <c r="H54" s="153" t="s">
        <v>584</v>
      </c>
      <c r="I54" s="45">
        <f t="array" ref="I54">match(TRUE,ISBLANK(F54:F69),0)-1</f>
        <v>1</v>
      </c>
      <c r="J54" s="154" t="s">
        <v>420</v>
      </c>
      <c r="K54" s="154" t="s">
        <v>585</v>
      </c>
      <c r="L54" s="100" t="s">
        <v>704</v>
      </c>
      <c r="M54" s="147"/>
      <c r="N54" s="147"/>
      <c r="O54" s="147"/>
      <c r="P54" s="147"/>
      <c r="Q54" s="147"/>
      <c r="R54" s="155"/>
      <c r="S54" s="155"/>
      <c r="T54" s="155"/>
      <c r="U54" s="143"/>
      <c r="V54" s="143"/>
      <c r="W54" s="143"/>
      <c r="X54" s="143"/>
      <c r="Y54" s="143"/>
      <c r="Z54" s="143"/>
      <c r="AA54" s="143"/>
      <c r="AB54" s="143"/>
      <c r="AC54" s="143"/>
      <c r="AD54" s="143"/>
      <c r="AE54" s="143"/>
      <c r="AF54" s="143"/>
      <c r="AG54" s="156"/>
      <c r="AH54" s="143"/>
      <c r="AI54" s="143"/>
      <c r="AJ54" s="143"/>
      <c r="AK54" s="143"/>
      <c r="AL54" s="143"/>
      <c r="AM54" s="143"/>
      <c r="AN54" s="143"/>
      <c r="AO54" s="143"/>
      <c r="AP54" s="143"/>
      <c r="AQ54" s="143"/>
      <c r="AR54" s="143"/>
      <c r="AS54" s="143"/>
      <c r="AT54" s="156"/>
      <c r="AU54" s="143"/>
      <c r="AV54" s="143"/>
      <c r="AW54" s="143"/>
      <c r="AX54" s="143"/>
      <c r="AY54" s="143"/>
      <c r="AZ54" s="143"/>
      <c r="BA54" s="143"/>
      <c r="BB54" s="143">
        <f>BB53*AZ53</f>
        <v>24</v>
      </c>
      <c r="BC54" s="143"/>
      <c r="BD54" s="143"/>
      <c r="BE54" s="143"/>
      <c r="BF54" s="143"/>
      <c r="BG54" s="143"/>
      <c r="BH54" s="143"/>
      <c r="BI54" s="149"/>
      <c r="BK54" s="22"/>
      <c r="BS54" s="6" t="s">
        <v>210</v>
      </c>
      <c r="BT54" s="6">
        <v>48.0</v>
      </c>
      <c r="BU54" s="6">
        <f>VLOOKUP(BS54,'Item List'!$A$2:$D$300,2,FALSE)</f>
        <v>1</v>
      </c>
      <c r="BV54" s="6">
        <f>VLOOKUP(BS54,'Item List'!$A$2:$D$300,3,FALSE)</f>
        <v>3</v>
      </c>
      <c r="BW54" s="6">
        <f>VLOOKUP(BS54,'Item List'!$A$2:$D$300,4,FALSE)</f>
        <v>2</v>
      </c>
    </row>
    <row r="55">
      <c r="B55" s="150"/>
      <c r="C55" s="151"/>
      <c r="D55" s="147"/>
      <c r="E55" s="147"/>
      <c r="F55" s="152"/>
      <c r="G55" s="138"/>
      <c r="H55" s="157" t="s">
        <v>502</v>
      </c>
      <c r="I55" s="170">
        <v>168.0</v>
      </c>
      <c r="J55" s="154" t="s">
        <v>424</v>
      </c>
      <c r="K55" s="154">
        <v>0.0</v>
      </c>
      <c r="L55" s="100">
        <v>0.0</v>
      </c>
      <c r="M55" s="143"/>
      <c r="N55" s="143"/>
      <c r="O55" s="143"/>
      <c r="P55" s="143"/>
      <c r="Q55" s="143"/>
      <c r="R55" s="143"/>
      <c r="S55" s="155"/>
      <c r="T55" s="155"/>
      <c r="U55" s="143"/>
      <c r="V55" s="143"/>
      <c r="W55" s="143"/>
      <c r="X55" s="143"/>
      <c r="Y55" s="143"/>
      <c r="Z55" s="143"/>
      <c r="AA55" s="143"/>
      <c r="AB55" s="143"/>
      <c r="AC55" s="143"/>
      <c r="AD55" s="143"/>
      <c r="AE55" s="143"/>
      <c r="AF55" s="143"/>
      <c r="AG55" s="156"/>
      <c r="AH55" s="143"/>
      <c r="AI55" s="143"/>
      <c r="AJ55" s="143"/>
      <c r="AK55" s="143"/>
      <c r="AL55" s="143"/>
      <c r="AM55" s="143"/>
      <c r="AN55" s="143"/>
      <c r="AO55" s="143"/>
      <c r="AP55" s="143"/>
      <c r="AQ55" s="143"/>
      <c r="AR55" s="143"/>
      <c r="AS55" s="143"/>
      <c r="AT55" s="156"/>
      <c r="AU55" s="143"/>
      <c r="AV55" s="143"/>
      <c r="AW55" s="143"/>
      <c r="AX55" s="143"/>
      <c r="AY55" s="143"/>
      <c r="AZ55" s="143"/>
      <c r="BA55" s="143"/>
      <c r="BB55" s="143"/>
      <c r="BC55" s="143"/>
      <c r="BD55" s="143"/>
      <c r="BE55" s="143"/>
      <c r="BF55" s="143"/>
      <c r="BG55" s="143"/>
      <c r="BH55" s="143"/>
      <c r="BI55" s="149"/>
      <c r="BK55" s="22"/>
      <c r="BS55" s="6" t="s">
        <v>211</v>
      </c>
      <c r="BT55" s="6">
        <v>0.0</v>
      </c>
      <c r="BU55" s="6">
        <f>VLOOKUP(BS55,'Item List'!$A$2:$D$300,2,FALSE)</f>
        <v>1</v>
      </c>
      <c r="BV55" s="6">
        <f>VLOOKUP(BS55,'Item List'!$A$2:$D$300,3,FALSE)</f>
        <v>3</v>
      </c>
      <c r="BW55" s="6">
        <f>VLOOKUP(BS55,'Item List'!$A$2:$D$300,4,FALSE)</f>
        <v>2</v>
      </c>
    </row>
    <row r="56">
      <c r="B56" s="135"/>
      <c r="C56" s="136"/>
      <c r="D56" s="137"/>
      <c r="E56" s="137"/>
      <c r="F56" s="137"/>
      <c r="G56" s="138"/>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8"/>
      <c r="AH56" s="137"/>
      <c r="AI56" s="137"/>
      <c r="AJ56" s="137"/>
      <c r="AK56" s="137"/>
      <c r="AL56" s="137"/>
      <c r="AM56" s="137"/>
      <c r="AN56" s="137"/>
      <c r="AO56" s="137"/>
      <c r="AP56" s="137"/>
      <c r="AQ56" s="137"/>
      <c r="AR56" s="137"/>
      <c r="AS56" s="137"/>
      <c r="AT56" s="138"/>
      <c r="AU56" s="137"/>
      <c r="AV56" s="137"/>
      <c r="AW56" s="137"/>
      <c r="AX56" s="137"/>
      <c r="AY56" s="137"/>
      <c r="AZ56" s="137"/>
      <c r="BA56" s="137"/>
      <c r="BB56" s="137"/>
      <c r="BC56" s="137"/>
      <c r="BD56" s="137"/>
      <c r="BE56" s="137"/>
      <c r="BF56" s="137"/>
      <c r="BG56" s="137"/>
      <c r="BH56" s="137"/>
      <c r="BI56" s="139"/>
      <c r="BK56" s="22"/>
      <c r="BS56" s="6" t="s">
        <v>212</v>
      </c>
      <c r="BT56" s="6">
        <v>0.0</v>
      </c>
      <c r="BU56" s="6">
        <f>VLOOKUP(BS56,'Item List'!$A$2:$D$300,2,FALSE)</f>
        <v>1</v>
      </c>
      <c r="BV56" s="6">
        <f>VLOOKUP(BS56,'Item List'!$A$2:$D$300,3,FALSE)</f>
        <v>3</v>
      </c>
      <c r="BW56" s="6">
        <f>VLOOKUP(BS56,'Item List'!$A$2:$D$300,4,FALSE)</f>
        <v>2</v>
      </c>
    </row>
    <row r="57">
      <c r="B57" s="141" t="s">
        <v>793</v>
      </c>
      <c r="C57" s="142"/>
      <c r="D57" s="143"/>
      <c r="E57" s="143"/>
      <c r="F57" s="144"/>
      <c r="G57" s="145"/>
      <c r="H57" s="167" t="s">
        <v>374</v>
      </c>
      <c r="I57" s="147" t="str">
        <f>VLOOKUP(H57,'Machine List'!$A$1:$I$300,9,FALSE)</f>
        <v>1T</v>
      </c>
      <c r="J57" s="147">
        <f>IF(VLOOKUP(H57,'Machine List'!$A$1:$I$300,5,FALSE)="Multi",IF(VLOOKUP(H57,'Machine List'!$A$1:$I$300,6,FALSE)="Yes",AI57*3*10^AB57,AI57*(2*3)*10^(AB57-1)),0)</f>
        <v>0</v>
      </c>
      <c r="K57" s="147">
        <f>J57+IF(ISNUMBER(I57),I57,
  SWITCH(
      I57,
      "1T",1*10^AB57,
      "2T",2*10^AB57,
      "3T",3*10^AB57,
      "4T",4*10^AB57,
      "4000+500(7O-5)",4000+500*(7*I58-5),
      "13500 + 16C",13500+16*VLOOKUP(J59,'Machine Helper Sheet'!$G$1:$K$16,5,FALSE),
      1
  )
)</f>
        <v>10</v>
      </c>
      <c r="L57" s="147">
        <f>IF(VLOOKUP(H57,'Machine List'!$A$1:$I$300,5,FALSE)="Multi",IF(VLOOKUP(H57,'Machine List'!$A$1:$I$300,6,FALSE)="Yes",AW57*3*10^AV57,AW57*(2*3)*10^(AV57-1)),0)</f>
        <v>0</v>
      </c>
      <c r="M57" s="147">
        <f>L57+IF(ISNUMBER(I57),I57,
  SWITCH(
      I57,
      "1T",1*10^AV57,
      "2T",2*10^AV57,
      "3T",3*10^AV57,
      "4T",4*10^AV57,
      "4000+500(7O-5)",4000+500*(7*I58-5),
      1
  )
)</f>
        <v>100000</v>
      </c>
      <c r="N57" s="147" t="str">
        <f>VLOOKUP(H57,'Machine List'!$A$1:$I$300,8,FALSE)</f>
        <v>Tier</v>
      </c>
      <c r="O57" s="147">
        <f>IF(ISNUMBER(N57),N57,10^AB57)</f>
        <v>10</v>
      </c>
      <c r="P57" s="147">
        <f>IF(ISNUMBER(N57),N57,10^AV57)</f>
        <v>100000</v>
      </c>
      <c r="Q57" s="147">
        <f>VLOOKUP(H57,'Machine List'!$A$1:$B$138,2,FALSE)</f>
        <v>1</v>
      </c>
      <c r="R57" s="147" t="s">
        <v>277</v>
      </c>
      <c r="S57" s="143">
        <f>IF(ISNUMBER(Q57),Q57,
  SWITCH(
      Q57,
      "1",1,
      "2T",AB57*2,
      "4T",AB57*4,
      "6T",AB57*6,
      "8T",AB57*8,
      "10T",AB57*10,
      "12T",AB57*12,
      "14T",AB57*14,
      "16T",AB57*16,
      "24T",AB57*24,
      "2(T+1)",2*(AB57+1),
      "1T*C",AB57*J59,
      "2*P",L59*2,
      1
  )
)</f>
        <v>1</v>
      </c>
      <c r="T57" s="38" t="s">
        <v>277</v>
      </c>
      <c r="U57" s="147">
        <f>IF(OR(T57="No",T57=""),S57,T57)</f>
        <v>1</v>
      </c>
      <c r="V57" s="147">
        <f>IF(ISNUMBER(Q57),Q57,
  SWITCH(
      Q57,
      "1",1,
      "2T",AV57*2,
      "4T",AV57*4,
      "6T",AV57*6,
      "8T",AV57*8,
      "10T",AV57*10,
      "12T",AV57*12,
      "14T",AV57*14,
      "16T",AV57*16,
      "24T",AV57*24,
      "2(T+1)",2*(AV57+1),
      "1T*C",AV57*J59,
      "2*P",L59*2,
      1
  )
)</f>
        <v>1</v>
      </c>
      <c r="W57" s="147" t="str">
        <f>T57</f>
        <v>No</v>
      </c>
      <c r="X57" s="147">
        <f>IF(OR(W57="No",W57=""),V57,W57)</f>
        <v>1</v>
      </c>
      <c r="Y57" s="38">
        <f>VLOOKUP(H57,'Machine List'!$A$1:$C$138,3,FALSE)</f>
        <v>1</v>
      </c>
      <c r="Z57" s="38">
        <f>VLOOKUP(H57,'Machine List'!$A$1:$D$138,4,FALSE)</f>
        <v>1</v>
      </c>
      <c r="AA57" s="168" t="s">
        <v>390</v>
      </c>
      <c r="AB57" s="147">
        <f>VLOOKUP(AA57,'Item Helper Sheet'!$A$2:$B$16,2,FALSE)</f>
        <v>1</v>
      </c>
      <c r="AC57" s="147">
        <v>4.0</v>
      </c>
      <c r="AD57" s="147">
        <f>5*20</f>
        <v>100</v>
      </c>
      <c r="AE57" s="147">
        <f>AD57*I59</f>
        <v>438500</v>
      </c>
      <c r="AF57" s="147">
        <f>AC57*AE57</f>
        <v>1754000</v>
      </c>
      <c r="AG57" s="148"/>
      <c r="AH57" s="147" t="str">
        <f>AA57</f>
        <v>01 - LV</v>
      </c>
      <c r="AI57" s="147">
        <v>1.0</v>
      </c>
      <c r="AJ57" s="147">
        <v>1.0</v>
      </c>
      <c r="AK57" s="147">
        <f>AJ57*8*4^AB57</f>
        <v>32</v>
      </c>
      <c r="AL57" s="147">
        <f>MIN(ROUNDDOWN(AK57/AN57,0),U57)</f>
        <v>1</v>
      </c>
      <c r="AM57" s="147">
        <f>IF(OR(T57="No",T57=""),AI57*S57,AI57*T57)</f>
        <v>1</v>
      </c>
      <c r="AN57" s="147">
        <f>ROUNDUP(AC57*VLOOKUP(H57,'Machine List'!$A$2:$D$219,4,FALSE),0)</f>
        <v>4</v>
      </c>
      <c r="AO57" s="147">
        <f>AN57*AM57</f>
        <v>4</v>
      </c>
      <c r="AP57" s="147">
        <f>ROUNDUP(AD57*I59,0)</f>
        <v>438500</v>
      </c>
      <c r="AQ57" s="38">
        <f>IF(ISNUMBER(Y57),ROUNDUP(AP57/Y57,0),
  SWITCH(
      Y57,
      "1+0.5C",ROUNDUP(AP57/(1+0.5*VLOOKUP(J59,'Machine Helper Sheet'!$G$1:$K$16,2,FALSE)),0),
      ROUNDUP(AP57/1,0)
  )
)</f>
        <v>438500</v>
      </c>
      <c r="AR57" s="147">
        <f>ROUNDUP(AQ57/AM57,0)</f>
        <v>438500</v>
      </c>
      <c r="AS57" s="147">
        <f>AO57*AR57</f>
        <v>1754000</v>
      </c>
      <c r="AT57" s="148"/>
      <c r="AU57" s="168" t="s">
        <v>405</v>
      </c>
      <c r="AV57" s="147">
        <f>VLOOKUP(AU57,'Item Helper Sheet'!$A$2:$B$16,2,FALSE)</f>
        <v>5</v>
      </c>
      <c r="AW57" s="147">
        <f>AI57</f>
        <v>1</v>
      </c>
      <c r="AX57" s="147">
        <v>1.0</v>
      </c>
      <c r="AY57" s="147">
        <f>AX57*8*4^AV57</f>
        <v>8192</v>
      </c>
      <c r="AZ57" s="147">
        <f>MIN(ROUNDDOWN(AY57/AN57,0),X57)</f>
        <v>1</v>
      </c>
      <c r="BA57" s="147">
        <f>AZ57*AW57</f>
        <v>1</v>
      </c>
      <c r="BB57" s="147">
        <f>AN57</f>
        <v>4</v>
      </c>
      <c r="BC57" s="147">
        <f>MIN(AV57-AB57,IF(AY57&gt;=BB58*4,
IF(AY57&gt;=BB58*4^2,
IF(AY57&gt;=BB58*4^3,
IF(AY57&gt;=BB58*4^4,
IF(AY57&gt;=BB58*4^5,
IF(AY57&gt;=BB58*4^6,
IF(AY57&gt;=BB58*4^7,
IF(AY57&gt;=BB58*4^8,
IF(AY57&gt;=BB58*4^9,
IF(AY57&gt;=BB58*4^10,
9),
8),
7),
6),
5),
4),
3),
2),
1),
0))</f>
        <v>4</v>
      </c>
      <c r="BD57" s="147">
        <f>BB57*AZ57*4^BC57</f>
        <v>1024</v>
      </c>
      <c r="BE57" s="147">
        <f>BD57*AW57</f>
        <v>1024</v>
      </c>
      <c r="BF57" s="143">
        <f>ROUNDUP(IF(R57="Yes",AP57/(2^((BC57)*2)),AP57/(2^(BC57))),0)</f>
        <v>27407</v>
      </c>
      <c r="BG57" s="45">
        <f>IF(ISNUMBER(Y57),ROUNDUP(BF57/Y57,0),
  SWITCH(
      Y57,
      "1+0.5C",ROUNDUP(BF57/(1+0.5*VLOOKUP(J59,'Machine Helper Sheet'!$G$1:$K$16,2,FALSE)),0),
      ROUNDUP(BF57/1,0)
  )
)</f>
        <v>27407</v>
      </c>
      <c r="BH57" s="143">
        <f>ROUNDUP(BG57/BA57,0)</f>
        <v>27407</v>
      </c>
      <c r="BI57" s="149">
        <f>BH57*BE57</f>
        <v>28064768</v>
      </c>
      <c r="BK57" s="22"/>
      <c r="BS57" s="6" t="s">
        <v>219</v>
      </c>
      <c r="BT57" s="6">
        <v>-173808.0</v>
      </c>
      <c r="BU57" s="6">
        <f>VLOOKUP(BS57,'Item List'!$A$2:$D$300,2,FALSE)</f>
        <v>1</v>
      </c>
      <c r="BV57" s="6">
        <f>VLOOKUP(BS57,'Item List'!$A$2:$D$300,3,FALSE)</f>
        <v>3</v>
      </c>
      <c r="BW57" s="6">
        <f>VLOOKUP(BS57,'Item List'!$A$2:$D$300,4,FALSE)</f>
        <v>2</v>
      </c>
    </row>
    <row r="58">
      <c r="B58" s="150"/>
      <c r="C58" s="169" t="s">
        <v>152</v>
      </c>
      <c r="D58" s="147">
        <f>1*I59</f>
        <v>4385</v>
      </c>
      <c r="E58" s="168" t="s">
        <v>68</v>
      </c>
      <c r="F58" s="152">
        <f>8*I59</f>
        <v>35080</v>
      </c>
      <c r="G58" s="138"/>
      <c r="H58" s="153" t="s">
        <v>584</v>
      </c>
      <c r="I58" s="45">
        <f t="array" ref="I58">match(TRUE,ISBLANK(F58:F73),0)-1</f>
        <v>1</v>
      </c>
      <c r="J58" s="154" t="s">
        <v>420</v>
      </c>
      <c r="K58" s="154" t="s">
        <v>585</v>
      </c>
      <c r="L58" s="100" t="s">
        <v>704</v>
      </c>
      <c r="M58" s="147"/>
      <c r="N58" s="147"/>
      <c r="O58" s="147"/>
      <c r="P58" s="147"/>
      <c r="Q58" s="147"/>
      <c r="R58" s="155"/>
      <c r="S58" s="155"/>
      <c r="T58" s="155"/>
      <c r="U58" s="143"/>
      <c r="V58" s="143"/>
      <c r="W58" s="143"/>
      <c r="X58" s="143"/>
      <c r="Y58" s="143"/>
      <c r="Z58" s="143"/>
      <c r="AA58" s="143"/>
      <c r="AB58" s="143"/>
      <c r="AC58" s="143"/>
      <c r="AD58" s="143"/>
      <c r="AE58" s="143"/>
      <c r="AF58" s="143"/>
      <c r="AG58" s="156"/>
      <c r="AH58" s="143"/>
      <c r="AI58" s="143"/>
      <c r="AJ58" s="143"/>
      <c r="AK58" s="143"/>
      <c r="AL58" s="143"/>
      <c r="AM58" s="143"/>
      <c r="AN58" s="143"/>
      <c r="AO58" s="143"/>
      <c r="AP58" s="143"/>
      <c r="AQ58" s="143"/>
      <c r="AR58" s="143"/>
      <c r="AS58" s="143"/>
      <c r="AT58" s="156"/>
      <c r="AU58" s="143"/>
      <c r="AV58" s="143"/>
      <c r="AW58" s="143"/>
      <c r="AX58" s="143"/>
      <c r="AY58" s="143"/>
      <c r="AZ58" s="143"/>
      <c r="BA58" s="143"/>
      <c r="BB58" s="143">
        <f>BB57*AZ57</f>
        <v>4</v>
      </c>
      <c r="BC58" s="143"/>
      <c r="BD58" s="143"/>
      <c r="BE58" s="143"/>
      <c r="BF58" s="143"/>
      <c r="BG58" s="143"/>
      <c r="BH58" s="143"/>
      <c r="BI58" s="149"/>
      <c r="BK58" s="22"/>
      <c r="BS58" s="6" t="s">
        <v>227</v>
      </c>
      <c r="BT58" s="6">
        <v>-774000.0</v>
      </c>
      <c r="BU58" s="6">
        <f>VLOOKUP(BS58,'Item List'!$A$2:$D$300,2,FALSE)</f>
        <v>1</v>
      </c>
      <c r="BV58" s="6">
        <f>VLOOKUP(BS58,'Item List'!$A$2:$D$300,3,FALSE)</f>
        <v>4</v>
      </c>
      <c r="BW58" s="6">
        <f>VLOOKUP(BS58,'Item List'!$A$2:$D$300,4,FALSE)</f>
        <v>1</v>
      </c>
    </row>
    <row r="59">
      <c r="B59" s="150"/>
      <c r="C59" s="151"/>
      <c r="D59" s="147"/>
      <c r="E59" s="147"/>
      <c r="F59" s="152"/>
      <c r="G59" s="138"/>
      <c r="H59" s="157" t="s">
        <v>502</v>
      </c>
      <c r="I59" s="170">
        <v>4385.0</v>
      </c>
      <c r="J59" s="154" t="s">
        <v>424</v>
      </c>
      <c r="K59" s="154">
        <v>0.0</v>
      </c>
      <c r="L59" s="100">
        <v>0.0</v>
      </c>
      <c r="M59" s="143"/>
      <c r="N59" s="143"/>
      <c r="O59" s="143"/>
      <c r="P59" s="143"/>
      <c r="Q59" s="143"/>
      <c r="R59" s="143"/>
      <c r="S59" s="155"/>
      <c r="T59" s="155"/>
      <c r="U59" s="143"/>
      <c r="V59" s="143"/>
      <c r="W59" s="143"/>
      <c r="X59" s="143"/>
      <c r="Y59" s="143"/>
      <c r="Z59" s="143"/>
      <c r="AA59" s="143"/>
      <c r="AB59" s="143"/>
      <c r="AC59" s="143"/>
      <c r="AD59" s="143"/>
      <c r="AE59" s="143"/>
      <c r="AF59" s="143"/>
      <c r="AG59" s="156"/>
      <c r="AH59" s="143"/>
      <c r="AI59" s="143"/>
      <c r="AJ59" s="143"/>
      <c r="AK59" s="143"/>
      <c r="AL59" s="143"/>
      <c r="AM59" s="143"/>
      <c r="AN59" s="143"/>
      <c r="AO59" s="143"/>
      <c r="AP59" s="143"/>
      <c r="AQ59" s="143"/>
      <c r="AR59" s="143"/>
      <c r="AS59" s="143"/>
      <c r="AT59" s="156"/>
      <c r="AU59" s="143"/>
      <c r="AV59" s="143"/>
      <c r="AW59" s="143"/>
      <c r="AX59" s="143"/>
      <c r="AY59" s="143"/>
      <c r="AZ59" s="143"/>
      <c r="BA59" s="143"/>
      <c r="BB59" s="143"/>
      <c r="BC59" s="143"/>
      <c r="BD59" s="143"/>
      <c r="BE59" s="143"/>
      <c r="BF59" s="143"/>
      <c r="BG59" s="143"/>
      <c r="BH59" s="143"/>
      <c r="BI59" s="149"/>
      <c r="BK59" s="22"/>
      <c r="BS59" s="6" t="s">
        <v>234</v>
      </c>
      <c r="BT59" s="140">
        <v>0.0</v>
      </c>
      <c r="BU59" s="6">
        <f>VLOOKUP(BS59,'Item List'!$A$2:$D$300,2,FALSE)</f>
        <v>1</v>
      </c>
      <c r="BV59" s="6">
        <f>VLOOKUP(BS59,'Item List'!$A$2:$D$300,3,FALSE)</f>
        <v>3</v>
      </c>
      <c r="BW59" s="6">
        <f>VLOOKUP(BS59,'Item List'!$A$2:$D$300,4,FALSE)</f>
        <v>2</v>
      </c>
    </row>
    <row r="60">
      <c r="B60" s="135"/>
      <c r="C60" s="136"/>
      <c r="D60" s="137"/>
      <c r="E60" s="137"/>
      <c r="F60" s="137"/>
      <c r="G60" s="138"/>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8"/>
      <c r="AH60" s="137"/>
      <c r="AI60" s="137"/>
      <c r="AJ60" s="137"/>
      <c r="AK60" s="137"/>
      <c r="AL60" s="137"/>
      <c r="AM60" s="137"/>
      <c r="AN60" s="137"/>
      <c r="AO60" s="137"/>
      <c r="AP60" s="137"/>
      <c r="AQ60" s="137"/>
      <c r="AR60" s="137"/>
      <c r="AS60" s="137"/>
      <c r="AT60" s="138"/>
      <c r="AU60" s="137"/>
      <c r="AV60" s="137"/>
      <c r="AW60" s="137"/>
      <c r="AX60" s="137"/>
      <c r="AY60" s="137"/>
      <c r="AZ60" s="137"/>
      <c r="BA60" s="137"/>
      <c r="BB60" s="137"/>
      <c r="BC60" s="137"/>
      <c r="BD60" s="137"/>
      <c r="BE60" s="137"/>
      <c r="BF60" s="137"/>
      <c r="BG60" s="137"/>
      <c r="BH60" s="137"/>
      <c r="BI60" s="139"/>
      <c r="BK60" s="22"/>
    </row>
    <row r="61">
      <c r="B61" s="141" t="s">
        <v>794</v>
      </c>
      <c r="C61" s="142"/>
      <c r="D61" s="143"/>
      <c r="E61" s="143"/>
      <c r="F61" s="144"/>
      <c r="G61" s="145"/>
      <c r="H61" s="167" t="s">
        <v>374</v>
      </c>
      <c r="I61" s="147" t="str">
        <f>VLOOKUP(H61,'Machine List'!$A$1:$I$300,9,FALSE)</f>
        <v>1T</v>
      </c>
      <c r="J61" s="147">
        <f>IF(VLOOKUP(H61,'Machine List'!$A$1:$I$300,5,FALSE)="Multi",IF(VLOOKUP(H61,'Machine List'!$A$1:$I$300,6,FALSE)="Yes",AI61*3*10^AB61,AI61*(2*3)*10^(AB61-1)),0)</f>
        <v>0</v>
      </c>
      <c r="K61" s="147">
        <f>J61+IF(ISNUMBER(I61),I61,
  SWITCH(
      I61,
      "1T",1*10^AB61,
      "2T",2*10^AB61,
      "3T",3*10^AB61,
      "4T",4*10^AB61,
      "4000+500(7O-5)",4000+500*(7*I62-5),
      "13500 + 16C",13500+16*VLOOKUP(J63,'Machine Helper Sheet'!$G$1:$K$16,5,FALSE),
      1
  )
)</f>
        <v>10</v>
      </c>
      <c r="L61" s="147">
        <f>IF(VLOOKUP(H61,'Machine List'!$A$1:$I$300,5,FALSE)="Multi",IF(VLOOKUP(H61,'Machine List'!$A$1:$I$300,6,FALSE)="Yes",AW61*3*10^AV61,AW61*(2*3)*10^(AV61-1)),0)</f>
        <v>0</v>
      </c>
      <c r="M61" s="147">
        <f>L61+IF(ISNUMBER(I61),I61,
  SWITCH(
      I61,
      "1T",1*10^AV61,
      "2T",2*10^AV61,
      "3T",3*10^AV61,
      "4T",4*10^AV61,
      "4000+500(7O-5)",4000+500*(7*I62-5),
      1
  )
)</f>
        <v>100000</v>
      </c>
      <c r="N61" s="147" t="str">
        <f>VLOOKUP(H61,'Machine List'!$A$1:$I$300,8,FALSE)</f>
        <v>Tier</v>
      </c>
      <c r="O61" s="147">
        <f>IF(ISNUMBER(N61),N61,10^AB61)</f>
        <v>10</v>
      </c>
      <c r="P61" s="147">
        <f>IF(ISNUMBER(N61),N61,10^AV61)</f>
        <v>100000</v>
      </c>
      <c r="Q61" s="147">
        <f>VLOOKUP(H61,'Machine List'!$A$1:$B$138,2,FALSE)</f>
        <v>1</v>
      </c>
      <c r="R61" s="147" t="s">
        <v>277</v>
      </c>
      <c r="S61" s="143">
        <f>IF(ISNUMBER(Q61),Q61,
  SWITCH(
      Q61,
      "1",1,
      "2T",AB61*2,
      "4T",AB61*4,
      "6T",AB61*6,
      "8T",AB61*8,
      "10T",AB61*10,
      "12T",AB61*12,
      "14T",AB61*14,
      "16T",AB61*16,
      "24T",AB61*24,
      "2(T+1)",2*(AB61+1),
      "1T*C",AB61*J63,
      "2*P",L63*2,
      1
  )
)</f>
        <v>1</v>
      </c>
      <c r="T61" s="38" t="s">
        <v>277</v>
      </c>
      <c r="U61" s="147">
        <f>IF(OR(T61="No",T61=""),S61,T61)</f>
        <v>1</v>
      </c>
      <c r="V61" s="147">
        <f>IF(ISNUMBER(Q61),Q61,
  SWITCH(
      Q61,
      "1",1,
      "2T",AV61*2,
      "4T",AV61*4,
      "6T",AV61*6,
      "8T",AV61*8,
      "10T",AV61*10,
      "12T",AV61*12,
      "14T",AV61*14,
      "16T",AV61*16,
      "24T",AV61*24,
      "2(T+1)",2*(AV61+1),
      "1T*C",AV61*J63,
      "2*P",L63*2,
      1
  )
)</f>
        <v>1</v>
      </c>
      <c r="W61" s="147" t="str">
        <f>T61</f>
        <v>No</v>
      </c>
      <c r="X61" s="147">
        <f>IF(OR(W61="No",W61=""),V61,W61)</f>
        <v>1</v>
      </c>
      <c r="Y61" s="38">
        <f>VLOOKUP(H61,'Machine List'!$A$1:$C$138,3,FALSE)</f>
        <v>1</v>
      </c>
      <c r="Z61" s="38">
        <f>VLOOKUP(H61,'Machine List'!$A$1:$D$138,4,FALSE)</f>
        <v>1</v>
      </c>
      <c r="AA61" s="168" t="s">
        <v>390</v>
      </c>
      <c r="AB61" s="147">
        <f>VLOOKUP(AA61,'Item Helper Sheet'!$A$2:$B$16,2,FALSE)</f>
        <v>1</v>
      </c>
      <c r="AC61" s="147">
        <v>4.0</v>
      </c>
      <c r="AD61" s="147">
        <f>5*20</f>
        <v>100</v>
      </c>
      <c r="AE61" s="147">
        <f>AD61*I63</f>
        <v>66900</v>
      </c>
      <c r="AF61" s="147">
        <f>AC61*AE61</f>
        <v>267600</v>
      </c>
      <c r="AG61" s="148"/>
      <c r="AH61" s="147" t="str">
        <f>AA61</f>
        <v>01 - LV</v>
      </c>
      <c r="AI61" s="147">
        <v>1.0</v>
      </c>
      <c r="AJ61" s="147">
        <v>1.0</v>
      </c>
      <c r="AK61" s="147">
        <f>AJ61*8*4^AB61</f>
        <v>32</v>
      </c>
      <c r="AL61" s="147">
        <f>MIN(ROUNDDOWN(AK61/AN61,0),U61)</f>
        <v>1</v>
      </c>
      <c r="AM61" s="147">
        <f>IF(OR(T61="No",T61=""),AI61*S61,AI61*T61)</f>
        <v>1</v>
      </c>
      <c r="AN61" s="147">
        <f>ROUNDUP(AC61*VLOOKUP(H61,'Machine List'!$A$2:$D$219,4,FALSE),0)</f>
        <v>4</v>
      </c>
      <c r="AO61" s="147">
        <f>AN61*AM61</f>
        <v>4</v>
      </c>
      <c r="AP61" s="147">
        <f>ROUNDUP(AD61*I63,0)</f>
        <v>66900</v>
      </c>
      <c r="AQ61" s="38">
        <f>IF(ISNUMBER(Y61),ROUNDUP(AP61/Y61,0),
  SWITCH(
      Y61,
      "1+0.5C",ROUNDUP(AP61/(1+0.5*VLOOKUP(J63,'Machine Helper Sheet'!$G$1:$K$16,2,FALSE)),0),
      ROUNDUP(AP61/1,0)
  )
)</f>
        <v>66900</v>
      </c>
      <c r="AR61" s="147">
        <f>ROUNDUP(AQ61/AM61,0)</f>
        <v>66900</v>
      </c>
      <c r="AS61" s="147">
        <f>AO61*AR61</f>
        <v>267600</v>
      </c>
      <c r="AT61" s="148"/>
      <c r="AU61" s="168" t="s">
        <v>405</v>
      </c>
      <c r="AV61" s="147">
        <f>VLOOKUP(AU61,'Item Helper Sheet'!$A$2:$B$16,2,FALSE)</f>
        <v>5</v>
      </c>
      <c r="AW61" s="147">
        <f>AI61</f>
        <v>1</v>
      </c>
      <c r="AX61" s="147">
        <v>1.0</v>
      </c>
      <c r="AY61" s="147">
        <f>AX61*8*4^AV61</f>
        <v>8192</v>
      </c>
      <c r="AZ61" s="147">
        <f>MIN(ROUNDDOWN(AY61/AN61,0),X61)</f>
        <v>1</v>
      </c>
      <c r="BA61" s="147">
        <f>AZ61*AW61</f>
        <v>1</v>
      </c>
      <c r="BB61" s="147">
        <f>AN61</f>
        <v>4</v>
      </c>
      <c r="BC61" s="147">
        <f>MIN(AV61-AB61,IF(AY61&gt;=BB62*4,
IF(AY61&gt;=BB62*4^2,
IF(AY61&gt;=BB62*4^3,
IF(AY61&gt;=BB62*4^4,
IF(AY61&gt;=BB62*4^5,
IF(AY61&gt;=BB62*4^6,
IF(AY61&gt;=BB62*4^7,
IF(AY61&gt;=BB62*4^8,
IF(AY61&gt;=BB62*4^9,
IF(AY61&gt;=BB62*4^10,
9),
8),
7),
6),
5),
4),
3),
2),
1),
0))</f>
        <v>4</v>
      </c>
      <c r="BD61" s="147">
        <f>BB61*AZ61*4^BC61</f>
        <v>1024</v>
      </c>
      <c r="BE61" s="147">
        <f>BD61*AW61</f>
        <v>1024</v>
      </c>
      <c r="BF61" s="143">
        <f>ROUNDUP(IF(R61="Yes",AP61/(2^((BC61)*2)),AP61/(2^(BC61))),0)</f>
        <v>4182</v>
      </c>
      <c r="BG61" s="45">
        <f>IF(ISNUMBER(Y61),ROUNDUP(BF61/Y61,0),
  SWITCH(
      Y61,
      "1+0.5C",ROUNDUP(BF61/(1+0.5*VLOOKUP(J63,'Machine Helper Sheet'!$G$1:$K$16,2,FALSE)),0),
      ROUNDUP(BF61/1,0)
  )
)</f>
        <v>4182</v>
      </c>
      <c r="BH61" s="143">
        <f>ROUNDUP(BG61/BA61,0)</f>
        <v>4182</v>
      </c>
      <c r="BI61" s="149">
        <f>BH61*BE61</f>
        <v>4282368</v>
      </c>
      <c r="BK61" s="22"/>
    </row>
    <row r="62">
      <c r="B62" s="150"/>
      <c r="C62" s="169" t="s">
        <v>50</v>
      </c>
      <c r="D62" s="147">
        <f>1*I63</f>
        <v>669</v>
      </c>
      <c r="E62" s="168" t="s">
        <v>67</v>
      </c>
      <c r="F62" s="152">
        <f>8*I63</f>
        <v>5352</v>
      </c>
      <c r="G62" s="138"/>
      <c r="H62" s="153" t="s">
        <v>584</v>
      </c>
      <c r="I62" s="45">
        <f t="array" ref="I62">match(TRUE,ISBLANK(F62:F77),0)-1</f>
        <v>1</v>
      </c>
      <c r="J62" s="154" t="s">
        <v>420</v>
      </c>
      <c r="K62" s="154" t="s">
        <v>585</v>
      </c>
      <c r="L62" s="100" t="s">
        <v>704</v>
      </c>
      <c r="M62" s="147"/>
      <c r="N62" s="147"/>
      <c r="O62" s="147"/>
      <c r="P62" s="147"/>
      <c r="Q62" s="147"/>
      <c r="R62" s="155"/>
      <c r="S62" s="155"/>
      <c r="T62" s="155"/>
      <c r="U62" s="143"/>
      <c r="V62" s="143"/>
      <c r="W62" s="143"/>
      <c r="X62" s="143"/>
      <c r="Y62" s="143"/>
      <c r="Z62" s="143"/>
      <c r="AA62" s="143"/>
      <c r="AB62" s="143"/>
      <c r="AC62" s="143"/>
      <c r="AD62" s="143"/>
      <c r="AE62" s="143"/>
      <c r="AF62" s="143"/>
      <c r="AG62" s="156"/>
      <c r="AH62" s="143"/>
      <c r="AI62" s="143"/>
      <c r="AJ62" s="143"/>
      <c r="AK62" s="143"/>
      <c r="AL62" s="143"/>
      <c r="AM62" s="143"/>
      <c r="AN62" s="143"/>
      <c r="AO62" s="143"/>
      <c r="AP62" s="143"/>
      <c r="AQ62" s="143"/>
      <c r="AR62" s="143"/>
      <c r="AS62" s="143"/>
      <c r="AT62" s="156"/>
      <c r="AU62" s="143"/>
      <c r="AV62" s="143"/>
      <c r="AW62" s="143"/>
      <c r="AX62" s="143"/>
      <c r="AY62" s="143"/>
      <c r="AZ62" s="143"/>
      <c r="BA62" s="143"/>
      <c r="BB62" s="143">
        <f>BB61*AZ61</f>
        <v>4</v>
      </c>
      <c r="BC62" s="143"/>
      <c r="BD62" s="143"/>
      <c r="BE62" s="143"/>
      <c r="BF62" s="143"/>
      <c r="BG62" s="143"/>
      <c r="BH62" s="143"/>
      <c r="BI62" s="149"/>
      <c r="BK62" s="22"/>
      <c r="BM62" s="6" t="s">
        <v>457</v>
      </c>
      <c r="BN62" s="6" t="s">
        <v>467</v>
      </c>
      <c r="BO62" s="6" t="s">
        <v>471</v>
      </c>
      <c r="BP62" s="6" t="s">
        <v>457</v>
      </c>
      <c r="BQ62" s="6" t="s">
        <v>466</v>
      </c>
      <c r="BR62" s="6" t="s">
        <v>470</v>
      </c>
      <c r="BS62" s="6" t="s">
        <v>457</v>
      </c>
      <c r="BT62" s="6" t="s">
        <v>701</v>
      </c>
      <c r="BU62" s="6" t="s">
        <v>605</v>
      </c>
      <c r="BV62" s="6" t="s">
        <v>645</v>
      </c>
      <c r="BX62" s="6" t="s">
        <v>457</v>
      </c>
      <c r="BY62" s="6" t="s">
        <v>607</v>
      </c>
      <c r="BZ62" s="6" t="s">
        <v>545</v>
      </c>
      <c r="CB62" s="6" t="s">
        <v>457</v>
      </c>
      <c r="CC62" s="6" t="s">
        <v>620</v>
      </c>
      <c r="CD62" s="6" t="s">
        <v>546</v>
      </c>
    </row>
    <row r="63">
      <c r="B63" s="150"/>
      <c r="C63" s="151"/>
      <c r="D63" s="147"/>
      <c r="E63" s="147"/>
      <c r="F63" s="152"/>
      <c r="G63" s="138"/>
      <c r="H63" s="157" t="s">
        <v>502</v>
      </c>
      <c r="I63" s="170">
        <v>669.0</v>
      </c>
      <c r="J63" s="154" t="s">
        <v>424</v>
      </c>
      <c r="K63" s="154">
        <v>0.0</v>
      </c>
      <c r="L63" s="100">
        <v>0.0</v>
      </c>
      <c r="M63" s="143"/>
      <c r="N63" s="143"/>
      <c r="O63" s="143"/>
      <c r="P63" s="143"/>
      <c r="Q63" s="143"/>
      <c r="R63" s="143"/>
      <c r="S63" s="155"/>
      <c r="T63" s="155"/>
      <c r="U63" s="143"/>
      <c r="V63" s="143"/>
      <c r="W63" s="143"/>
      <c r="X63" s="143"/>
      <c r="Y63" s="143"/>
      <c r="Z63" s="143"/>
      <c r="AA63" s="143"/>
      <c r="AB63" s="143"/>
      <c r="AC63" s="143"/>
      <c r="AD63" s="143"/>
      <c r="AE63" s="143"/>
      <c r="AF63" s="143"/>
      <c r="AG63" s="156"/>
      <c r="AH63" s="143"/>
      <c r="AI63" s="143"/>
      <c r="AJ63" s="143"/>
      <c r="AK63" s="143"/>
      <c r="AL63" s="143"/>
      <c r="AM63" s="143"/>
      <c r="AN63" s="143"/>
      <c r="AO63" s="143"/>
      <c r="AP63" s="143"/>
      <c r="AQ63" s="143"/>
      <c r="AR63" s="143"/>
      <c r="AS63" s="143"/>
      <c r="AT63" s="156"/>
      <c r="AU63" s="143"/>
      <c r="AV63" s="143"/>
      <c r="AW63" s="143"/>
      <c r="AX63" s="143"/>
      <c r="AY63" s="143"/>
      <c r="AZ63" s="143"/>
      <c r="BA63" s="143"/>
      <c r="BB63" s="143"/>
      <c r="BC63" s="143"/>
      <c r="BD63" s="143"/>
      <c r="BE63" s="143"/>
      <c r="BF63" s="143"/>
      <c r="BG63" s="143"/>
      <c r="BH63" s="143"/>
      <c r="BI63" s="149"/>
      <c r="BK63" s="22"/>
      <c r="BM63" s="6" t="s">
        <v>785</v>
      </c>
      <c r="BN63" s="6">
        <v>4.2816E8</v>
      </c>
      <c r="BO63" s="6">
        <v>4.2816E8</v>
      </c>
      <c r="BP63" s="6" t="s">
        <v>785</v>
      </c>
      <c r="BQ63" s="6">
        <v>178400.0</v>
      </c>
      <c r="BR63" s="6">
        <v>178400.0</v>
      </c>
      <c r="BS63" s="6" t="s">
        <v>785</v>
      </c>
      <c r="BT63" s="6">
        <v>5.0</v>
      </c>
      <c r="BU63" s="6">
        <v>5.0</v>
      </c>
      <c r="BV63" s="6">
        <v>1.0</v>
      </c>
      <c r="BX63" s="6" t="s">
        <v>785</v>
      </c>
      <c r="BY63" s="6">
        <v>100000.0</v>
      </c>
      <c r="BZ63" s="6">
        <v>100000.0</v>
      </c>
      <c r="CB63" s="6" t="s">
        <v>785</v>
      </c>
      <c r="CC63" s="6">
        <v>100000.0</v>
      </c>
      <c r="CD63" s="6">
        <v>100000.0</v>
      </c>
    </row>
    <row r="64">
      <c r="B64" s="135"/>
      <c r="C64" s="136"/>
      <c r="D64" s="137"/>
      <c r="E64" s="137"/>
      <c r="F64" s="137"/>
      <c r="G64" s="138"/>
      <c r="H64" s="137"/>
      <c r="I64" s="137"/>
      <c r="J64" s="137"/>
      <c r="K64" s="137"/>
      <c r="L64" s="137"/>
      <c r="M64" s="137"/>
      <c r="N64" s="137"/>
      <c r="O64" s="137"/>
      <c r="P64" s="137"/>
      <c r="Q64" s="137"/>
      <c r="R64" s="137"/>
      <c r="S64" s="137"/>
      <c r="T64" s="137"/>
      <c r="U64" s="137"/>
      <c r="V64" s="137"/>
      <c r="W64" s="137"/>
      <c r="X64" s="137"/>
      <c r="Y64" s="137"/>
      <c r="Z64" s="137"/>
      <c r="AA64" s="137"/>
      <c r="AB64" s="137"/>
      <c r="AC64" s="137"/>
      <c r="AD64" s="137"/>
      <c r="AE64" s="137"/>
      <c r="AF64" s="137"/>
      <c r="AG64" s="138"/>
      <c r="AH64" s="137"/>
      <c r="AI64" s="137"/>
      <c r="AJ64" s="137"/>
      <c r="AK64" s="137"/>
      <c r="AL64" s="137"/>
      <c r="AM64" s="137"/>
      <c r="AN64" s="137"/>
      <c r="AO64" s="137"/>
      <c r="AP64" s="137"/>
      <c r="AQ64" s="137"/>
      <c r="AR64" s="137"/>
      <c r="AS64" s="137"/>
      <c r="AT64" s="138"/>
      <c r="AU64" s="137"/>
      <c r="AV64" s="137"/>
      <c r="AW64" s="137"/>
      <c r="AX64" s="137"/>
      <c r="AY64" s="137"/>
      <c r="AZ64" s="137"/>
      <c r="BA64" s="137"/>
      <c r="BB64" s="137"/>
      <c r="BC64" s="137"/>
      <c r="BD64" s="137"/>
      <c r="BE64" s="137"/>
      <c r="BF64" s="137"/>
      <c r="BG64" s="137"/>
      <c r="BH64" s="137"/>
      <c r="BI64" s="139"/>
      <c r="BK64" s="22"/>
      <c r="BM64" s="6" t="s">
        <v>786</v>
      </c>
      <c r="BN64" s="6">
        <v>4.2816E8</v>
      </c>
      <c r="BO64" s="6">
        <v>4.2816E8</v>
      </c>
      <c r="BP64" s="6" t="s">
        <v>786</v>
      </c>
      <c r="BQ64" s="6">
        <v>178400.0</v>
      </c>
      <c r="BR64" s="6">
        <v>178400.0</v>
      </c>
      <c r="BS64" s="6" t="s">
        <v>786</v>
      </c>
      <c r="BT64" s="6">
        <v>5.0</v>
      </c>
      <c r="BU64" s="6">
        <v>5.0</v>
      </c>
      <c r="BV64" s="6">
        <v>1.0</v>
      </c>
      <c r="BX64" s="6" t="s">
        <v>786</v>
      </c>
      <c r="BY64" s="6">
        <v>100000.0</v>
      </c>
      <c r="BZ64" s="6">
        <v>100000.0</v>
      </c>
      <c r="CB64" s="6" t="s">
        <v>786</v>
      </c>
      <c r="CC64" s="6">
        <v>100000.0</v>
      </c>
      <c r="CD64" s="6">
        <v>100000.0</v>
      </c>
    </row>
    <row r="65">
      <c r="B65" s="141" t="s">
        <v>795</v>
      </c>
      <c r="C65" s="142"/>
      <c r="D65" s="143"/>
      <c r="E65" s="143"/>
      <c r="F65" s="144"/>
      <c r="G65" s="145"/>
      <c r="H65" s="167" t="s">
        <v>285</v>
      </c>
      <c r="I65" s="147" t="str">
        <f>VLOOKUP(H65,'Machine List'!$A$1:$I$300,9,FALSE)</f>
        <v>2T</v>
      </c>
      <c r="J65" s="147">
        <f>IF(VLOOKUP(H65,'Machine List'!$A$1:$I$300,5,FALSE)="Multi",IF(VLOOKUP(H65,'Machine List'!$A$1:$I$300,6,FALSE)="Yes",AI65*3*10^AB65,AI65*(2*3)*10^(AB65-1)),0)</f>
        <v>0</v>
      </c>
      <c r="K65" s="147">
        <f>J65+IF(ISNUMBER(I65),I65,
  SWITCH(
      I65,
      "1T",1*10^AB65,
      "2T",2*10^AB65,
      "3T",3*10^AB65,
      "4T",4*10^AB65,
      "4000+500(7O-5)",4000+500*(7*I66-5),
      "13500 + 16C",13500+16*VLOOKUP(J67,'Machine Helper Sheet'!$G$1:$K$16,5,FALSE),
      1
  )
)</f>
        <v>20</v>
      </c>
      <c r="L65" s="147">
        <f>IF(VLOOKUP(H65,'Machine List'!$A$1:$I$300,5,FALSE)="Multi",IF(VLOOKUP(H65,'Machine List'!$A$1:$I$300,6,FALSE)="Yes",AW65*3*10^AV65,AW65*(2*3)*10^(AV65-1)),0)</f>
        <v>0</v>
      </c>
      <c r="M65" s="147">
        <f>L65+IF(ISNUMBER(I65),I65,
  SWITCH(
      I65,
      "1T",1*10^AV65,
      "2T",2*10^AV65,
      "3T",3*10^AV65,
      "4T",4*10^AV65,
      "4000+500(7O-5)",4000+500*(7*I66-5),
      1
  )
)</f>
        <v>200000</v>
      </c>
      <c r="N65" s="147" t="str">
        <f>VLOOKUP(H65,'Machine List'!$A$1:$I$300,8,FALSE)</f>
        <v>Tier</v>
      </c>
      <c r="O65" s="147">
        <f>IF(ISNUMBER(N65),N65,10^AB65)</f>
        <v>10</v>
      </c>
      <c r="P65" s="147">
        <f>IF(ISNUMBER(N65),N65,10^AV65)</f>
        <v>100000</v>
      </c>
      <c r="Q65" s="147">
        <f>VLOOKUP(H65,'Machine List'!$A$1:$B$138,2,FALSE)</f>
        <v>1</v>
      </c>
      <c r="R65" s="147" t="s">
        <v>277</v>
      </c>
      <c r="S65" s="143">
        <f>IF(ISNUMBER(Q65),Q65,
  SWITCH(
      Q65,
      "1",1,
      "2T",AB65*2,
      "4T",AB65*4,
      "6T",AB65*6,
      "8T",AB65*8,
      "10T",AB65*10,
      "12T",AB65*12,
      "14T",AB65*14,
      "16T",AB65*16,
      "24T",AB65*24,
      "2(T+1)",2*(AB65+1),
      "1T*C",AB65*J67,
      "2*P",L67*2,
      1
  )
)</f>
        <v>1</v>
      </c>
      <c r="T65" s="38" t="s">
        <v>277</v>
      </c>
      <c r="U65" s="147">
        <f>IF(OR(T65="No",T65=""),S65,T65)</f>
        <v>1</v>
      </c>
      <c r="V65" s="147">
        <f>IF(ISNUMBER(Q65),Q65,
  SWITCH(
      Q65,
      "1",1,
      "2T",AV65*2,
      "4T",AV65*4,
      "6T",AV65*6,
      "8T",AV65*8,
      "10T",AV65*10,
      "12T",AV65*12,
      "14T",AV65*14,
      "16T",AV65*16,
      "24T",AV65*24,
      "2(T+1)",2*(AV65+1),
      "1T*C",AV65*J67,
      "2*P",L67*2,
      1
  )
)</f>
        <v>1</v>
      </c>
      <c r="W65" s="147" t="str">
        <f>T65</f>
        <v>No</v>
      </c>
      <c r="X65" s="147">
        <f>IF(OR(W65="No",W65=""),V65,W65)</f>
        <v>1</v>
      </c>
      <c r="Y65" s="38">
        <f>VLOOKUP(H65,'Machine List'!$A$1:$C$138,3,FALSE)</f>
        <v>1</v>
      </c>
      <c r="Z65" s="38">
        <f>VLOOKUP(H65,'Machine List'!$A$1:$D$138,4,FALSE)</f>
        <v>1</v>
      </c>
      <c r="AA65" s="168" t="s">
        <v>390</v>
      </c>
      <c r="AB65" s="147">
        <f>VLOOKUP(AA65,'Item Helper Sheet'!$A$2:$B$16,2,FALSE)</f>
        <v>1</v>
      </c>
      <c r="AC65" s="147">
        <v>7.0</v>
      </c>
      <c r="AD65" s="147">
        <f>3.2*20</f>
        <v>64</v>
      </c>
      <c r="AE65" s="147">
        <f>AD65*I67</f>
        <v>13440</v>
      </c>
      <c r="AF65" s="147">
        <f>AC65*AE65</f>
        <v>94080</v>
      </c>
      <c r="AG65" s="148"/>
      <c r="AH65" s="147" t="str">
        <f>AA65</f>
        <v>01 - LV</v>
      </c>
      <c r="AI65" s="147">
        <v>1.0</v>
      </c>
      <c r="AJ65" s="147">
        <v>1.0</v>
      </c>
      <c r="AK65" s="147">
        <f>AJ65*8*4^AB65</f>
        <v>32</v>
      </c>
      <c r="AL65" s="147">
        <f>MIN(ROUNDDOWN(AK65/AN65,0),U65)</f>
        <v>1</v>
      </c>
      <c r="AM65" s="147">
        <f>IF(OR(T65="No",T65=""),AI65*S65,AI65*T65)</f>
        <v>1</v>
      </c>
      <c r="AN65" s="147">
        <f>ROUNDUP(AC65*VLOOKUP(H65,'Machine List'!$A$2:$D$219,4,FALSE),0)</f>
        <v>7</v>
      </c>
      <c r="AO65" s="147">
        <f>AN65*AM65</f>
        <v>7</v>
      </c>
      <c r="AP65" s="147">
        <f>ROUNDUP(AD65*I67,0)</f>
        <v>13440</v>
      </c>
      <c r="AQ65" s="38">
        <f>IF(ISNUMBER(Y65),ROUNDUP(AP65/Y65,0),
  SWITCH(
      Y65,
      "1+0.5C",ROUNDUP(AP65/(1+0.5*VLOOKUP(J67,'Machine Helper Sheet'!$G$1:$K$16,2,FALSE)),0),
      ROUNDUP(AP65/1,0)
  )
)</f>
        <v>13440</v>
      </c>
      <c r="AR65" s="147">
        <f>ROUNDUP(AQ65/AM65,0)</f>
        <v>13440</v>
      </c>
      <c r="AS65" s="147">
        <f>AO65*AR65</f>
        <v>94080</v>
      </c>
      <c r="AT65" s="148"/>
      <c r="AU65" s="168" t="s">
        <v>405</v>
      </c>
      <c r="AV65" s="147">
        <f>VLOOKUP(AU65,'Item Helper Sheet'!$A$2:$B$16,2,FALSE)</f>
        <v>5</v>
      </c>
      <c r="AW65" s="147">
        <f>AI65</f>
        <v>1</v>
      </c>
      <c r="AX65" s="147">
        <v>1.0</v>
      </c>
      <c r="AY65" s="147">
        <f>AX65*8*4^AV65</f>
        <v>8192</v>
      </c>
      <c r="AZ65" s="147">
        <f>MIN(ROUNDDOWN(AY65/AN65,0),X65)</f>
        <v>1</v>
      </c>
      <c r="BA65" s="147">
        <f>AZ65*AW65</f>
        <v>1</v>
      </c>
      <c r="BB65" s="147">
        <f>AN65</f>
        <v>7</v>
      </c>
      <c r="BC65" s="147">
        <f>MIN(AV65-AB65,IF(AY65&gt;=BB66*4,
IF(AY65&gt;=BB66*4^2,
IF(AY65&gt;=BB66*4^3,
IF(AY65&gt;=BB66*4^4,
IF(AY65&gt;=BB66*4^5,
IF(AY65&gt;=BB66*4^6,
IF(AY65&gt;=BB66*4^7,
IF(AY65&gt;=BB66*4^8,
IF(AY65&gt;=BB66*4^9,
IF(AY65&gt;=BB66*4^10,
9),
8),
7),
6),
5),
4),
3),
2),
1),
0))</f>
        <v>4</v>
      </c>
      <c r="BD65" s="147">
        <f>BB65*AZ65*4^BC65</f>
        <v>1792</v>
      </c>
      <c r="BE65" s="147">
        <f>BD65*AW65</f>
        <v>1792</v>
      </c>
      <c r="BF65" s="143">
        <f>ROUNDUP(IF(R65="Yes",AP65/(2^((BC65)*2)),AP65/(2^(BC65))),0)</f>
        <v>840</v>
      </c>
      <c r="BG65" s="45">
        <f>IF(ISNUMBER(Y65),ROUNDUP(BF65/Y65,0),
  SWITCH(
      Y65,
      "1+0.5C",ROUNDUP(BF65/(1+0.5*VLOOKUP(J67,'Machine Helper Sheet'!$G$1:$K$16,2,FALSE)),0),
      ROUNDUP(BF65/1,0)
  )
)</f>
        <v>840</v>
      </c>
      <c r="BH65" s="143">
        <f>ROUNDUP(BG65/BA65,0)</f>
        <v>840</v>
      </c>
      <c r="BI65" s="149">
        <f>BH65*BE65</f>
        <v>1505280</v>
      </c>
      <c r="BK65" s="22"/>
      <c r="BM65" s="6" t="s">
        <v>787</v>
      </c>
      <c r="BN65" s="6">
        <v>2.016E8</v>
      </c>
      <c r="BO65" s="6">
        <v>2.016E8</v>
      </c>
      <c r="BP65" s="6" t="s">
        <v>787</v>
      </c>
      <c r="BQ65" s="6">
        <v>84000.0</v>
      </c>
      <c r="BR65" s="6">
        <v>84000.0</v>
      </c>
      <c r="BS65" s="6" t="s">
        <v>787</v>
      </c>
      <c r="BT65" s="6">
        <v>5.0</v>
      </c>
      <c r="BU65" s="6">
        <v>5.0</v>
      </c>
      <c r="BV65" s="6">
        <v>1.0</v>
      </c>
      <c r="BX65" s="6" t="s">
        <v>787</v>
      </c>
      <c r="BY65" s="6">
        <v>100000.0</v>
      </c>
      <c r="BZ65" s="6">
        <v>100000.0</v>
      </c>
      <c r="CB65" s="6" t="s">
        <v>787</v>
      </c>
      <c r="CC65" s="6">
        <v>100000.0</v>
      </c>
      <c r="CD65" s="6">
        <v>100000.0</v>
      </c>
    </row>
    <row r="66">
      <c r="B66" s="150"/>
      <c r="C66" s="169" t="s">
        <v>17</v>
      </c>
      <c r="D66" s="147">
        <f>2*I67</f>
        <v>420</v>
      </c>
      <c r="E66" s="168" t="s">
        <v>19</v>
      </c>
      <c r="F66" s="152">
        <f>1*I67</f>
        <v>210</v>
      </c>
      <c r="G66" s="138"/>
      <c r="H66" s="153" t="s">
        <v>584</v>
      </c>
      <c r="I66" s="45">
        <f t="array" ref="I66">match(TRUE,ISBLANK(F66:F81),0)-1</f>
        <v>1</v>
      </c>
      <c r="J66" s="154" t="s">
        <v>420</v>
      </c>
      <c r="K66" s="154" t="s">
        <v>585</v>
      </c>
      <c r="L66" s="100" t="s">
        <v>704</v>
      </c>
      <c r="M66" s="147"/>
      <c r="N66" s="147"/>
      <c r="O66" s="147"/>
      <c r="P66" s="147"/>
      <c r="Q66" s="147"/>
      <c r="R66" s="155"/>
      <c r="S66" s="155"/>
      <c r="T66" s="155"/>
      <c r="U66" s="143"/>
      <c r="V66" s="143"/>
      <c r="W66" s="143"/>
      <c r="X66" s="143"/>
      <c r="Y66" s="143"/>
      <c r="Z66" s="143"/>
      <c r="AA66" s="143"/>
      <c r="AB66" s="143"/>
      <c r="AC66" s="143"/>
      <c r="AD66" s="143"/>
      <c r="AE66" s="143"/>
      <c r="AF66" s="143"/>
      <c r="AG66" s="156"/>
      <c r="AH66" s="143"/>
      <c r="AI66" s="143"/>
      <c r="AJ66" s="143"/>
      <c r="AK66" s="143"/>
      <c r="AL66" s="143"/>
      <c r="AM66" s="143"/>
      <c r="AN66" s="143"/>
      <c r="AO66" s="143"/>
      <c r="AP66" s="143"/>
      <c r="AQ66" s="143"/>
      <c r="AR66" s="143"/>
      <c r="AS66" s="143"/>
      <c r="AT66" s="156"/>
      <c r="AU66" s="143"/>
      <c r="AV66" s="143"/>
      <c r="AW66" s="143"/>
      <c r="AX66" s="143"/>
      <c r="AY66" s="143"/>
      <c r="AZ66" s="143"/>
      <c r="BA66" s="143"/>
      <c r="BB66" s="143">
        <f>BB65*AZ65</f>
        <v>7</v>
      </c>
      <c r="BC66" s="143"/>
      <c r="BD66" s="143"/>
      <c r="BE66" s="143"/>
      <c r="BF66" s="143"/>
      <c r="BG66" s="143"/>
      <c r="BH66" s="143"/>
      <c r="BI66" s="149"/>
      <c r="BK66" s="22"/>
      <c r="BM66" s="6" t="s">
        <v>788</v>
      </c>
      <c r="BN66" s="6">
        <v>1.29024E9</v>
      </c>
      <c r="BO66" s="6">
        <v>1.29024E9</v>
      </c>
      <c r="BP66" s="6" t="s">
        <v>788</v>
      </c>
      <c r="BQ66" s="6">
        <v>168000.0</v>
      </c>
      <c r="BR66" s="6">
        <v>168000.0</v>
      </c>
      <c r="BS66" s="6" t="s">
        <v>788</v>
      </c>
      <c r="BT66" s="6">
        <v>5.0</v>
      </c>
      <c r="BU66" s="6">
        <v>5.0</v>
      </c>
      <c r="BV66" s="6">
        <v>1.0</v>
      </c>
      <c r="BX66" s="6" t="s">
        <v>788</v>
      </c>
      <c r="BY66" s="6">
        <v>100000.0</v>
      </c>
      <c r="BZ66" s="6">
        <v>100000.0</v>
      </c>
      <c r="CB66" s="6" t="s">
        <v>788</v>
      </c>
      <c r="CC66" s="6">
        <v>100000.0</v>
      </c>
      <c r="CD66" s="6">
        <v>100000.0</v>
      </c>
    </row>
    <row r="67">
      <c r="B67" s="150"/>
      <c r="C67" s="151"/>
      <c r="D67" s="147"/>
      <c r="E67" s="147"/>
      <c r="F67" s="152"/>
      <c r="G67" s="138"/>
      <c r="H67" s="157" t="s">
        <v>502</v>
      </c>
      <c r="I67" s="170">
        <v>210.0</v>
      </c>
      <c r="J67" s="154" t="s">
        <v>424</v>
      </c>
      <c r="K67" s="154">
        <v>0.0</v>
      </c>
      <c r="L67" s="100">
        <v>0.0</v>
      </c>
      <c r="M67" s="143"/>
      <c r="N67" s="143"/>
      <c r="O67" s="143"/>
      <c r="P67" s="143"/>
      <c r="Q67" s="143"/>
      <c r="R67" s="143"/>
      <c r="S67" s="155"/>
      <c r="T67" s="155"/>
      <c r="U67" s="143"/>
      <c r="V67" s="143"/>
      <c r="W67" s="143"/>
      <c r="X67" s="143"/>
      <c r="Y67" s="143"/>
      <c r="Z67" s="143"/>
      <c r="AA67" s="143"/>
      <c r="AB67" s="143"/>
      <c r="AC67" s="143"/>
      <c r="AD67" s="143"/>
      <c r="AE67" s="143"/>
      <c r="AF67" s="143"/>
      <c r="AG67" s="156"/>
      <c r="AH67" s="143"/>
      <c r="AI67" s="143"/>
      <c r="AJ67" s="143"/>
      <c r="AK67" s="143"/>
      <c r="AL67" s="143"/>
      <c r="AM67" s="143"/>
      <c r="AN67" s="143"/>
      <c r="AO67" s="143"/>
      <c r="AP67" s="143"/>
      <c r="AQ67" s="143"/>
      <c r="AR67" s="143"/>
      <c r="AS67" s="143"/>
      <c r="AT67" s="156"/>
      <c r="AU67" s="143"/>
      <c r="AV67" s="143"/>
      <c r="AW67" s="143"/>
      <c r="AX67" s="143"/>
      <c r="AY67" s="143"/>
      <c r="AZ67" s="143"/>
      <c r="BA67" s="143"/>
      <c r="BB67" s="143"/>
      <c r="BC67" s="143"/>
      <c r="BD67" s="143"/>
      <c r="BE67" s="143"/>
      <c r="BF67" s="143"/>
      <c r="BG67" s="143"/>
      <c r="BH67" s="143"/>
      <c r="BI67" s="149"/>
      <c r="BK67" s="22"/>
      <c r="BM67" s="140" t="s">
        <v>789</v>
      </c>
      <c r="BN67" s="140">
        <v>213696.0</v>
      </c>
      <c r="BO67" s="140">
        <v>3419136.0</v>
      </c>
      <c r="BP67" s="140" t="s">
        <v>789</v>
      </c>
      <c r="BQ67" s="140">
        <v>30528.0</v>
      </c>
      <c r="BR67" s="140">
        <v>1908.0</v>
      </c>
      <c r="BS67" s="140" t="s">
        <v>789</v>
      </c>
      <c r="BT67" s="140">
        <v>1.0</v>
      </c>
      <c r="BU67" s="140">
        <v>5.0</v>
      </c>
      <c r="BV67" s="140">
        <v>1.0</v>
      </c>
      <c r="BX67" s="140" t="s">
        <v>789</v>
      </c>
      <c r="BY67" s="6">
        <v>10.0</v>
      </c>
      <c r="BZ67" s="140">
        <v>10.0</v>
      </c>
      <c r="CB67" s="140" t="s">
        <v>789</v>
      </c>
      <c r="CC67" s="6">
        <v>100000.0</v>
      </c>
      <c r="CD67" s="140">
        <v>100000.0</v>
      </c>
    </row>
    <row r="68">
      <c r="B68" s="135"/>
      <c r="C68" s="136"/>
      <c r="D68" s="137"/>
      <c r="E68" s="137"/>
      <c r="F68" s="137"/>
      <c r="G68" s="138"/>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8"/>
      <c r="AH68" s="137"/>
      <c r="AI68" s="137"/>
      <c r="AJ68" s="137"/>
      <c r="AK68" s="137"/>
      <c r="AL68" s="137"/>
      <c r="AM68" s="137"/>
      <c r="AN68" s="137"/>
      <c r="AO68" s="137"/>
      <c r="AP68" s="137"/>
      <c r="AQ68" s="137"/>
      <c r="AR68" s="137"/>
      <c r="AS68" s="137"/>
      <c r="AT68" s="138"/>
      <c r="AU68" s="137"/>
      <c r="AV68" s="137"/>
      <c r="AW68" s="137"/>
      <c r="AX68" s="137"/>
      <c r="AY68" s="137"/>
      <c r="AZ68" s="137"/>
      <c r="BA68" s="137"/>
      <c r="BB68" s="137"/>
      <c r="BC68" s="137"/>
      <c r="BD68" s="137"/>
      <c r="BE68" s="137"/>
      <c r="BF68" s="137"/>
      <c r="BG68" s="137"/>
      <c r="BH68" s="137"/>
      <c r="BI68" s="139"/>
      <c r="BK68" s="22"/>
      <c r="BM68" s="140" t="s">
        <v>790</v>
      </c>
      <c r="BN68" s="140">
        <v>228960.0</v>
      </c>
      <c r="BO68" s="140">
        <v>3667968.0</v>
      </c>
      <c r="BP68" s="140" t="s">
        <v>790</v>
      </c>
      <c r="BQ68" s="140">
        <v>9540.0</v>
      </c>
      <c r="BR68" s="140">
        <v>597.0</v>
      </c>
      <c r="BS68" s="140" t="s">
        <v>790</v>
      </c>
      <c r="BT68" s="140">
        <v>1.0</v>
      </c>
      <c r="BU68" s="140">
        <v>5.0</v>
      </c>
      <c r="BV68" s="140">
        <v>1.0</v>
      </c>
      <c r="BX68" s="140" t="s">
        <v>790</v>
      </c>
      <c r="BY68" s="6">
        <v>10.0</v>
      </c>
      <c r="BZ68" s="140">
        <v>10.0</v>
      </c>
      <c r="CB68" s="140" t="s">
        <v>790</v>
      </c>
      <c r="CC68" s="6">
        <v>100000.0</v>
      </c>
      <c r="CD68" s="140">
        <v>100000.0</v>
      </c>
    </row>
    <row r="69">
      <c r="B69" s="141" t="s">
        <v>796</v>
      </c>
      <c r="C69" s="142"/>
      <c r="D69" s="143"/>
      <c r="E69" s="143"/>
      <c r="F69" s="144"/>
      <c r="G69" s="145"/>
      <c r="H69" s="167" t="s">
        <v>306</v>
      </c>
      <c r="I69" s="147" t="str">
        <f>VLOOKUP(H69,'Machine List'!$A$1:$I$300,9,FALSE)</f>
        <v>1T</v>
      </c>
      <c r="J69" s="147">
        <f>IF(VLOOKUP(H69,'Machine List'!$A$1:$I$300,5,FALSE)="Multi",IF(VLOOKUP(H69,'Machine List'!$A$1:$I$300,6,FALSE)="Yes",AI69*3*10^AB69,AI69*(2*3)*10^(AB69-1)),0)</f>
        <v>0</v>
      </c>
      <c r="K69" s="147">
        <f>J69+IF(ISNUMBER(I69),I69,
  SWITCH(
      I69,
      "1T",1*10^AB69,
      "2T",2*10^AB69,
      "3T",3*10^AB69,
      "4T",4*10^AB69,
      "4000+500(7O-5)",4000+500*(7*I70-5),
      "13500 + 16C",13500+16*VLOOKUP(J71,'Machine Helper Sheet'!$G$1:$K$16,5,FALSE),
      1
  )
)</f>
        <v>100</v>
      </c>
      <c r="L69" s="147">
        <f>IF(VLOOKUP(H69,'Machine List'!$A$1:$I$300,5,FALSE)="Multi",IF(VLOOKUP(H69,'Machine List'!$A$1:$I$300,6,FALSE)="Yes",AW69*3*10^AV69,AW69*(2*3)*10^(AV69-1)),0)</f>
        <v>0</v>
      </c>
      <c r="M69" s="147">
        <f>L69+IF(ISNUMBER(I69),I69,
  SWITCH(
      I69,
      "1T",1*10^AV69,
      "2T",2*10^AV69,
      "3T",3*10^AV69,
      "4T",4*10^AV69,
      "4000+500(7O-5)",4000+500*(7*I70-5),
      1
  )
)</f>
        <v>100000</v>
      </c>
      <c r="N69" s="147" t="str">
        <f>VLOOKUP(H69,'Machine List'!$A$1:$I$300,8,FALSE)</f>
        <v>Tier</v>
      </c>
      <c r="O69" s="147">
        <f>IF(ISNUMBER(N69),N69,10^AB69)</f>
        <v>100</v>
      </c>
      <c r="P69" s="147">
        <f>IF(ISNUMBER(N69),N69,10^AV69)</f>
        <v>100000</v>
      </c>
      <c r="Q69" s="147">
        <f>VLOOKUP(H69,'Machine List'!$A$1:$B$138,2,FALSE)</f>
        <v>1</v>
      </c>
      <c r="R69" s="147" t="s">
        <v>277</v>
      </c>
      <c r="S69" s="143">
        <f>IF(ISNUMBER(Q69),Q69,
  SWITCH(
      Q69,
      "1",1,
      "2T",AB69*2,
      "4T",AB69*4,
      "6T",AB69*6,
      "8T",AB69*8,
      "10T",AB69*10,
      "12T",AB69*12,
      "14T",AB69*14,
      "16T",AB69*16,
      "24T",AB69*24,
      "2(T+1)",2*(AB69+1),
      "1T*C",AB69*J71,
      "2*P",L71*2,
      1
  )
)</f>
        <v>1</v>
      </c>
      <c r="T69" s="38" t="s">
        <v>277</v>
      </c>
      <c r="U69" s="147">
        <f>IF(OR(T69="No",T69=""),S69,T69)</f>
        <v>1</v>
      </c>
      <c r="V69" s="147">
        <f>IF(ISNUMBER(Q69),Q69,
  SWITCH(
      Q69,
      "1",1,
      "2T",AV69*2,
      "4T",AV69*4,
      "6T",AV69*6,
      "8T",AV69*8,
      "10T",AV69*10,
      "12T",AV69*12,
      "14T",AV69*14,
      "16T",AV69*16,
      "24T",AV69*24,
      "2(T+1)",2*(AV69+1),
      "1T*C",AV69*J71,
      "2*P",L71*2,
      1
  )
)</f>
        <v>1</v>
      </c>
      <c r="W69" s="147" t="str">
        <f>T69</f>
        <v>No</v>
      </c>
      <c r="X69" s="147">
        <f>IF(OR(W69="No",W69=""),V69,W69)</f>
        <v>1</v>
      </c>
      <c r="Y69" s="38">
        <f>VLOOKUP(H69,'Machine List'!$A$1:$C$138,3,FALSE)</f>
        <v>1</v>
      </c>
      <c r="Z69" s="38">
        <f>VLOOKUP(H69,'Machine List'!$A$1:$D$138,4,FALSE)</f>
        <v>1</v>
      </c>
      <c r="AA69" s="168" t="s">
        <v>393</v>
      </c>
      <c r="AB69" s="147">
        <f>VLOOKUP(AA69,'Item Helper Sheet'!$A$2:$B$16,2,FALSE)</f>
        <v>2</v>
      </c>
      <c r="AC69" s="168">
        <v>90.0</v>
      </c>
      <c r="AD69" s="147">
        <f>14.4*20</f>
        <v>288</v>
      </c>
      <c r="AE69" s="147">
        <f>AD69*I71</f>
        <v>17856</v>
      </c>
      <c r="AF69" s="147">
        <f>AC69*AE69</f>
        <v>1607040</v>
      </c>
      <c r="AG69" s="148"/>
      <c r="AH69" s="147" t="str">
        <f>AA69</f>
        <v>02 - MV</v>
      </c>
      <c r="AI69" s="147">
        <v>1.0</v>
      </c>
      <c r="AJ69" s="147">
        <v>1.0</v>
      </c>
      <c r="AK69" s="147">
        <f>AJ69*8*4^AB69</f>
        <v>128</v>
      </c>
      <c r="AL69" s="147">
        <f>MIN(ROUNDDOWN(AK69/AN69,0),U69)</f>
        <v>1</v>
      </c>
      <c r="AM69" s="147">
        <f>IF(OR(T69="No",T69=""),AI69*S69,AI69*T69)</f>
        <v>1</v>
      </c>
      <c r="AN69" s="147">
        <f>ROUNDUP(AC69*VLOOKUP(H69,'Machine List'!$A$2:$D$219,4,FALSE),0)</f>
        <v>90</v>
      </c>
      <c r="AO69" s="147">
        <f>AN69*AM69</f>
        <v>90</v>
      </c>
      <c r="AP69" s="147">
        <f>ROUNDUP(AD69*I71,0)</f>
        <v>17856</v>
      </c>
      <c r="AQ69" s="38">
        <f>IF(ISNUMBER(Y69),ROUNDUP(AP69/Y69,0),
  SWITCH(
      Y69,
      "1+0.5C",ROUNDUP(AP69/(1+0.5*VLOOKUP(J71,'Machine Helper Sheet'!$G$1:$K$16,2,FALSE)),0),
      ROUNDUP(AP69/1,0)
  )
)</f>
        <v>17856</v>
      </c>
      <c r="AR69" s="147">
        <f>ROUNDUP(AQ69/AM69,0)</f>
        <v>17856</v>
      </c>
      <c r="AS69" s="147">
        <f>AO69*AR69</f>
        <v>1607040</v>
      </c>
      <c r="AT69" s="148"/>
      <c r="AU69" s="168" t="s">
        <v>405</v>
      </c>
      <c r="AV69" s="147">
        <f>VLOOKUP(AU69,'Item Helper Sheet'!$A$2:$B$16,2,FALSE)</f>
        <v>5</v>
      </c>
      <c r="AW69" s="147">
        <f>AI69</f>
        <v>1</v>
      </c>
      <c r="AX69" s="147">
        <v>1.0</v>
      </c>
      <c r="AY69" s="147">
        <f>AX69*8*4^AV69</f>
        <v>8192</v>
      </c>
      <c r="AZ69" s="147">
        <f>MIN(ROUNDDOWN(AY69/AN69,0),X69)</f>
        <v>1</v>
      </c>
      <c r="BA69" s="147">
        <f>AZ69*AW69</f>
        <v>1</v>
      </c>
      <c r="BB69" s="147">
        <f>AN69</f>
        <v>90</v>
      </c>
      <c r="BC69" s="147">
        <f>MIN(AV69-AB69,IF(AY69&gt;=BB70*4,
IF(AY69&gt;=BB70*4^2,
IF(AY69&gt;=BB70*4^3,
IF(AY69&gt;=BB70*4^4,
IF(AY69&gt;=BB70*4^5,
IF(AY69&gt;=BB70*4^6,
IF(AY69&gt;=BB70*4^7,
IF(AY69&gt;=BB70*4^8,
IF(AY69&gt;=BB70*4^9,
IF(AY69&gt;=BB70*4^10,
9),
8),
7),
6),
5),
4),
3),
2),
1),
0))</f>
        <v>3</v>
      </c>
      <c r="BD69" s="147">
        <f>BB69*AZ69*4^BC69</f>
        <v>5760</v>
      </c>
      <c r="BE69" s="147">
        <f>BD69*AW69</f>
        <v>5760</v>
      </c>
      <c r="BF69" s="143">
        <f>ROUNDUP(IF(R69="Yes",AP69/(2^((BC69)*2)),AP69/(2^(BC69))),0)</f>
        <v>2232</v>
      </c>
      <c r="BG69" s="45">
        <f>IF(ISNUMBER(Y69),ROUNDUP(BF69/Y69,0),
  SWITCH(
      Y69,
      "1+0.5C",ROUNDUP(BF69/(1+0.5*VLOOKUP(J71,'Machine Helper Sheet'!$G$1:$K$16,2,FALSE)),0),
      ROUNDUP(BF69/1,0)
  )
)</f>
        <v>2232</v>
      </c>
      <c r="BH69" s="143">
        <f>ROUNDUP(BG69/BA69,0)</f>
        <v>2232</v>
      </c>
      <c r="BI69" s="149">
        <f>BH69*BE69</f>
        <v>12856320</v>
      </c>
      <c r="BK69" s="22"/>
      <c r="BM69" s="140" t="s">
        <v>791</v>
      </c>
      <c r="BN69" s="140">
        <v>3195504.0</v>
      </c>
      <c r="BO69" s="140">
        <v>5.1130368E7</v>
      </c>
      <c r="BP69" s="140" t="s">
        <v>791</v>
      </c>
      <c r="BQ69" s="140">
        <v>133146.0</v>
      </c>
      <c r="BR69" s="140">
        <v>8322.0</v>
      </c>
      <c r="BS69" s="140" t="s">
        <v>791</v>
      </c>
      <c r="BT69" s="140">
        <v>1.0</v>
      </c>
      <c r="BU69" s="140">
        <v>5.0</v>
      </c>
      <c r="BV69" s="140">
        <v>1.0</v>
      </c>
      <c r="BX69" s="140" t="s">
        <v>791</v>
      </c>
      <c r="BY69" s="102">
        <v>10.0</v>
      </c>
      <c r="BZ69" s="140">
        <v>10.0</v>
      </c>
      <c r="CB69" s="140" t="s">
        <v>791</v>
      </c>
      <c r="CC69" s="102">
        <v>100000.0</v>
      </c>
      <c r="CD69" s="140">
        <v>100000.0</v>
      </c>
    </row>
    <row r="70">
      <c r="B70" s="150"/>
      <c r="C70" s="169" t="s">
        <v>126</v>
      </c>
      <c r="D70" s="147">
        <f>1*I71</f>
        <v>62</v>
      </c>
      <c r="E70" s="168" t="s">
        <v>127</v>
      </c>
      <c r="F70" s="152">
        <f>4*I71</f>
        <v>248</v>
      </c>
      <c r="G70" s="138"/>
      <c r="H70" s="153" t="s">
        <v>584</v>
      </c>
      <c r="I70" s="45">
        <f t="array" ref="I70">match(TRUE,ISBLANK(F70:F85),0)-1</f>
        <v>1</v>
      </c>
      <c r="J70" s="154" t="s">
        <v>420</v>
      </c>
      <c r="K70" s="154" t="s">
        <v>585</v>
      </c>
      <c r="L70" s="100" t="s">
        <v>704</v>
      </c>
      <c r="M70" s="147"/>
      <c r="N70" s="147"/>
      <c r="O70" s="147"/>
      <c r="P70" s="147"/>
      <c r="Q70" s="147"/>
      <c r="R70" s="155"/>
      <c r="S70" s="155"/>
      <c r="T70" s="155"/>
      <c r="U70" s="143"/>
      <c r="V70" s="143"/>
      <c r="W70" s="143"/>
      <c r="X70" s="143"/>
      <c r="Y70" s="143"/>
      <c r="Z70" s="143"/>
      <c r="AA70" s="143"/>
      <c r="AB70" s="143"/>
      <c r="AC70" s="143"/>
      <c r="AD70" s="143"/>
      <c r="AE70" s="143"/>
      <c r="AF70" s="143"/>
      <c r="AG70" s="156"/>
      <c r="AH70" s="143"/>
      <c r="AI70" s="143"/>
      <c r="AJ70" s="143"/>
      <c r="AK70" s="143"/>
      <c r="AL70" s="143"/>
      <c r="AM70" s="143"/>
      <c r="AN70" s="143"/>
      <c r="AO70" s="143"/>
      <c r="AP70" s="143"/>
      <c r="AQ70" s="143"/>
      <c r="AR70" s="143"/>
      <c r="AS70" s="143"/>
      <c r="AT70" s="156"/>
      <c r="AU70" s="143"/>
      <c r="AV70" s="143"/>
      <c r="AW70" s="143"/>
      <c r="AX70" s="143"/>
      <c r="AY70" s="143"/>
      <c r="AZ70" s="143"/>
      <c r="BA70" s="143"/>
      <c r="BB70" s="143">
        <f>BB69*AZ69</f>
        <v>90</v>
      </c>
      <c r="BC70" s="143"/>
      <c r="BD70" s="143"/>
      <c r="BE70" s="143"/>
      <c r="BF70" s="143"/>
      <c r="BG70" s="143"/>
      <c r="BH70" s="143"/>
      <c r="BI70" s="149"/>
      <c r="BK70" s="22"/>
      <c r="BM70" s="140" t="s">
        <v>792</v>
      </c>
      <c r="BN70" s="140">
        <v>282240.0</v>
      </c>
      <c r="BO70" s="140">
        <v>4515840.0</v>
      </c>
      <c r="BP70" s="140" t="s">
        <v>792</v>
      </c>
      <c r="BQ70" s="140">
        <v>11760.0</v>
      </c>
      <c r="BR70" s="140">
        <v>735.0</v>
      </c>
      <c r="BS70" s="140" t="s">
        <v>792</v>
      </c>
      <c r="BT70" s="140">
        <v>1.0</v>
      </c>
      <c r="BU70" s="140">
        <v>5.0</v>
      </c>
      <c r="BV70" s="140">
        <v>1.0</v>
      </c>
      <c r="BX70" s="140" t="s">
        <v>792</v>
      </c>
      <c r="BY70" s="6">
        <v>10.0</v>
      </c>
      <c r="BZ70" s="140">
        <v>10.0</v>
      </c>
      <c r="CB70" s="140" t="s">
        <v>792</v>
      </c>
      <c r="CC70" s="6">
        <v>100000.0</v>
      </c>
      <c r="CD70" s="140">
        <v>100000.0</v>
      </c>
    </row>
    <row r="71">
      <c r="B71" s="150"/>
      <c r="C71" s="151"/>
      <c r="D71" s="147"/>
      <c r="E71" s="147"/>
      <c r="F71" s="152"/>
      <c r="G71" s="138"/>
      <c r="H71" s="157" t="s">
        <v>502</v>
      </c>
      <c r="I71" s="170">
        <v>62.0</v>
      </c>
      <c r="J71" s="154" t="s">
        <v>424</v>
      </c>
      <c r="K71" s="154">
        <v>0.0</v>
      </c>
      <c r="L71" s="100">
        <v>0.0</v>
      </c>
      <c r="M71" s="143"/>
      <c r="N71" s="143"/>
      <c r="O71" s="143"/>
      <c r="P71" s="143"/>
      <c r="Q71" s="143"/>
      <c r="R71" s="143"/>
      <c r="S71" s="155"/>
      <c r="T71" s="155"/>
      <c r="U71" s="143"/>
      <c r="V71" s="143"/>
      <c r="W71" s="143"/>
      <c r="X71" s="143"/>
      <c r="Y71" s="143"/>
      <c r="Z71" s="143"/>
      <c r="AA71" s="143"/>
      <c r="AB71" s="143"/>
      <c r="AC71" s="143"/>
      <c r="AD71" s="143"/>
      <c r="AE71" s="143"/>
      <c r="AF71" s="143"/>
      <c r="AG71" s="156"/>
      <c r="AH71" s="143"/>
      <c r="AI71" s="143"/>
      <c r="AJ71" s="143"/>
      <c r="AK71" s="143"/>
      <c r="AL71" s="143"/>
      <c r="AM71" s="143"/>
      <c r="AN71" s="143"/>
      <c r="AO71" s="143"/>
      <c r="AP71" s="143"/>
      <c r="AQ71" s="143"/>
      <c r="AR71" s="143"/>
      <c r="AS71" s="143"/>
      <c r="AT71" s="156"/>
      <c r="AU71" s="143"/>
      <c r="AV71" s="143"/>
      <c r="AW71" s="143"/>
      <c r="AX71" s="143"/>
      <c r="AY71" s="143"/>
      <c r="AZ71" s="143"/>
      <c r="BA71" s="143"/>
      <c r="BB71" s="143"/>
      <c r="BC71" s="143"/>
      <c r="BD71" s="143"/>
      <c r="BE71" s="143"/>
      <c r="BF71" s="143"/>
      <c r="BG71" s="143"/>
      <c r="BH71" s="143"/>
      <c r="BI71" s="149"/>
      <c r="BK71" s="22"/>
      <c r="BM71" s="140" t="s">
        <v>793</v>
      </c>
      <c r="BN71" s="140">
        <v>1754000.0</v>
      </c>
      <c r="BO71" s="140">
        <v>2.8064768E7</v>
      </c>
      <c r="BP71" s="140" t="s">
        <v>793</v>
      </c>
      <c r="BQ71" s="140">
        <v>438500.0</v>
      </c>
      <c r="BR71" s="140">
        <v>27407.0</v>
      </c>
      <c r="BS71" s="140" t="s">
        <v>793</v>
      </c>
      <c r="BT71" s="140">
        <v>1.0</v>
      </c>
      <c r="BU71" s="140">
        <v>5.0</v>
      </c>
      <c r="BV71" s="140">
        <v>1.0</v>
      </c>
      <c r="BX71" s="140" t="s">
        <v>793</v>
      </c>
      <c r="BY71" s="6">
        <v>10.0</v>
      </c>
      <c r="BZ71" s="140">
        <v>10.0</v>
      </c>
      <c r="CB71" s="140" t="s">
        <v>793</v>
      </c>
      <c r="CC71" s="6">
        <v>100000.0</v>
      </c>
      <c r="CD71" s="140">
        <v>100000.0</v>
      </c>
    </row>
    <row r="72">
      <c r="B72" s="135"/>
      <c r="C72" s="136"/>
      <c r="D72" s="137"/>
      <c r="E72" s="137"/>
      <c r="F72" s="137"/>
      <c r="G72" s="138"/>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8"/>
      <c r="AH72" s="137"/>
      <c r="AI72" s="137"/>
      <c r="AJ72" s="137"/>
      <c r="AK72" s="137"/>
      <c r="AL72" s="137"/>
      <c r="AM72" s="137"/>
      <c r="AN72" s="137"/>
      <c r="AO72" s="137"/>
      <c r="AP72" s="137"/>
      <c r="AQ72" s="137"/>
      <c r="AR72" s="137"/>
      <c r="AS72" s="137"/>
      <c r="AT72" s="138"/>
      <c r="AU72" s="137"/>
      <c r="AV72" s="137"/>
      <c r="AW72" s="137"/>
      <c r="AX72" s="137"/>
      <c r="AY72" s="137"/>
      <c r="AZ72" s="137"/>
      <c r="BA72" s="137"/>
      <c r="BB72" s="137"/>
      <c r="BC72" s="137"/>
      <c r="BD72" s="137"/>
      <c r="BE72" s="137"/>
      <c r="BF72" s="137"/>
      <c r="BG72" s="137"/>
      <c r="BH72" s="137"/>
      <c r="BI72" s="139"/>
      <c r="BK72" s="22"/>
      <c r="BM72" s="140" t="s">
        <v>794</v>
      </c>
      <c r="BN72" s="140">
        <v>267600.0</v>
      </c>
      <c r="BO72" s="140">
        <v>4282368.0</v>
      </c>
      <c r="BP72" s="140" t="s">
        <v>794</v>
      </c>
      <c r="BQ72" s="140">
        <v>66900.0</v>
      </c>
      <c r="BR72" s="140">
        <v>4182.0</v>
      </c>
      <c r="BS72" s="140" t="s">
        <v>794</v>
      </c>
      <c r="BT72" s="140">
        <v>1.0</v>
      </c>
      <c r="BU72" s="140">
        <v>5.0</v>
      </c>
      <c r="BV72" s="140">
        <v>1.0</v>
      </c>
      <c r="BX72" s="140" t="s">
        <v>794</v>
      </c>
      <c r="BY72" s="6">
        <v>10.0</v>
      </c>
      <c r="BZ72" s="140">
        <v>10.0</v>
      </c>
      <c r="CB72" s="140" t="s">
        <v>794</v>
      </c>
      <c r="CC72" s="6">
        <v>100000.0</v>
      </c>
      <c r="CD72" s="140">
        <v>100000.0</v>
      </c>
    </row>
    <row r="73">
      <c r="B73" s="31" t="s">
        <v>797</v>
      </c>
      <c r="C73" s="54"/>
      <c r="D73" s="45"/>
      <c r="E73" s="45"/>
      <c r="F73" s="47"/>
      <c r="G73" s="35"/>
      <c r="H73" s="163" t="s">
        <v>285</v>
      </c>
      <c r="I73" s="38" t="str">
        <f>VLOOKUP(H73,'Machine List'!$A$1:$I$300,9,FALSE)</f>
        <v>2T</v>
      </c>
      <c r="J73" s="38">
        <f>IF(VLOOKUP(H73,'Machine List'!$A$1:$I$300,5,FALSE)="Multi",IF(VLOOKUP(H73,'Machine List'!$A$1:$I$300,6,FALSE)="Yes",AI73*3*10^AB73,AI73*(2*3)*10^(AB73-1)),0)</f>
        <v>0</v>
      </c>
      <c r="K73" s="38">
        <f>J73+IF(ISNUMBER(I73),I73,
  SWITCH(
      I73,
      "1T",1*10^AB73,
      "2T",2*10^AB73,
      "3T",3*10^AB73,
      "4T",4*10^AB73,
      "4000+500(7O-5)",4000+500*(7*I74-5),
      "13500 + 16C",13500+16*VLOOKUP(J75,'Machine Helper Sheet'!$G$1:$K$16,5,FALSE),
      1
  )
)</f>
        <v>200</v>
      </c>
      <c r="L73" s="38">
        <f>IF(VLOOKUP(H73,'Machine List'!$A$1:$I$300,5,FALSE)="Multi",IF(VLOOKUP(H73,'Machine List'!$A$1:$I$300,6,FALSE)="Yes",AW73*3*10^AV73,AW73*(2*3)*10^(AV73-1)),0)</f>
        <v>0</v>
      </c>
      <c r="M73" s="38">
        <f>L73+IF(ISNUMBER(I73),I73,
  SWITCH(
      I73,
      "1T",1*10^AV73,
      "2T",2*10^AV73,
      "3T",3*10^AV73,
      "4T",4*10^AV73,
      "4000+500(7O-5)",4000+500*(7*I74-5),
      1
  )
)</f>
        <v>200000</v>
      </c>
      <c r="N73" s="38" t="str">
        <f>VLOOKUP(H73,'Machine List'!$A$1:$I$300,8,FALSE)</f>
        <v>Tier</v>
      </c>
      <c r="O73" s="38">
        <f>IF(ISNUMBER(N73),N73,10^AB73)</f>
        <v>100</v>
      </c>
      <c r="P73" s="38">
        <f>IF(ISNUMBER(N73),N73,10^AV73)</f>
        <v>100000</v>
      </c>
      <c r="Q73" s="38">
        <f>VLOOKUP(H73,'Machine List'!$A$1:$B$138,2,FALSE)</f>
        <v>1</v>
      </c>
      <c r="R73" s="164" t="s">
        <v>277</v>
      </c>
      <c r="S73" s="45">
        <f>IF(ISNUMBER(Q73),Q73,
  SWITCH(
      Q73,
      "1",1,
      "2T",AB73*2,
      "4T",AB73*4,
      "6T",AB73*6,
      "8T",AB73*8,
      "10T",AB73*10,
      "12T",AB73*12,
      "14T",AB73*14,
      "16T",AB73*16,
      "24T",AB73*24,
      "2(T+1)",2*(AB73+1),
      "1T*C",AB73*J75,
      "2*P",L75*2,
      1
  )
)</f>
        <v>1</v>
      </c>
      <c r="T73" s="38" t="s">
        <v>277</v>
      </c>
      <c r="U73" s="38">
        <f>IF(OR(T73="No",T73=""),S73,T73)</f>
        <v>1</v>
      </c>
      <c r="V73" s="38">
        <f>IF(ISNUMBER(Q73),Q73,
  SWITCH(
      Q73,
      "1",1,
      "2T",AV73*2,
      "4T",AV73*4,
      "6T",AV73*6,
      "8T",AV73*8,
      "10T",AV73*10,
      "12T",AV73*12,
      "14T",AV73*14,
      "16T",AV73*16,
      "24T",AV73*24,
      "2(T+1)",2*(AV73+1),
      "1T*C",AV73*J75,
      "2*P",L75*2,
      1
  )
)</f>
        <v>1</v>
      </c>
      <c r="W73" s="38" t="str">
        <f>T73</f>
        <v>No</v>
      </c>
      <c r="X73" s="38">
        <f>IF(OR(W73="No",W73=""),V73,W73)</f>
        <v>1</v>
      </c>
      <c r="Y73" s="38">
        <f>VLOOKUP(H73,'Machine List'!$A$1:$C$138,3,FALSE)</f>
        <v>1</v>
      </c>
      <c r="Z73" s="38">
        <f>VLOOKUP(H73,'Machine List'!$A$1:$D$138,4,FALSE)</f>
        <v>1</v>
      </c>
      <c r="AA73" s="164" t="s">
        <v>393</v>
      </c>
      <c r="AB73" s="38">
        <f>VLOOKUP(AA73,'Item Helper Sheet'!$A$2:$B$16,2,FALSE)</f>
        <v>2</v>
      </c>
      <c r="AC73" s="164">
        <v>120.0</v>
      </c>
      <c r="AD73" s="38">
        <f>16*20</f>
        <v>320</v>
      </c>
      <c r="AE73" s="38">
        <f>AD73*I75</f>
        <v>305280</v>
      </c>
      <c r="AF73" s="38">
        <f>AC73*AE73</f>
        <v>36633600</v>
      </c>
      <c r="AG73" s="75"/>
      <c r="AH73" s="38" t="str">
        <f>AA73</f>
        <v>02 - MV</v>
      </c>
      <c r="AI73" s="38">
        <v>1.0</v>
      </c>
      <c r="AJ73" s="38">
        <v>1.0</v>
      </c>
      <c r="AK73" s="38">
        <f>AJ73*8*4^AB73</f>
        <v>128</v>
      </c>
      <c r="AL73" s="38">
        <f>MIN(ROUNDDOWN(AK73/AN73,0),U73)</f>
        <v>1</v>
      </c>
      <c r="AM73" s="38">
        <f>IF(OR(T73="No",T73=""),AI73*S73,AI73*T73)</f>
        <v>1</v>
      </c>
      <c r="AN73" s="38">
        <f>ROUNDUP(AC73*VLOOKUP(H73,'Machine List'!$A$2:$D$219,4,FALSE),0)</f>
        <v>120</v>
      </c>
      <c r="AO73" s="38">
        <f>AN73*AM73</f>
        <v>120</v>
      </c>
      <c r="AP73" s="38">
        <f>ROUNDUP(AD73*I75,0)</f>
        <v>305280</v>
      </c>
      <c r="AQ73" s="38">
        <f>IF(ISNUMBER(Y73),ROUNDUP(AP73/Y73,0),
  SWITCH(
      Y73,
      "1+0.5C",ROUNDUP(AP73/(1+0.5*VLOOKUP(J75,'Machine Helper Sheet'!$G$1:$K$16,2,FALSE)),0),
      ROUNDUP(AP73/1,0)
  )
)</f>
        <v>305280</v>
      </c>
      <c r="AR73" s="38">
        <f>ROUNDUP(AQ73/AM73,0)</f>
        <v>305280</v>
      </c>
      <c r="AS73" s="38">
        <f>AO73*AR73</f>
        <v>36633600</v>
      </c>
      <c r="AT73" s="75"/>
      <c r="AU73" s="164" t="s">
        <v>405</v>
      </c>
      <c r="AV73" s="38">
        <f>VLOOKUP(AU73,'Item Helper Sheet'!$A$2:$B$16,2,FALSE)</f>
        <v>5</v>
      </c>
      <c r="AW73" s="38">
        <f>AI73</f>
        <v>1</v>
      </c>
      <c r="AX73" s="38">
        <v>1.0</v>
      </c>
      <c r="AY73" s="38">
        <f>AX73*8*4^AV73</f>
        <v>8192</v>
      </c>
      <c r="AZ73" s="38">
        <f>MIN(ROUNDDOWN(AY73/AN73,0),X73)</f>
        <v>1</v>
      </c>
      <c r="BA73" s="38">
        <f>AZ73*AW73</f>
        <v>1</v>
      </c>
      <c r="BB73" s="38">
        <f>AN73</f>
        <v>120</v>
      </c>
      <c r="BC73" s="38">
        <f>MIN(AV73-AB73,IF(AY73&gt;=BB74*4,
IF(AY73&gt;=BB74*4^2,
IF(AY73&gt;=BB74*4^3,
IF(AY73&gt;=BB74*4^4,
IF(AY73&gt;=BB74*4^5,
IF(AY73&gt;=BB74*4^6,
IF(AY73&gt;=BB74*4^7,
IF(AY73&gt;=BB74*4^8,
IF(AY73&gt;=BB74*4^9,
IF(AY73&gt;=BB74*4^10,
9),
8),
7),
6),
5),
4),
3),
2),
1),
0))</f>
        <v>3</v>
      </c>
      <c r="BD73" s="38">
        <f>BB73*AZ73*4^BC73</f>
        <v>7680</v>
      </c>
      <c r="BE73" s="38">
        <f>BD73*AW73</f>
        <v>7680</v>
      </c>
      <c r="BF73" s="45">
        <f>ROUNDUP(IF(R73="Yes",AP73/(2^((BC73)*2)),AP73/(2^(BC73))),0)</f>
        <v>38160</v>
      </c>
      <c r="BG73" s="45">
        <f>IF(ISNUMBER(Y73),ROUNDUP(BF73/Y73,0),
  SWITCH(
      Y73,
      "1+0.5C",ROUNDUP(BF73/(1+0.5*VLOOKUP(J75,'Machine Helper Sheet'!$G$1:$K$16,2,FALSE)),0),
      ROUNDUP(BF73/1,0)
  )
)</f>
        <v>38160</v>
      </c>
      <c r="BH73" s="45">
        <f>ROUNDUP(BG73/BA73,0)</f>
        <v>38160</v>
      </c>
      <c r="BI73" s="46">
        <f>BH73*BE73</f>
        <v>293068800</v>
      </c>
      <c r="BK73" s="22"/>
      <c r="BM73" s="140" t="s">
        <v>795</v>
      </c>
      <c r="BN73" s="140">
        <v>94080.0</v>
      </c>
      <c r="BO73" s="140">
        <v>1505280.0</v>
      </c>
      <c r="BP73" s="140" t="s">
        <v>795</v>
      </c>
      <c r="BQ73" s="140">
        <v>13440.0</v>
      </c>
      <c r="BR73" s="140">
        <v>840.0</v>
      </c>
      <c r="BS73" s="140" t="s">
        <v>795</v>
      </c>
      <c r="BT73" s="140">
        <v>1.0</v>
      </c>
      <c r="BU73" s="140">
        <v>5.0</v>
      </c>
      <c r="BV73" s="140">
        <v>1.0</v>
      </c>
      <c r="BX73" s="140" t="s">
        <v>795</v>
      </c>
      <c r="BY73" s="6">
        <v>20.0</v>
      </c>
      <c r="BZ73" s="140">
        <v>10.0</v>
      </c>
      <c r="CB73" s="140" t="s">
        <v>795</v>
      </c>
      <c r="CC73" s="6">
        <v>200000.0</v>
      </c>
      <c r="CD73" s="140">
        <v>100000.0</v>
      </c>
    </row>
    <row r="74">
      <c r="B74" s="40"/>
      <c r="C74" s="165" t="s">
        <v>234</v>
      </c>
      <c r="D74" s="38">
        <f>4*I75</f>
        <v>3816</v>
      </c>
      <c r="E74" s="164" t="s">
        <v>209</v>
      </c>
      <c r="F74" s="42">
        <f>24*I75</f>
        <v>22896</v>
      </c>
      <c r="G74" s="43"/>
      <c r="H74" s="99" t="s">
        <v>584</v>
      </c>
      <c r="I74" s="45">
        <f t="array" ref="I74">match(TRUE,ISBLANK(F74:F89),0)-1</f>
        <v>1</v>
      </c>
      <c r="J74" s="100" t="s">
        <v>420</v>
      </c>
      <c r="K74" s="100" t="s">
        <v>585</v>
      </c>
      <c r="L74" s="100" t="s">
        <v>704</v>
      </c>
      <c r="M74" s="38"/>
      <c r="N74" s="38"/>
      <c r="O74" s="38"/>
      <c r="P74" s="38"/>
      <c r="Q74" s="38"/>
      <c r="R74" s="101"/>
      <c r="S74" s="101"/>
      <c r="T74" s="101"/>
      <c r="U74" s="45"/>
      <c r="V74" s="45"/>
      <c r="W74" s="45"/>
      <c r="X74" s="45"/>
      <c r="Y74" s="45"/>
      <c r="Z74" s="45"/>
      <c r="AA74" s="45"/>
      <c r="AB74" s="45"/>
      <c r="AC74" s="45"/>
      <c r="AD74" s="45"/>
      <c r="AE74" s="45"/>
      <c r="AF74" s="45"/>
      <c r="AG74" s="79"/>
      <c r="AH74" s="45"/>
      <c r="AI74" s="45"/>
      <c r="AJ74" s="45"/>
      <c r="AK74" s="45"/>
      <c r="AL74" s="45"/>
      <c r="AM74" s="45"/>
      <c r="AN74" s="45"/>
      <c r="AO74" s="45"/>
      <c r="AP74" s="45"/>
      <c r="AQ74" s="45"/>
      <c r="AR74" s="45"/>
      <c r="AS74" s="45"/>
      <c r="AT74" s="79"/>
      <c r="AU74" s="45"/>
      <c r="AV74" s="45"/>
      <c r="AW74" s="45"/>
      <c r="AX74" s="45"/>
      <c r="AY74" s="45"/>
      <c r="AZ74" s="45"/>
      <c r="BA74" s="45"/>
      <c r="BB74" s="45">
        <f>BB73*AZ73</f>
        <v>120</v>
      </c>
      <c r="BC74" s="45"/>
      <c r="BD74" s="45"/>
      <c r="BE74" s="45"/>
      <c r="BF74" s="45"/>
      <c r="BG74" s="45"/>
      <c r="BH74" s="45"/>
      <c r="BI74" s="46"/>
      <c r="BK74" s="22"/>
      <c r="BM74" s="140" t="s">
        <v>796</v>
      </c>
      <c r="BN74" s="140">
        <v>1607040.0</v>
      </c>
      <c r="BO74" s="140">
        <v>1.285632E7</v>
      </c>
      <c r="BP74" s="140" t="s">
        <v>796</v>
      </c>
      <c r="BQ74" s="140">
        <v>17856.0</v>
      </c>
      <c r="BR74" s="140">
        <v>2232.0</v>
      </c>
      <c r="BS74" s="140" t="s">
        <v>796</v>
      </c>
      <c r="BT74" s="140">
        <v>2.0</v>
      </c>
      <c r="BU74" s="140">
        <v>5.0</v>
      </c>
      <c r="BV74" s="140">
        <v>1.0</v>
      </c>
      <c r="BX74" s="140" t="s">
        <v>796</v>
      </c>
      <c r="BY74" s="6">
        <v>100.0</v>
      </c>
      <c r="BZ74" s="140">
        <v>100.0</v>
      </c>
      <c r="CB74" s="140" t="s">
        <v>796</v>
      </c>
      <c r="CC74" s="6">
        <v>100000.0</v>
      </c>
      <c r="CD74" s="140">
        <v>100000.0</v>
      </c>
    </row>
    <row r="75">
      <c r="B75" s="40"/>
      <c r="C75" s="165" t="s">
        <v>18</v>
      </c>
      <c r="D75" s="38">
        <f>2*I75</f>
        <v>1908</v>
      </c>
      <c r="E75" s="38"/>
      <c r="F75" s="42"/>
      <c r="G75" s="43"/>
      <c r="H75" s="56" t="s">
        <v>502</v>
      </c>
      <c r="I75" s="166">
        <v>954.0</v>
      </c>
      <c r="J75" s="100" t="s">
        <v>424</v>
      </c>
      <c r="K75" s="100">
        <v>0.0</v>
      </c>
      <c r="L75" s="100">
        <v>0.0</v>
      </c>
      <c r="M75" s="45"/>
      <c r="N75" s="45"/>
      <c r="O75" s="45"/>
      <c r="P75" s="45"/>
      <c r="Q75" s="45"/>
      <c r="R75" s="45"/>
      <c r="S75" s="101"/>
      <c r="T75" s="101"/>
      <c r="U75" s="45"/>
      <c r="V75" s="45"/>
      <c r="W75" s="45"/>
      <c r="X75" s="45"/>
      <c r="Y75" s="45"/>
      <c r="Z75" s="45"/>
      <c r="AA75" s="45"/>
      <c r="AB75" s="45"/>
      <c r="AC75" s="45"/>
      <c r="AD75" s="45"/>
      <c r="AE75" s="45"/>
      <c r="AF75" s="45"/>
      <c r="AG75" s="79"/>
      <c r="AH75" s="45"/>
      <c r="AI75" s="45"/>
      <c r="AJ75" s="45"/>
      <c r="AK75" s="45"/>
      <c r="AL75" s="45"/>
      <c r="AM75" s="45"/>
      <c r="AN75" s="45"/>
      <c r="AO75" s="45"/>
      <c r="AP75" s="45"/>
      <c r="AQ75" s="45"/>
      <c r="AR75" s="45"/>
      <c r="AS75" s="45"/>
      <c r="AT75" s="79"/>
      <c r="AU75" s="45"/>
      <c r="AV75" s="45"/>
      <c r="AW75" s="45"/>
      <c r="AX75" s="45"/>
      <c r="AY75" s="45"/>
      <c r="AZ75" s="45"/>
      <c r="BA75" s="45"/>
      <c r="BB75" s="45"/>
      <c r="BC75" s="45"/>
      <c r="BD75" s="45"/>
      <c r="BE75" s="45"/>
      <c r="BF75" s="45"/>
      <c r="BG75" s="45"/>
      <c r="BH75" s="45"/>
      <c r="BI75" s="46"/>
      <c r="BK75" s="22"/>
      <c r="BM75" s="6" t="s">
        <v>797</v>
      </c>
      <c r="BN75" s="6">
        <v>3.66336E7</v>
      </c>
      <c r="BO75" s="6">
        <v>2.930688E8</v>
      </c>
      <c r="BP75" s="6" t="s">
        <v>797</v>
      </c>
      <c r="BQ75" s="6">
        <v>305280.0</v>
      </c>
      <c r="BR75" s="6">
        <v>38160.0</v>
      </c>
      <c r="BS75" s="6" t="s">
        <v>797</v>
      </c>
      <c r="BT75" s="6">
        <v>2.0</v>
      </c>
      <c r="BU75" s="6">
        <v>5.0</v>
      </c>
      <c r="BV75" s="6">
        <v>1.0</v>
      </c>
      <c r="BX75" s="6" t="s">
        <v>797</v>
      </c>
      <c r="BY75" s="6">
        <v>200.0</v>
      </c>
      <c r="BZ75" s="6">
        <v>100.0</v>
      </c>
      <c r="CB75" s="6" t="s">
        <v>797</v>
      </c>
      <c r="CC75" s="6">
        <v>200000.0</v>
      </c>
      <c r="CD75" s="6">
        <v>100000.0</v>
      </c>
    </row>
    <row r="76">
      <c r="B76" s="40"/>
      <c r="C76" s="165" t="s">
        <v>157</v>
      </c>
      <c r="D76" s="38">
        <f>144*I75</f>
        <v>137376</v>
      </c>
      <c r="E76" s="38"/>
      <c r="F76" s="42"/>
      <c r="G76" s="43"/>
      <c r="H76" s="44"/>
      <c r="I76" s="45"/>
      <c r="J76" s="45"/>
      <c r="K76" s="45"/>
      <c r="L76" s="45"/>
      <c r="M76" s="45"/>
      <c r="N76" s="45"/>
      <c r="O76" s="45"/>
      <c r="P76" s="45"/>
      <c r="Q76" s="45"/>
      <c r="R76" s="45"/>
      <c r="S76" s="101"/>
      <c r="T76" s="101"/>
      <c r="U76" s="45"/>
      <c r="V76" s="45"/>
      <c r="W76" s="45"/>
      <c r="X76" s="45"/>
      <c r="Y76" s="45"/>
      <c r="Z76" s="45"/>
      <c r="AA76" s="45"/>
      <c r="AB76" s="45"/>
      <c r="AC76" s="45"/>
      <c r="AD76" s="45"/>
      <c r="AE76" s="45"/>
      <c r="AF76" s="45"/>
      <c r="AG76" s="79"/>
      <c r="AH76" s="45"/>
      <c r="AI76" s="45"/>
      <c r="AJ76" s="45"/>
      <c r="AK76" s="45"/>
      <c r="AL76" s="45"/>
      <c r="AM76" s="45"/>
      <c r="AN76" s="45"/>
      <c r="AO76" s="45"/>
      <c r="AP76" s="45"/>
      <c r="AQ76" s="45"/>
      <c r="AR76" s="45"/>
      <c r="AS76" s="45"/>
      <c r="AT76" s="79"/>
      <c r="AU76" s="45"/>
      <c r="AV76" s="45"/>
      <c r="AW76" s="45"/>
      <c r="AX76" s="45"/>
      <c r="AY76" s="45"/>
      <c r="AZ76" s="45"/>
      <c r="BA76" s="45"/>
      <c r="BB76" s="45"/>
      <c r="BC76" s="45"/>
      <c r="BD76" s="45"/>
      <c r="BE76" s="45"/>
      <c r="BF76" s="45"/>
      <c r="BG76" s="45"/>
      <c r="BH76" s="45"/>
      <c r="BI76" s="46"/>
      <c r="BK76" s="22"/>
      <c r="BM76" s="6" t="s">
        <v>798</v>
      </c>
      <c r="BN76" s="6">
        <v>2.56896E7</v>
      </c>
      <c r="BO76" s="6">
        <v>2.055168E8</v>
      </c>
      <c r="BP76" s="6" t="s">
        <v>798</v>
      </c>
      <c r="BQ76" s="6">
        <v>214080.0</v>
      </c>
      <c r="BR76" s="6">
        <v>26760.0</v>
      </c>
      <c r="BS76" s="6" t="s">
        <v>798</v>
      </c>
      <c r="BT76" s="6">
        <v>2.0</v>
      </c>
      <c r="BU76" s="6">
        <v>5.0</v>
      </c>
      <c r="BV76" s="6">
        <v>1.0</v>
      </c>
      <c r="BX76" s="6" t="s">
        <v>798</v>
      </c>
      <c r="BY76" s="6">
        <v>200.0</v>
      </c>
      <c r="BZ76" s="6">
        <v>100.0</v>
      </c>
      <c r="CB76" s="6" t="s">
        <v>798</v>
      </c>
      <c r="CC76" s="6">
        <v>200000.0</v>
      </c>
      <c r="CD76" s="6">
        <v>100000.0</v>
      </c>
    </row>
    <row r="77">
      <c r="B77" s="135"/>
      <c r="C77" s="136"/>
      <c r="D77" s="137"/>
      <c r="E77" s="137"/>
      <c r="F77" s="137"/>
      <c r="G77" s="138"/>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8"/>
      <c r="AH77" s="137"/>
      <c r="AI77" s="137"/>
      <c r="AJ77" s="137"/>
      <c r="AK77" s="137"/>
      <c r="AL77" s="137"/>
      <c r="AM77" s="137"/>
      <c r="AN77" s="137"/>
      <c r="AO77" s="137"/>
      <c r="AP77" s="137"/>
      <c r="AQ77" s="137"/>
      <c r="AR77" s="137"/>
      <c r="AS77" s="137"/>
      <c r="AT77" s="138"/>
      <c r="AU77" s="137"/>
      <c r="AV77" s="137"/>
      <c r="AW77" s="137"/>
      <c r="AX77" s="137"/>
      <c r="AY77" s="137"/>
      <c r="AZ77" s="137"/>
      <c r="BA77" s="137"/>
      <c r="BB77" s="137"/>
      <c r="BC77" s="137"/>
      <c r="BD77" s="137"/>
      <c r="BE77" s="137"/>
      <c r="BF77" s="137"/>
      <c r="BG77" s="137"/>
      <c r="BH77" s="137"/>
      <c r="BI77" s="139"/>
      <c r="BK77" s="22"/>
      <c r="BM77" s="6" t="s">
        <v>799</v>
      </c>
      <c r="BN77" s="6">
        <v>9446400.0</v>
      </c>
      <c r="BO77" s="6">
        <v>7.55712E7</v>
      </c>
      <c r="BP77" s="6" t="s">
        <v>799</v>
      </c>
      <c r="BQ77" s="6">
        <v>78720.0</v>
      </c>
      <c r="BR77" s="6">
        <v>9840.0</v>
      </c>
      <c r="BS77" s="6" t="s">
        <v>799</v>
      </c>
      <c r="BT77" s="6">
        <v>2.0</v>
      </c>
      <c r="BU77" s="6">
        <v>5.0</v>
      </c>
      <c r="BV77" s="6">
        <v>1.0</v>
      </c>
      <c r="BX77" s="6" t="s">
        <v>799</v>
      </c>
      <c r="BY77" s="6">
        <v>200.0</v>
      </c>
      <c r="BZ77" s="6">
        <v>100.0</v>
      </c>
      <c r="CB77" s="6" t="s">
        <v>799</v>
      </c>
      <c r="CC77" s="6">
        <v>200000.0</v>
      </c>
      <c r="CD77" s="6">
        <v>100000.0</v>
      </c>
    </row>
    <row r="78">
      <c r="B78" s="31" t="s">
        <v>798</v>
      </c>
      <c r="C78" s="54"/>
      <c r="D78" s="45"/>
      <c r="E78" s="45"/>
      <c r="F78" s="47"/>
      <c r="G78" s="35"/>
      <c r="H78" s="163" t="s">
        <v>285</v>
      </c>
      <c r="I78" s="38" t="str">
        <f>VLOOKUP(H78,'Machine List'!$A$1:$I$300,9,FALSE)</f>
        <v>2T</v>
      </c>
      <c r="J78" s="38">
        <f>IF(VLOOKUP(H78,'Machine List'!$A$1:$I$300,5,FALSE)="Multi",IF(VLOOKUP(H78,'Machine List'!$A$1:$I$300,6,FALSE)="Yes",AI78*3*10^AB78,AI78*(2*3)*10^(AB78-1)),0)</f>
        <v>0</v>
      </c>
      <c r="K78" s="38">
        <f>J78+IF(ISNUMBER(I78),I78,
  SWITCH(
      I78,
      "1T",1*10^AB78,
      "2T",2*10^AB78,
      "3T",3*10^AB78,
      "4T",4*10^AB78,
      "4000+500(7O-5)",4000+500*(7*I79-5),
      "13500 + 16C",13500+16*VLOOKUP(J80,'Machine Helper Sheet'!$G$1:$K$16,5,FALSE),
      1
  )
)</f>
        <v>200</v>
      </c>
      <c r="L78" s="38">
        <f>IF(VLOOKUP(H78,'Machine List'!$A$1:$I$300,5,FALSE)="Multi",IF(VLOOKUP(H78,'Machine List'!$A$1:$I$300,6,FALSE)="Yes",AW78*3*10^AV78,AW78*(2*3)*10^(AV78-1)),0)</f>
        <v>0</v>
      </c>
      <c r="M78" s="38">
        <f>L78+IF(ISNUMBER(I78),I78,
  SWITCH(
      I78,
      "1T",1*10^AV78,
      "2T",2*10^AV78,
      "3T",3*10^AV78,
      "4T",4*10^AV78,
      "4000+500(7O-5)",4000+500*(7*I79-5),
      1
  )
)</f>
        <v>200000</v>
      </c>
      <c r="N78" s="38" t="str">
        <f>VLOOKUP(H78,'Machine List'!$A$1:$I$300,8,FALSE)</f>
        <v>Tier</v>
      </c>
      <c r="O78" s="38">
        <f>IF(ISNUMBER(N78),N78,10^AB78)</f>
        <v>100</v>
      </c>
      <c r="P78" s="38">
        <f>IF(ISNUMBER(N78),N78,10^AV78)</f>
        <v>100000</v>
      </c>
      <c r="Q78" s="38">
        <f>VLOOKUP(H78,'Machine List'!$A$1:$B$138,2,FALSE)</f>
        <v>1</v>
      </c>
      <c r="R78" s="164" t="s">
        <v>277</v>
      </c>
      <c r="S78" s="45">
        <f>IF(ISNUMBER(Q78),Q78,
  SWITCH(
      Q78,
      "1",1,
      "2T",AB78*2,
      "4T",AB78*4,
      "6T",AB78*6,
      "8T",AB78*8,
      "10T",AB78*10,
      "12T",AB78*12,
      "14T",AB78*14,
      "16T",AB78*16,
      "24T",AB78*24,
      "2(T+1)",2*(AB78+1),
      "1T*C",AB78*J80,
      "2*P",L80*2,
      1
  )
)</f>
        <v>1</v>
      </c>
      <c r="T78" s="38" t="s">
        <v>277</v>
      </c>
      <c r="U78" s="38">
        <f>IF(OR(T78="No",T78=""),S78,T78)</f>
        <v>1</v>
      </c>
      <c r="V78" s="38">
        <f>IF(ISNUMBER(Q78),Q78,
  SWITCH(
      Q78,
      "1",1,
      "2T",AV78*2,
      "4T",AV78*4,
      "6T",AV78*6,
      "8T",AV78*8,
      "10T",AV78*10,
      "12T",AV78*12,
      "14T",AV78*14,
      "16T",AV78*16,
      "24T",AV78*24,
      "2(T+1)",2*(AV78+1),
      "1T*C",AV78*J80,
      "2*P",L80*2,
      1
  )
)</f>
        <v>1</v>
      </c>
      <c r="W78" s="38" t="str">
        <f>T78</f>
        <v>No</v>
      </c>
      <c r="X78" s="38">
        <f>IF(OR(W78="No",W78=""),V78,W78)</f>
        <v>1</v>
      </c>
      <c r="Y78" s="38">
        <f>VLOOKUP(H78,'Machine List'!$A$1:$C$138,3,FALSE)</f>
        <v>1</v>
      </c>
      <c r="Z78" s="38">
        <f>VLOOKUP(H78,'Machine List'!$A$1:$D$138,4,FALSE)</f>
        <v>1</v>
      </c>
      <c r="AA78" s="164" t="s">
        <v>393</v>
      </c>
      <c r="AB78" s="38">
        <f>VLOOKUP(AA78,'Item Helper Sheet'!$A$2:$B$16,2,FALSE)</f>
        <v>2</v>
      </c>
      <c r="AC78" s="164">
        <v>120.0</v>
      </c>
      <c r="AD78" s="38">
        <f>16*20</f>
        <v>320</v>
      </c>
      <c r="AE78" s="38">
        <f>AD78*I80</f>
        <v>214080</v>
      </c>
      <c r="AF78" s="38">
        <f>AC78*AE78</f>
        <v>25689600</v>
      </c>
      <c r="AG78" s="75"/>
      <c r="AH78" s="38" t="str">
        <f>AA78</f>
        <v>02 - MV</v>
      </c>
      <c r="AI78" s="38">
        <v>1.0</v>
      </c>
      <c r="AJ78" s="38">
        <v>1.0</v>
      </c>
      <c r="AK78" s="38">
        <f>AJ78*8*4^AB78</f>
        <v>128</v>
      </c>
      <c r="AL78" s="38">
        <f>MIN(ROUNDDOWN(AK78/AN78,0),U78)</f>
        <v>1</v>
      </c>
      <c r="AM78" s="38">
        <f>IF(OR(T78="No",T78=""),AI78*S78,AI78*T78)</f>
        <v>1</v>
      </c>
      <c r="AN78" s="38">
        <f>ROUNDUP(AC78*VLOOKUP(H78,'Machine List'!$A$2:$D$219,4,FALSE),0)</f>
        <v>120</v>
      </c>
      <c r="AO78" s="38">
        <f>AN78*AM78</f>
        <v>120</v>
      </c>
      <c r="AP78" s="38">
        <f>ROUNDUP(AD78*I80,0)</f>
        <v>214080</v>
      </c>
      <c r="AQ78" s="38">
        <f>IF(ISNUMBER(Y78),ROUNDUP(AP78/Y78,0),
  SWITCH(
      Y78,
      "1+0.5C",ROUNDUP(AP78/(1+0.5*VLOOKUP(J80,'Machine Helper Sheet'!$G$1:$K$16,2,FALSE)),0),
      ROUNDUP(AP78/1,0)
  )
)</f>
        <v>214080</v>
      </c>
      <c r="AR78" s="38">
        <f>ROUNDUP(AQ78/AM78,0)</f>
        <v>214080</v>
      </c>
      <c r="AS78" s="38">
        <f>AO78*AR78</f>
        <v>25689600</v>
      </c>
      <c r="AT78" s="75"/>
      <c r="AU78" s="164" t="s">
        <v>405</v>
      </c>
      <c r="AV78" s="38">
        <f>VLOOKUP(AU78,'Item Helper Sheet'!$A$2:$B$16,2,FALSE)</f>
        <v>5</v>
      </c>
      <c r="AW78" s="38">
        <f>AI78</f>
        <v>1</v>
      </c>
      <c r="AX78" s="38">
        <v>1.0</v>
      </c>
      <c r="AY78" s="38">
        <f>AX78*8*4^AV78</f>
        <v>8192</v>
      </c>
      <c r="AZ78" s="38">
        <f>MIN(ROUNDDOWN(AY78/AN78,0),X78)</f>
        <v>1</v>
      </c>
      <c r="BA78" s="38">
        <f>AZ78*AW78</f>
        <v>1</v>
      </c>
      <c r="BB78" s="38">
        <f>AN78</f>
        <v>120</v>
      </c>
      <c r="BC78" s="38">
        <f>MIN(AV78-AB78,IF(AY78&gt;=BB79*4,
IF(AY78&gt;=BB79*4^2,
IF(AY78&gt;=BB79*4^3,
IF(AY78&gt;=BB79*4^4,
IF(AY78&gt;=BB79*4^5,
IF(AY78&gt;=BB79*4^6,
IF(AY78&gt;=BB79*4^7,
IF(AY78&gt;=BB79*4^8,
IF(AY78&gt;=BB79*4^9,
IF(AY78&gt;=BB79*4^10,
9),
8),
7),
6),
5),
4),
3),
2),
1),
0))</f>
        <v>3</v>
      </c>
      <c r="BD78" s="38">
        <f>BB78*AZ78*4^BC78</f>
        <v>7680</v>
      </c>
      <c r="BE78" s="38">
        <f>BD78*AW78</f>
        <v>7680</v>
      </c>
      <c r="BF78" s="45">
        <f>ROUNDUP(IF(R78="Yes",AP78/(2^((BC78)*2)),AP78/(2^(BC78))),0)</f>
        <v>26760</v>
      </c>
      <c r="BG78" s="45">
        <f>IF(ISNUMBER(Y78),ROUNDUP(BF78/Y78,0),
  SWITCH(
      Y78,
      "1+0.5C",ROUNDUP(BF78/(1+0.5*VLOOKUP(J80,'Machine Helper Sheet'!$G$1:$K$16,2,FALSE)),0),
      ROUNDUP(BF78/1,0)
  )
)</f>
        <v>26760</v>
      </c>
      <c r="BH78" s="45">
        <f>ROUNDUP(BG78/BA78,0)</f>
        <v>26760</v>
      </c>
      <c r="BI78" s="46">
        <f>BH78*BE78</f>
        <v>205516800</v>
      </c>
      <c r="BK78" s="22"/>
      <c r="BM78" s="6" t="s">
        <v>800</v>
      </c>
      <c r="BN78" s="6">
        <v>3888000.0</v>
      </c>
      <c r="BO78" s="6">
        <v>3.1104E7</v>
      </c>
      <c r="BP78" s="6" t="s">
        <v>800</v>
      </c>
      <c r="BQ78" s="6">
        <v>32400.0</v>
      </c>
      <c r="BR78" s="6">
        <v>4050.0</v>
      </c>
      <c r="BS78" s="6" t="s">
        <v>800</v>
      </c>
      <c r="BT78" s="6">
        <v>2.0</v>
      </c>
      <c r="BU78" s="6">
        <v>5.0</v>
      </c>
      <c r="BV78" s="6">
        <v>1.0</v>
      </c>
      <c r="BX78" s="6" t="s">
        <v>800</v>
      </c>
      <c r="BY78" s="6">
        <v>200.0</v>
      </c>
      <c r="BZ78" s="6">
        <v>100.0</v>
      </c>
      <c r="CB78" s="6" t="s">
        <v>800</v>
      </c>
      <c r="CC78" s="6">
        <v>200000.0</v>
      </c>
      <c r="CD78" s="6">
        <v>100000.0</v>
      </c>
    </row>
    <row r="79">
      <c r="B79" s="40"/>
      <c r="C79" s="165" t="s">
        <v>76</v>
      </c>
      <c r="D79" s="38">
        <f>1*I80</f>
        <v>669</v>
      </c>
      <c r="E79" s="164" t="s">
        <v>212</v>
      </c>
      <c r="F79" s="42">
        <f>16*I80</f>
        <v>10704</v>
      </c>
      <c r="G79" s="43"/>
      <c r="H79" s="99" t="s">
        <v>584</v>
      </c>
      <c r="I79" s="45">
        <f t="array" ref="I79">match(TRUE,ISBLANK(F79:F94),0)-1</f>
        <v>1</v>
      </c>
      <c r="J79" s="100" t="s">
        <v>420</v>
      </c>
      <c r="K79" s="100" t="s">
        <v>585</v>
      </c>
      <c r="L79" s="100" t="s">
        <v>704</v>
      </c>
      <c r="M79" s="38"/>
      <c r="N79" s="38"/>
      <c r="O79" s="38"/>
      <c r="P79" s="38"/>
      <c r="Q79" s="38"/>
      <c r="R79" s="101"/>
      <c r="S79" s="101"/>
      <c r="T79" s="101"/>
      <c r="U79" s="45"/>
      <c r="V79" s="45"/>
      <c r="W79" s="45"/>
      <c r="X79" s="45"/>
      <c r="Y79" s="45"/>
      <c r="Z79" s="45"/>
      <c r="AA79" s="45"/>
      <c r="AB79" s="45"/>
      <c r="AC79" s="45"/>
      <c r="AD79" s="45"/>
      <c r="AE79" s="45"/>
      <c r="AF79" s="45"/>
      <c r="AG79" s="79"/>
      <c r="AH79" s="45"/>
      <c r="AI79" s="45"/>
      <c r="AJ79" s="45"/>
      <c r="AK79" s="45"/>
      <c r="AL79" s="45"/>
      <c r="AM79" s="45"/>
      <c r="AN79" s="45"/>
      <c r="AO79" s="45"/>
      <c r="AP79" s="45"/>
      <c r="AQ79" s="45"/>
      <c r="AR79" s="45"/>
      <c r="AS79" s="45"/>
      <c r="AT79" s="79"/>
      <c r="AU79" s="45"/>
      <c r="AV79" s="45"/>
      <c r="AW79" s="45"/>
      <c r="AX79" s="45"/>
      <c r="AY79" s="45"/>
      <c r="AZ79" s="45"/>
      <c r="BA79" s="45"/>
      <c r="BB79" s="45">
        <f>BB78*AZ78</f>
        <v>120</v>
      </c>
      <c r="BC79" s="45"/>
      <c r="BD79" s="45"/>
      <c r="BE79" s="45"/>
      <c r="BF79" s="45"/>
      <c r="BG79" s="45"/>
      <c r="BH79" s="45"/>
      <c r="BI79" s="46"/>
      <c r="BK79" s="22"/>
      <c r="BM79" s="140" t="s">
        <v>801</v>
      </c>
      <c r="BN79" s="140">
        <v>672000.0</v>
      </c>
      <c r="BO79" s="140">
        <v>5376000.0</v>
      </c>
      <c r="BP79" s="140" t="s">
        <v>801</v>
      </c>
      <c r="BQ79" s="140">
        <v>5600.0</v>
      </c>
      <c r="BR79" s="140">
        <v>700.0</v>
      </c>
      <c r="BS79" s="140" t="s">
        <v>801</v>
      </c>
      <c r="BT79" s="140">
        <v>2.0</v>
      </c>
      <c r="BU79" s="140">
        <v>5.0</v>
      </c>
      <c r="BV79" s="140">
        <v>1.0</v>
      </c>
      <c r="BX79" s="140" t="s">
        <v>801</v>
      </c>
      <c r="BY79" s="6">
        <v>100.0</v>
      </c>
      <c r="BZ79" s="140">
        <v>100.0</v>
      </c>
      <c r="CB79" s="140" t="s">
        <v>801</v>
      </c>
      <c r="CC79" s="6">
        <v>100000.0</v>
      </c>
      <c r="CD79" s="140">
        <v>100000.0</v>
      </c>
    </row>
    <row r="80">
      <c r="B80" s="40"/>
      <c r="C80" s="165" t="s">
        <v>67</v>
      </c>
      <c r="D80" s="38">
        <f>8*I80</f>
        <v>5352</v>
      </c>
      <c r="E80" s="38"/>
      <c r="F80" s="42"/>
      <c r="G80" s="43"/>
      <c r="H80" s="56" t="s">
        <v>502</v>
      </c>
      <c r="I80" s="166">
        <v>669.0</v>
      </c>
      <c r="J80" s="100" t="s">
        <v>424</v>
      </c>
      <c r="K80" s="100">
        <v>0.0</v>
      </c>
      <c r="L80" s="100">
        <v>0.0</v>
      </c>
      <c r="M80" s="45"/>
      <c r="N80" s="45"/>
      <c r="O80" s="45"/>
      <c r="P80" s="45"/>
      <c r="Q80" s="45"/>
      <c r="R80" s="45"/>
      <c r="S80" s="101"/>
      <c r="T80" s="101"/>
      <c r="U80" s="45"/>
      <c r="V80" s="45"/>
      <c r="W80" s="45"/>
      <c r="X80" s="45"/>
      <c r="Y80" s="45"/>
      <c r="Z80" s="45"/>
      <c r="AA80" s="45"/>
      <c r="AB80" s="45"/>
      <c r="AC80" s="45"/>
      <c r="AD80" s="45"/>
      <c r="AE80" s="45"/>
      <c r="AF80" s="45"/>
      <c r="AG80" s="79"/>
      <c r="AH80" s="45"/>
      <c r="AI80" s="45"/>
      <c r="AJ80" s="45"/>
      <c r="AK80" s="45"/>
      <c r="AL80" s="45"/>
      <c r="AM80" s="45"/>
      <c r="AN80" s="45"/>
      <c r="AO80" s="45"/>
      <c r="AP80" s="45"/>
      <c r="AQ80" s="45"/>
      <c r="AR80" s="45"/>
      <c r="AS80" s="45"/>
      <c r="AT80" s="79"/>
      <c r="AU80" s="45"/>
      <c r="AV80" s="45"/>
      <c r="AW80" s="45"/>
      <c r="AX80" s="45"/>
      <c r="AY80" s="45"/>
      <c r="AZ80" s="45"/>
      <c r="BA80" s="45"/>
      <c r="BB80" s="45"/>
      <c r="BC80" s="45"/>
      <c r="BD80" s="45"/>
      <c r="BE80" s="45"/>
      <c r="BF80" s="45"/>
      <c r="BG80" s="45"/>
      <c r="BH80" s="45"/>
      <c r="BI80" s="46"/>
      <c r="BK80" s="22"/>
      <c r="BM80" s="140" t="s">
        <v>802</v>
      </c>
      <c r="BN80" s="140">
        <v>3.6288E7</v>
      </c>
      <c r="BO80" s="140">
        <v>1.45152E8</v>
      </c>
      <c r="BP80" s="140" t="s">
        <v>802</v>
      </c>
      <c r="BQ80" s="140">
        <v>75600.0</v>
      </c>
      <c r="BR80" s="140">
        <v>18900.0</v>
      </c>
      <c r="BS80" s="140" t="s">
        <v>802</v>
      </c>
      <c r="BT80" s="140">
        <v>3.0</v>
      </c>
      <c r="BU80" s="140">
        <v>5.0</v>
      </c>
      <c r="BV80" s="140">
        <v>1.0</v>
      </c>
      <c r="BX80" s="140" t="s">
        <v>802</v>
      </c>
      <c r="BY80" s="6">
        <v>1000.0</v>
      </c>
      <c r="BZ80" s="140">
        <v>1000.0</v>
      </c>
      <c r="CB80" s="140" t="s">
        <v>802</v>
      </c>
      <c r="CC80" s="6">
        <v>100000.0</v>
      </c>
      <c r="CD80" s="140">
        <v>100000.0</v>
      </c>
    </row>
    <row r="81">
      <c r="B81" s="40"/>
      <c r="C81" s="165" t="s">
        <v>157</v>
      </c>
      <c r="D81" s="38">
        <f>288*I80</f>
        <v>192672</v>
      </c>
      <c r="E81" s="38"/>
      <c r="F81" s="42"/>
      <c r="G81" s="43"/>
      <c r="H81" s="44"/>
      <c r="I81" s="45"/>
      <c r="J81" s="45"/>
      <c r="K81" s="45"/>
      <c r="L81" s="45"/>
      <c r="M81" s="45"/>
      <c r="N81" s="45"/>
      <c r="O81" s="45"/>
      <c r="P81" s="45"/>
      <c r="Q81" s="45"/>
      <c r="R81" s="45"/>
      <c r="S81" s="101"/>
      <c r="T81" s="101"/>
      <c r="U81" s="45"/>
      <c r="V81" s="45"/>
      <c r="W81" s="45"/>
      <c r="X81" s="45"/>
      <c r="Y81" s="45"/>
      <c r="Z81" s="45"/>
      <c r="AA81" s="45"/>
      <c r="AB81" s="45"/>
      <c r="AC81" s="45"/>
      <c r="AD81" s="45"/>
      <c r="AE81" s="45"/>
      <c r="AF81" s="45"/>
      <c r="AG81" s="79"/>
      <c r="AH81" s="45"/>
      <c r="AI81" s="45"/>
      <c r="AJ81" s="45"/>
      <c r="AK81" s="45"/>
      <c r="AL81" s="45"/>
      <c r="AM81" s="45"/>
      <c r="AN81" s="45"/>
      <c r="AO81" s="45"/>
      <c r="AP81" s="45"/>
      <c r="AQ81" s="45"/>
      <c r="AR81" s="45"/>
      <c r="AS81" s="45"/>
      <c r="AT81" s="79"/>
      <c r="AU81" s="45"/>
      <c r="AV81" s="45"/>
      <c r="AW81" s="45"/>
      <c r="AX81" s="45"/>
      <c r="AY81" s="45"/>
      <c r="AZ81" s="45"/>
      <c r="BA81" s="45"/>
      <c r="BB81" s="45"/>
      <c r="BC81" s="45"/>
      <c r="BD81" s="45"/>
      <c r="BE81" s="45"/>
      <c r="BF81" s="45"/>
      <c r="BG81" s="45"/>
      <c r="BH81" s="45"/>
      <c r="BI81" s="46"/>
      <c r="BK81" s="22"/>
      <c r="BM81" s="6" t="s">
        <v>803</v>
      </c>
      <c r="BN81" s="6">
        <v>7.7184E8</v>
      </c>
      <c r="BO81" s="6">
        <v>7.7184E8</v>
      </c>
      <c r="BP81" s="6" t="s">
        <v>803</v>
      </c>
      <c r="BQ81" s="6">
        <v>402000.0</v>
      </c>
      <c r="BR81" s="6">
        <v>100500.0</v>
      </c>
      <c r="BS81" s="6" t="s">
        <v>803</v>
      </c>
      <c r="BT81" s="6">
        <v>4.0</v>
      </c>
      <c r="BU81" s="6">
        <v>5.0</v>
      </c>
      <c r="BV81" s="6">
        <v>1.0</v>
      </c>
      <c r="BX81" s="6" t="s">
        <v>803</v>
      </c>
      <c r="BY81" s="6">
        <v>10000.0</v>
      </c>
      <c r="BZ81" s="6">
        <v>10000.0</v>
      </c>
      <c r="CB81" s="6" t="s">
        <v>803</v>
      </c>
      <c r="CC81" s="6">
        <v>64000.0</v>
      </c>
      <c r="CD81" s="6">
        <v>100000.0</v>
      </c>
    </row>
    <row r="82">
      <c r="B82" s="135"/>
      <c r="C82" s="136"/>
      <c r="D82" s="137"/>
      <c r="E82" s="137"/>
      <c r="F82" s="137"/>
      <c r="G82" s="138"/>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8"/>
      <c r="AH82" s="137"/>
      <c r="AI82" s="137"/>
      <c r="AJ82" s="137"/>
      <c r="AK82" s="137"/>
      <c r="AL82" s="137"/>
      <c r="AM82" s="137"/>
      <c r="AN82" s="137"/>
      <c r="AO82" s="137"/>
      <c r="AP82" s="137"/>
      <c r="AQ82" s="137"/>
      <c r="AR82" s="137"/>
      <c r="AS82" s="137"/>
      <c r="AT82" s="138"/>
      <c r="AU82" s="137"/>
      <c r="AV82" s="137"/>
      <c r="AW82" s="137"/>
      <c r="AX82" s="137"/>
      <c r="AY82" s="137"/>
      <c r="AZ82" s="137"/>
      <c r="BA82" s="137"/>
      <c r="BB82" s="137"/>
      <c r="BC82" s="137"/>
      <c r="BD82" s="137"/>
      <c r="BE82" s="137"/>
      <c r="BF82" s="137"/>
      <c r="BG82" s="137"/>
      <c r="BH82" s="137"/>
      <c r="BI82" s="139"/>
      <c r="BK82" s="22"/>
      <c r="BM82" s="140" t="s">
        <v>804</v>
      </c>
      <c r="BN82" s="140">
        <v>4.8384E7</v>
      </c>
      <c r="BO82" s="140">
        <v>1.93536E8</v>
      </c>
      <c r="BP82" s="140" t="s">
        <v>804</v>
      </c>
      <c r="BQ82" s="140">
        <v>100800.0</v>
      </c>
      <c r="BR82" s="140">
        <v>25200.0</v>
      </c>
      <c r="BS82" s="140" t="s">
        <v>804</v>
      </c>
      <c r="BT82" s="140">
        <v>3.0</v>
      </c>
      <c r="BU82" s="140">
        <v>5.0</v>
      </c>
      <c r="BV82" s="140">
        <v>1.0</v>
      </c>
      <c r="BX82" s="140" t="s">
        <v>804</v>
      </c>
      <c r="BY82" s="6">
        <v>1000.0</v>
      </c>
      <c r="BZ82" s="140">
        <v>1000.0</v>
      </c>
      <c r="CB82" s="140" t="s">
        <v>804</v>
      </c>
      <c r="CC82" s="6">
        <v>100000.0</v>
      </c>
      <c r="CD82" s="140">
        <v>100000.0</v>
      </c>
    </row>
    <row r="83">
      <c r="B83" s="31" t="s">
        <v>799</v>
      </c>
      <c r="C83" s="54"/>
      <c r="D83" s="45"/>
      <c r="E83" s="45"/>
      <c r="F83" s="47"/>
      <c r="G83" s="35"/>
      <c r="H83" s="163" t="s">
        <v>285</v>
      </c>
      <c r="I83" s="38" t="str">
        <f>VLOOKUP(H83,'Machine List'!$A$1:$I$300,9,FALSE)</f>
        <v>2T</v>
      </c>
      <c r="J83" s="38">
        <f>IF(VLOOKUP(H83,'Machine List'!$A$1:$I$300,5,FALSE)="Multi",IF(VLOOKUP(H83,'Machine List'!$A$1:$I$300,6,FALSE)="Yes",AI83*3*10^AB83,AI83*(2*3)*10^(AB83-1)),0)</f>
        <v>0</v>
      </c>
      <c r="K83" s="38">
        <f>J83+IF(ISNUMBER(I83),I83,
  SWITCH(
      I83,
      "1T",1*10^AB83,
      "2T",2*10^AB83,
      "3T",3*10^AB83,
      "4T",4*10^AB83,
      "4000+500(7O-5)",4000+500*(7*I84-5),
      "13500 + 16C",13500+16*VLOOKUP(J85,'Machine Helper Sheet'!$G$1:$K$16,5,FALSE),
      1
  )
)</f>
        <v>200</v>
      </c>
      <c r="L83" s="38">
        <f>IF(VLOOKUP(H83,'Machine List'!$A$1:$I$300,5,FALSE)="Multi",IF(VLOOKUP(H83,'Machine List'!$A$1:$I$300,6,FALSE)="Yes",AW83*3*10^AV83,AW83*(2*3)*10^(AV83-1)),0)</f>
        <v>0</v>
      </c>
      <c r="M83" s="38">
        <f>L83+IF(ISNUMBER(I83),I83,
  SWITCH(
      I83,
      "1T",1*10^AV83,
      "2T",2*10^AV83,
      "3T",3*10^AV83,
      "4T",4*10^AV83,
      "4000+500(7O-5)",4000+500*(7*I84-5),
      1
  )
)</f>
        <v>200000</v>
      </c>
      <c r="N83" s="38" t="str">
        <f>VLOOKUP(H83,'Machine List'!$A$1:$I$300,8,FALSE)</f>
        <v>Tier</v>
      </c>
      <c r="O83" s="38">
        <f>IF(ISNUMBER(N83),N83,10^AB83)</f>
        <v>100</v>
      </c>
      <c r="P83" s="38">
        <f>IF(ISNUMBER(N83),N83,10^AV83)</f>
        <v>100000</v>
      </c>
      <c r="Q83" s="38">
        <f>VLOOKUP(H83,'Machine List'!$A$1:$B$138,2,FALSE)</f>
        <v>1</v>
      </c>
      <c r="R83" s="164" t="s">
        <v>277</v>
      </c>
      <c r="S83" s="45">
        <f>IF(ISNUMBER(Q83),Q83,
  SWITCH(
      Q83,
      "1",1,
      "2T",AB83*2,
      "4T",AB83*4,
      "6T",AB83*6,
      "8T",AB83*8,
      "10T",AB83*10,
      "12T",AB83*12,
      "14T",AB83*14,
      "16T",AB83*16,
      "24T",AB83*24,
      "2(T+1)",2*(AB83+1),
      "1T*C",AB83*J85,
      "2*P",L85*2,
      1
  )
)</f>
        <v>1</v>
      </c>
      <c r="T83" s="38" t="s">
        <v>277</v>
      </c>
      <c r="U83" s="38">
        <f>IF(OR(T83="No",T83=""),S83,T83)</f>
        <v>1</v>
      </c>
      <c r="V83" s="38">
        <f>IF(ISNUMBER(Q83),Q83,
  SWITCH(
      Q83,
      "1",1,
      "2T",AV83*2,
      "4T",AV83*4,
      "6T",AV83*6,
      "8T",AV83*8,
      "10T",AV83*10,
      "12T",AV83*12,
      "14T",AV83*14,
      "16T",AV83*16,
      "24T",AV83*24,
      "2(T+1)",2*(AV83+1),
      "1T*C",AV83*J85,
      "2*P",L85*2,
      1
  )
)</f>
        <v>1</v>
      </c>
      <c r="W83" s="38" t="str">
        <f>T83</f>
        <v>No</v>
      </c>
      <c r="X83" s="38">
        <f>IF(OR(W83="No",W83=""),V83,W83)</f>
        <v>1</v>
      </c>
      <c r="Y83" s="38">
        <f>VLOOKUP(H83,'Machine List'!$A$1:$C$138,3,FALSE)</f>
        <v>1</v>
      </c>
      <c r="Z83" s="38">
        <f>VLOOKUP(H83,'Machine List'!$A$1:$D$138,4,FALSE)</f>
        <v>1</v>
      </c>
      <c r="AA83" s="164" t="s">
        <v>393</v>
      </c>
      <c r="AB83" s="38">
        <f>VLOOKUP(AA83,'Item Helper Sheet'!$A$2:$B$16,2,FALSE)</f>
        <v>2</v>
      </c>
      <c r="AC83" s="164">
        <v>120.0</v>
      </c>
      <c r="AD83" s="38">
        <f>16*20</f>
        <v>320</v>
      </c>
      <c r="AE83" s="38">
        <f>AD83*I85</f>
        <v>78720</v>
      </c>
      <c r="AF83" s="38">
        <f>AC83*AE83</f>
        <v>9446400</v>
      </c>
      <c r="AG83" s="75"/>
      <c r="AH83" s="38" t="str">
        <f>AA83</f>
        <v>02 - MV</v>
      </c>
      <c r="AI83" s="38">
        <v>1.0</v>
      </c>
      <c r="AJ83" s="38">
        <v>1.0</v>
      </c>
      <c r="AK83" s="38">
        <f>AJ83*8*4^AB83</f>
        <v>128</v>
      </c>
      <c r="AL83" s="38">
        <f>MIN(ROUNDDOWN(AK83/AN83,0),U83)</f>
        <v>1</v>
      </c>
      <c r="AM83" s="38">
        <f>IF(OR(T83="No",T83=""),AI83*S83,AI83*T83)</f>
        <v>1</v>
      </c>
      <c r="AN83" s="38">
        <f>ROUNDUP(AC83*VLOOKUP(H83,'Machine List'!$A$2:$D$219,4,FALSE),0)</f>
        <v>120</v>
      </c>
      <c r="AO83" s="38">
        <f>AN83*AM83</f>
        <v>120</v>
      </c>
      <c r="AP83" s="38">
        <f>ROUNDUP(AD83*I85,0)</f>
        <v>78720</v>
      </c>
      <c r="AQ83" s="38">
        <f>IF(ISNUMBER(Y83),ROUNDUP(AP83/Y83,0),
  SWITCH(
      Y83,
      "1+0.5C",ROUNDUP(AP83/(1+0.5*VLOOKUP(J85,'Machine Helper Sheet'!$G$1:$K$16,2,FALSE)),0),
      ROUNDUP(AP83/1,0)
  )
)</f>
        <v>78720</v>
      </c>
      <c r="AR83" s="38">
        <f>ROUNDUP(AQ83/AM83,0)</f>
        <v>78720</v>
      </c>
      <c r="AS83" s="38">
        <f>AO83*AR83</f>
        <v>9446400</v>
      </c>
      <c r="AT83" s="75"/>
      <c r="AU83" s="164" t="s">
        <v>405</v>
      </c>
      <c r="AV83" s="38">
        <f>VLOOKUP(AU83,'Item Helper Sheet'!$A$2:$B$16,2,FALSE)</f>
        <v>5</v>
      </c>
      <c r="AW83" s="38">
        <f>AI83</f>
        <v>1</v>
      </c>
      <c r="AX83" s="38">
        <v>1.0</v>
      </c>
      <c r="AY83" s="38">
        <f>AX83*8*4^AV83</f>
        <v>8192</v>
      </c>
      <c r="AZ83" s="38">
        <f>MIN(ROUNDDOWN(AY83/AN83,0),X83)</f>
        <v>1</v>
      </c>
      <c r="BA83" s="38">
        <f>AZ83*AW83</f>
        <v>1</v>
      </c>
      <c r="BB83" s="38">
        <f>AN83</f>
        <v>120</v>
      </c>
      <c r="BC83" s="38">
        <f>MIN(AV83-AB83,IF(AY83&gt;=BB84*4,
IF(AY83&gt;=BB84*4^2,
IF(AY83&gt;=BB84*4^3,
IF(AY83&gt;=BB84*4^4,
IF(AY83&gt;=BB84*4^5,
IF(AY83&gt;=BB84*4^6,
IF(AY83&gt;=BB84*4^7,
IF(AY83&gt;=BB84*4^8,
IF(AY83&gt;=BB84*4^9,
IF(AY83&gt;=BB84*4^10,
9),
8),
7),
6),
5),
4),
3),
2),
1),
0))</f>
        <v>3</v>
      </c>
      <c r="BD83" s="38">
        <f>BB83*AZ83*4^BC83</f>
        <v>7680</v>
      </c>
      <c r="BE83" s="38">
        <f>BD83*AW83</f>
        <v>7680</v>
      </c>
      <c r="BF83" s="45">
        <f>ROUNDUP(IF(R83="Yes",AP83/(2^((BC83)*2)),AP83/(2^(BC83))),0)</f>
        <v>9840</v>
      </c>
      <c r="BG83" s="45">
        <f>IF(ISNUMBER(Y83),ROUNDUP(BF83/Y83,0),
  SWITCH(
      Y83,
      "1+0.5C",ROUNDUP(BF83/(1+0.5*VLOOKUP(J85,'Machine Helper Sheet'!$G$1:$K$16,2,FALSE)),0),
      ROUNDUP(BF83/1,0)
  )
)</f>
        <v>9840</v>
      </c>
      <c r="BH83" s="45">
        <f>ROUNDUP(BG83/BA83,0)</f>
        <v>9840</v>
      </c>
      <c r="BI83" s="46">
        <f>BH83*BE83</f>
        <v>75571200</v>
      </c>
      <c r="BK83" s="22"/>
      <c r="BM83" s="6" t="s">
        <v>805</v>
      </c>
      <c r="BN83" s="6">
        <v>5.13792E8</v>
      </c>
      <c r="BO83" s="6">
        <v>5.13792E8</v>
      </c>
      <c r="BP83" s="6" t="s">
        <v>805</v>
      </c>
      <c r="BQ83" s="6">
        <v>267600.0</v>
      </c>
      <c r="BR83" s="6">
        <v>66900.0</v>
      </c>
      <c r="BS83" s="6" t="s">
        <v>805</v>
      </c>
      <c r="BT83" s="6">
        <v>4.0</v>
      </c>
      <c r="BU83" s="6">
        <v>5.0</v>
      </c>
      <c r="BV83" s="6">
        <v>1.0</v>
      </c>
      <c r="BX83" s="6" t="s">
        <v>805</v>
      </c>
      <c r="BY83" s="6">
        <v>10000.0</v>
      </c>
      <c r="BZ83" s="6">
        <v>10000.0</v>
      </c>
      <c r="CB83" s="6" t="s">
        <v>805</v>
      </c>
      <c r="CC83" s="6">
        <v>64000.0</v>
      </c>
      <c r="CD83" s="6">
        <v>100000.0</v>
      </c>
    </row>
    <row r="84">
      <c r="B84" s="40"/>
      <c r="C84" s="165" t="s">
        <v>127</v>
      </c>
      <c r="D84" s="38">
        <f>1*I85</f>
        <v>246</v>
      </c>
      <c r="E84" s="164" t="s">
        <v>211</v>
      </c>
      <c r="F84" s="42">
        <f>32*I85</f>
        <v>7872</v>
      </c>
      <c r="G84" s="43"/>
      <c r="H84" s="99" t="s">
        <v>584</v>
      </c>
      <c r="I84" s="45">
        <f t="array" ref="I84">match(TRUE,ISBLANK(F84:F99),0)-1</f>
        <v>1</v>
      </c>
      <c r="J84" s="100" t="s">
        <v>420</v>
      </c>
      <c r="K84" s="100" t="s">
        <v>585</v>
      </c>
      <c r="L84" s="100" t="s">
        <v>704</v>
      </c>
      <c r="M84" s="38"/>
      <c r="N84" s="38"/>
      <c r="O84" s="38"/>
      <c r="P84" s="38"/>
      <c r="Q84" s="38"/>
      <c r="R84" s="101"/>
      <c r="S84" s="101"/>
      <c r="T84" s="101"/>
      <c r="U84" s="45"/>
      <c r="V84" s="45"/>
      <c r="W84" s="45"/>
      <c r="X84" s="45"/>
      <c r="Y84" s="45"/>
      <c r="Z84" s="45"/>
      <c r="AA84" s="45"/>
      <c r="AB84" s="45"/>
      <c r="AC84" s="45"/>
      <c r="AD84" s="45"/>
      <c r="AE84" s="45"/>
      <c r="AF84" s="45"/>
      <c r="AG84" s="79"/>
      <c r="AH84" s="45"/>
      <c r="AI84" s="45"/>
      <c r="AJ84" s="45"/>
      <c r="AK84" s="45"/>
      <c r="AL84" s="45"/>
      <c r="AM84" s="45"/>
      <c r="AN84" s="45"/>
      <c r="AO84" s="45"/>
      <c r="AP84" s="45"/>
      <c r="AQ84" s="45"/>
      <c r="AR84" s="45"/>
      <c r="AS84" s="45"/>
      <c r="AT84" s="79"/>
      <c r="AU84" s="45"/>
      <c r="AV84" s="45"/>
      <c r="AW84" s="45"/>
      <c r="AX84" s="45"/>
      <c r="AY84" s="45"/>
      <c r="AZ84" s="45"/>
      <c r="BA84" s="45"/>
      <c r="BB84" s="45">
        <f>BB83*AZ83</f>
        <v>120</v>
      </c>
      <c r="BC84" s="45"/>
      <c r="BD84" s="45"/>
      <c r="BE84" s="45"/>
      <c r="BF84" s="45"/>
      <c r="BG84" s="45"/>
      <c r="BH84" s="45"/>
      <c r="BI84" s="46"/>
      <c r="BK84" s="22"/>
      <c r="BM84" s="140" t="s">
        <v>806</v>
      </c>
      <c r="BN84" s="140">
        <v>3.85344E8</v>
      </c>
      <c r="BO84" s="140">
        <v>7.70688E8</v>
      </c>
      <c r="BP84" s="140" t="s">
        <v>806</v>
      </c>
      <c r="BQ84" s="140">
        <v>200700.0</v>
      </c>
      <c r="BR84" s="140">
        <v>100350.0</v>
      </c>
      <c r="BS84" s="140" t="s">
        <v>806</v>
      </c>
      <c r="BT84" s="140">
        <v>4.0</v>
      </c>
      <c r="BU84" s="140">
        <v>5.0</v>
      </c>
      <c r="BV84" s="140">
        <v>1.0</v>
      </c>
      <c r="BX84" s="140" t="s">
        <v>806</v>
      </c>
      <c r="BY84" s="6">
        <v>10000.0</v>
      </c>
      <c r="BZ84" s="140">
        <v>10000.0</v>
      </c>
      <c r="CB84" s="140" t="s">
        <v>806</v>
      </c>
      <c r="CC84" s="6">
        <v>100000.0</v>
      </c>
      <c r="CD84" s="140">
        <v>100000.0</v>
      </c>
    </row>
    <row r="85">
      <c r="B85" s="40"/>
      <c r="C85" s="165" t="s">
        <v>68</v>
      </c>
      <c r="D85" s="38">
        <f>8*I85</f>
        <v>1968</v>
      </c>
      <c r="E85" s="38"/>
      <c r="F85" s="42"/>
      <c r="G85" s="43"/>
      <c r="H85" s="56" t="s">
        <v>502</v>
      </c>
      <c r="I85" s="166">
        <v>246.0</v>
      </c>
      <c r="J85" s="100" t="s">
        <v>424</v>
      </c>
      <c r="K85" s="100">
        <v>0.0</v>
      </c>
      <c r="L85" s="100">
        <v>0.0</v>
      </c>
      <c r="M85" s="45"/>
      <c r="N85" s="45"/>
      <c r="O85" s="45"/>
      <c r="P85" s="45"/>
      <c r="Q85" s="45"/>
      <c r="R85" s="45"/>
      <c r="S85" s="101"/>
      <c r="T85" s="101"/>
      <c r="U85" s="45"/>
      <c r="V85" s="45"/>
      <c r="W85" s="45"/>
      <c r="X85" s="45"/>
      <c r="Y85" s="45"/>
      <c r="Z85" s="45"/>
      <c r="AA85" s="45"/>
      <c r="AB85" s="45"/>
      <c r="AC85" s="45"/>
      <c r="AD85" s="45"/>
      <c r="AE85" s="45"/>
      <c r="AF85" s="45"/>
      <c r="AG85" s="79"/>
      <c r="AH85" s="45"/>
      <c r="AI85" s="45"/>
      <c r="AJ85" s="45"/>
      <c r="AK85" s="45"/>
      <c r="AL85" s="45"/>
      <c r="AM85" s="45"/>
      <c r="AN85" s="45"/>
      <c r="AO85" s="45"/>
      <c r="AP85" s="45"/>
      <c r="AQ85" s="45"/>
      <c r="AR85" s="45"/>
      <c r="AS85" s="45"/>
      <c r="AT85" s="79"/>
      <c r="AU85" s="45"/>
      <c r="AV85" s="45"/>
      <c r="AW85" s="45"/>
      <c r="AX85" s="45"/>
      <c r="AY85" s="45"/>
      <c r="AZ85" s="45"/>
      <c r="BA85" s="45"/>
      <c r="BB85" s="45"/>
      <c r="BC85" s="45"/>
      <c r="BD85" s="45"/>
      <c r="BE85" s="45"/>
      <c r="BF85" s="45"/>
      <c r="BG85" s="45"/>
      <c r="BH85" s="45"/>
      <c r="BI85" s="46"/>
      <c r="BK85" s="22"/>
      <c r="BM85" s="140" t="s">
        <v>807</v>
      </c>
      <c r="BN85" s="140">
        <v>8.220672E7</v>
      </c>
      <c r="BO85" s="140">
        <v>3.2882688E8</v>
      </c>
      <c r="BP85" s="140" t="s">
        <v>807</v>
      </c>
      <c r="BQ85" s="140">
        <v>214080.0</v>
      </c>
      <c r="BR85" s="140">
        <v>53520.0</v>
      </c>
      <c r="BS85" s="140" t="s">
        <v>807</v>
      </c>
      <c r="BT85" s="140">
        <v>3.0</v>
      </c>
      <c r="BU85" s="140">
        <v>5.0</v>
      </c>
      <c r="BV85" s="140">
        <v>1.0</v>
      </c>
      <c r="BX85" s="140" t="s">
        <v>807</v>
      </c>
      <c r="BY85" s="6">
        <v>1000.0</v>
      </c>
      <c r="BZ85" s="140">
        <v>1000.0</v>
      </c>
      <c r="CB85" s="140" t="s">
        <v>807</v>
      </c>
      <c r="CC85" s="6">
        <v>100000.0</v>
      </c>
      <c r="CD85" s="140">
        <v>100000.0</v>
      </c>
    </row>
    <row r="86">
      <c r="B86" s="40"/>
      <c r="C86" s="165" t="s">
        <v>157</v>
      </c>
      <c r="D86" s="38">
        <f>36*I85</f>
        <v>8856</v>
      </c>
      <c r="E86" s="38"/>
      <c r="F86" s="42"/>
      <c r="G86" s="43"/>
      <c r="H86" s="44"/>
      <c r="I86" s="45"/>
      <c r="J86" s="45"/>
      <c r="K86" s="45"/>
      <c r="L86" s="45"/>
      <c r="M86" s="45"/>
      <c r="N86" s="45"/>
      <c r="O86" s="45"/>
      <c r="P86" s="45"/>
      <c r="Q86" s="45"/>
      <c r="R86" s="45"/>
      <c r="S86" s="101"/>
      <c r="T86" s="101"/>
      <c r="U86" s="45"/>
      <c r="V86" s="45"/>
      <c r="W86" s="45"/>
      <c r="X86" s="45"/>
      <c r="Y86" s="45"/>
      <c r="Z86" s="45"/>
      <c r="AA86" s="45"/>
      <c r="AB86" s="45"/>
      <c r="AC86" s="45"/>
      <c r="AD86" s="45"/>
      <c r="AE86" s="45"/>
      <c r="AF86" s="45"/>
      <c r="AG86" s="79"/>
      <c r="AH86" s="45"/>
      <c r="AI86" s="45"/>
      <c r="AJ86" s="45"/>
      <c r="AK86" s="45"/>
      <c r="AL86" s="45"/>
      <c r="AM86" s="45"/>
      <c r="AN86" s="45"/>
      <c r="AO86" s="45"/>
      <c r="AP86" s="45"/>
      <c r="AQ86" s="45"/>
      <c r="AR86" s="45"/>
      <c r="AS86" s="45"/>
      <c r="AT86" s="79"/>
      <c r="AU86" s="45"/>
      <c r="AV86" s="45"/>
      <c r="AW86" s="45"/>
      <c r="AX86" s="45"/>
      <c r="AY86" s="45"/>
      <c r="AZ86" s="45"/>
      <c r="BA86" s="45"/>
      <c r="BB86" s="45"/>
      <c r="BC86" s="45"/>
      <c r="BD86" s="45"/>
      <c r="BE86" s="45"/>
      <c r="BF86" s="45"/>
      <c r="BG86" s="45"/>
      <c r="BH86" s="45"/>
      <c r="BI86" s="46"/>
      <c r="BK86" s="22"/>
      <c r="BM86" s="140" t="s">
        <v>808</v>
      </c>
      <c r="BN86" s="140">
        <v>1.492128E7</v>
      </c>
      <c r="BO86" s="140">
        <v>5.968896E7</v>
      </c>
      <c r="BP86" s="140" t="s">
        <v>808</v>
      </c>
      <c r="BQ86" s="140">
        <v>31086.0</v>
      </c>
      <c r="BR86" s="140">
        <v>7772.0</v>
      </c>
      <c r="BS86" s="140" t="s">
        <v>808</v>
      </c>
      <c r="BT86" s="140">
        <v>3.0</v>
      </c>
      <c r="BU86" s="140">
        <v>5.0</v>
      </c>
      <c r="BV86" s="140">
        <v>1.0</v>
      </c>
      <c r="BX86" s="140" t="s">
        <v>808</v>
      </c>
      <c r="BY86" s="6">
        <v>1000.0</v>
      </c>
      <c r="BZ86" s="140">
        <v>1000.0</v>
      </c>
      <c r="CB86" s="140" t="s">
        <v>808</v>
      </c>
      <c r="CC86" s="6">
        <v>100000.0</v>
      </c>
      <c r="CD86" s="140">
        <v>100000.0</v>
      </c>
    </row>
    <row r="87">
      <c r="B87" s="135"/>
      <c r="C87" s="136"/>
      <c r="D87" s="137"/>
      <c r="E87" s="137"/>
      <c r="F87" s="137"/>
      <c r="G87" s="138"/>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8"/>
      <c r="AH87" s="137"/>
      <c r="AI87" s="137"/>
      <c r="AJ87" s="137"/>
      <c r="AK87" s="137"/>
      <c r="AL87" s="137"/>
      <c r="AM87" s="137"/>
      <c r="AN87" s="137"/>
      <c r="AO87" s="137"/>
      <c r="AP87" s="137"/>
      <c r="AQ87" s="137"/>
      <c r="AR87" s="137"/>
      <c r="AS87" s="137"/>
      <c r="AT87" s="138"/>
      <c r="AU87" s="137"/>
      <c r="AV87" s="137"/>
      <c r="AW87" s="137"/>
      <c r="AX87" s="137"/>
      <c r="AY87" s="137"/>
      <c r="AZ87" s="137"/>
      <c r="BA87" s="137"/>
      <c r="BB87" s="137"/>
      <c r="BC87" s="137"/>
      <c r="BD87" s="137"/>
      <c r="BE87" s="137"/>
      <c r="BF87" s="137"/>
      <c r="BG87" s="137"/>
      <c r="BH87" s="137"/>
      <c r="BI87" s="139"/>
      <c r="BK87" s="22"/>
      <c r="BM87" s="140" t="s">
        <v>809</v>
      </c>
      <c r="BN87" s="140">
        <v>2.8532736E8</v>
      </c>
      <c r="BO87" s="140">
        <v>1.14130944E9</v>
      </c>
      <c r="BP87" s="140" t="s">
        <v>809</v>
      </c>
      <c r="BQ87" s="140">
        <v>743040.0</v>
      </c>
      <c r="BR87" s="140">
        <v>185760.0</v>
      </c>
      <c r="BS87" s="140" t="s">
        <v>809</v>
      </c>
      <c r="BT87" s="140">
        <v>3.0</v>
      </c>
      <c r="BU87" s="140">
        <v>5.0</v>
      </c>
      <c r="BV87" s="140">
        <v>1.0</v>
      </c>
      <c r="BX87" s="140" t="s">
        <v>809</v>
      </c>
      <c r="BY87" s="6">
        <v>1000.0</v>
      </c>
      <c r="BZ87" s="140">
        <v>1000.0</v>
      </c>
      <c r="CB87" s="140" t="s">
        <v>809</v>
      </c>
      <c r="CC87" s="6">
        <v>100000.0</v>
      </c>
      <c r="CD87" s="140">
        <v>100000.0</v>
      </c>
    </row>
    <row r="88">
      <c r="B88" s="31" t="s">
        <v>800</v>
      </c>
      <c r="C88" s="54"/>
      <c r="D88" s="45"/>
      <c r="E88" s="45"/>
      <c r="F88" s="47"/>
      <c r="G88" s="35"/>
      <c r="H88" s="163" t="s">
        <v>285</v>
      </c>
      <c r="I88" s="38" t="str">
        <f>VLOOKUP(H88,'Machine List'!$A$1:$I$300,9,FALSE)</f>
        <v>2T</v>
      </c>
      <c r="J88" s="38">
        <f>IF(VLOOKUP(H88,'Machine List'!$A$1:$I$300,5,FALSE)="Multi",IF(VLOOKUP(H88,'Machine List'!$A$1:$I$300,6,FALSE)="Yes",AI88*3*10^AB88,AI88*(2*3)*10^(AB88-1)),0)</f>
        <v>0</v>
      </c>
      <c r="K88" s="38">
        <f>J88+IF(ISNUMBER(I88),I88,
  SWITCH(
      I88,
      "1T",1*10^AB88,
      "2T",2*10^AB88,
      "3T",3*10^AB88,
      "4T",4*10^AB88,
      "4000+500(7O-5)",4000+500*(7*I89-5),
      "13500 + 16C",13500+16*VLOOKUP(J90,'Machine Helper Sheet'!$G$1:$K$16,5,FALSE),
      1
  )
)</f>
        <v>200</v>
      </c>
      <c r="L88" s="38">
        <f>IF(VLOOKUP(H88,'Machine List'!$A$1:$I$300,5,FALSE)="Multi",IF(VLOOKUP(H88,'Machine List'!$A$1:$I$300,6,FALSE)="Yes",AW88*3*10^AV88,AW88*(2*3)*10^(AV88-1)),0)</f>
        <v>0</v>
      </c>
      <c r="M88" s="38">
        <f>L88+IF(ISNUMBER(I88),I88,
  SWITCH(
      I88,
      "1T",1*10^AV88,
      "2T",2*10^AV88,
      "3T",3*10^AV88,
      "4T",4*10^AV88,
      "4000+500(7O-5)",4000+500*(7*I89-5),
      1
  )
)</f>
        <v>200000</v>
      </c>
      <c r="N88" s="38" t="str">
        <f>VLOOKUP(H88,'Machine List'!$A$1:$I$300,8,FALSE)</f>
        <v>Tier</v>
      </c>
      <c r="O88" s="38">
        <f>IF(ISNUMBER(N88),N88,10^AB88)</f>
        <v>100</v>
      </c>
      <c r="P88" s="38">
        <f>IF(ISNUMBER(N88),N88,10^AV88)</f>
        <v>100000</v>
      </c>
      <c r="Q88" s="38">
        <f>VLOOKUP(H88,'Machine List'!$A$1:$B$138,2,FALSE)</f>
        <v>1</v>
      </c>
      <c r="R88" s="164" t="s">
        <v>277</v>
      </c>
      <c r="S88" s="45">
        <f>IF(ISNUMBER(Q88),Q88,
  SWITCH(
      Q88,
      "1",1,
      "2T",AB88*2,
      "4T",AB88*4,
      "6T",AB88*6,
      "8T",AB88*8,
      "10T",AB88*10,
      "12T",AB88*12,
      "14T",AB88*14,
      "16T",AB88*16,
      "24T",AB88*24,
      "2(T+1)",2*(AB88+1),
      "1T*C",AB88*J90,
      "2*P",L90*2,
      1
  )
)</f>
        <v>1</v>
      </c>
      <c r="T88" s="38" t="s">
        <v>277</v>
      </c>
      <c r="U88" s="38">
        <f>IF(OR(T88="No",T88=""),S88,T88)</f>
        <v>1</v>
      </c>
      <c r="V88" s="38">
        <f>IF(ISNUMBER(Q88),Q88,
  SWITCH(
      Q88,
      "1",1,
      "2T",AV88*2,
      "4T",AV88*4,
      "6T",AV88*6,
      "8T",AV88*8,
      "10T",AV88*10,
      "12T",AV88*12,
      "14T",AV88*14,
      "16T",AV88*16,
      "24T",AV88*24,
      "2(T+1)",2*(AV88+1),
      "1T*C",AV88*J90,
      "2*P",L90*2,
      1
  )
)</f>
        <v>1</v>
      </c>
      <c r="W88" s="38" t="str">
        <f>T88</f>
        <v>No</v>
      </c>
      <c r="X88" s="38">
        <f>IF(OR(W88="No",W88=""),V88,W88)</f>
        <v>1</v>
      </c>
      <c r="Y88" s="38">
        <f>VLOOKUP(H88,'Machine List'!$A$1:$C$138,3,FALSE)</f>
        <v>1</v>
      </c>
      <c r="Z88" s="38">
        <f>VLOOKUP(H88,'Machine List'!$A$1:$D$138,4,FALSE)</f>
        <v>1</v>
      </c>
      <c r="AA88" s="164" t="s">
        <v>393</v>
      </c>
      <c r="AB88" s="38">
        <f>VLOOKUP(AA88,'Item Helper Sheet'!$A$2:$B$16,2,FALSE)</f>
        <v>2</v>
      </c>
      <c r="AC88" s="164">
        <v>120.0</v>
      </c>
      <c r="AD88" s="38">
        <f>60*20</f>
        <v>1200</v>
      </c>
      <c r="AE88" s="38">
        <f>AD88*I90</f>
        <v>32400</v>
      </c>
      <c r="AF88" s="38">
        <f>AC88*AE88</f>
        <v>3888000</v>
      </c>
      <c r="AG88" s="75"/>
      <c r="AH88" s="38" t="str">
        <f>AA88</f>
        <v>02 - MV</v>
      </c>
      <c r="AI88" s="38">
        <v>1.0</v>
      </c>
      <c r="AJ88" s="38">
        <v>1.0</v>
      </c>
      <c r="AK88" s="38">
        <f>AJ88*8*4^AB88</f>
        <v>128</v>
      </c>
      <c r="AL88" s="38">
        <f>MIN(ROUNDDOWN(AK88/AN88,0),U88)</f>
        <v>1</v>
      </c>
      <c r="AM88" s="38">
        <f>IF(OR(T88="No",T88=""),AI88*S88,AI88*T88)</f>
        <v>1</v>
      </c>
      <c r="AN88" s="38">
        <f>ROUNDUP(AC88*VLOOKUP(H88,'Machine List'!$A$2:$D$219,4,FALSE),0)</f>
        <v>120</v>
      </c>
      <c r="AO88" s="38">
        <f>AN88*AM88</f>
        <v>120</v>
      </c>
      <c r="AP88" s="38">
        <f>ROUNDUP(AD88*I90,0)</f>
        <v>32400</v>
      </c>
      <c r="AQ88" s="38">
        <f>IF(ISNUMBER(Y88),ROUNDUP(AP88/Y88,0),
  SWITCH(
      Y88,
      "1+0.5C",ROUNDUP(AP88/(1+0.5*VLOOKUP(J90,'Machine Helper Sheet'!$G$1:$K$16,2,FALSE)),0),
      ROUNDUP(AP88/1,0)
  )
)</f>
        <v>32400</v>
      </c>
      <c r="AR88" s="38">
        <f>ROUNDUP(AQ88/AM88,0)</f>
        <v>32400</v>
      </c>
      <c r="AS88" s="38">
        <f>AO88*AR88</f>
        <v>3888000</v>
      </c>
      <c r="AT88" s="75"/>
      <c r="AU88" s="164" t="s">
        <v>405</v>
      </c>
      <c r="AV88" s="38">
        <f>VLOOKUP(AU88,'Item Helper Sheet'!$A$2:$B$16,2,FALSE)</f>
        <v>5</v>
      </c>
      <c r="AW88" s="38">
        <f>AI88</f>
        <v>1</v>
      </c>
      <c r="AX88" s="38">
        <v>1.0</v>
      </c>
      <c r="AY88" s="38">
        <f>AX88*8*4^AV88</f>
        <v>8192</v>
      </c>
      <c r="AZ88" s="38">
        <f>MIN(ROUNDDOWN(AY88/AN88,0),X88)</f>
        <v>1</v>
      </c>
      <c r="BA88" s="38">
        <f>AZ88*AW88</f>
        <v>1</v>
      </c>
      <c r="BB88" s="38">
        <f>AN88</f>
        <v>120</v>
      </c>
      <c r="BC88" s="38">
        <f>MIN(AV88-AB88,IF(AY88&gt;=BB89*4,
IF(AY88&gt;=BB89*4^2,
IF(AY88&gt;=BB89*4^3,
IF(AY88&gt;=BB89*4^4,
IF(AY88&gt;=BB89*4^5,
IF(AY88&gt;=BB89*4^6,
IF(AY88&gt;=BB89*4^7,
IF(AY88&gt;=BB89*4^8,
IF(AY88&gt;=BB89*4^9,
IF(AY88&gt;=BB89*4^10,
9),
8),
7),
6),
5),
4),
3),
2),
1),
0))</f>
        <v>3</v>
      </c>
      <c r="BD88" s="38">
        <f>BB88*AZ88*4^BC88</f>
        <v>7680</v>
      </c>
      <c r="BE88" s="38">
        <f>BD88*AW88</f>
        <v>7680</v>
      </c>
      <c r="BF88" s="45">
        <f>ROUNDUP(IF(R88="Yes",AP88/(2^((BC88)*2)),AP88/(2^(BC88))),0)</f>
        <v>4050</v>
      </c>
      <c r="BG88" s="45">
        <f>IF(ISNUMBER(Y88),ROUNDUP(BF88/Y88,0),
  SWITCH(
      Y88,
      "1+0.5C",ROUNDUP(BF88/(1+0.5*VLOOKUP(J90,'Machine Helper Sheet'!$G$1:$K$16,2,FALSE)),0),
      ROUNDUP(BF88/1,0)
  )
)</f>
        <v>4050</v>
      </c>
      <c r="BH88" s="45">
        <f>ROUNDUP(BG88/BA88,0)</f>
        <v>4050</v>
      </c>
      <c r="BI88" s="46">
        <f>BH88*BE88</f>
        <v>31104000</v>
      </c>
      <c r="BK88" s="22"/>
      <c r="BM88" s="6" t="s">
        <v>810</v>
      </c>
      <c r="BN88" s="6">
        <v>7740000.0</v>
      </c>
      <c r="BO88" s="6">
        <v>7741440.0</v>
      </c>
      <c r="BP88" s="6" t="s">
        <v>810</v>
      </c>
      <c r="BQ88" s="6">
        <v>774000.0</v>
      </c>
      <c r="BR88" s="6">
        <v>3024.0</v>
      </c>
      <c r="BS88" s="6" t="s">
        <v>810</v>
      </c>
      <c r="BT88" s="6">
        <v>1.0</v>
      </c>
      <c r="BU88" s="6">
        <v>5.0</v>
      </c>
      <c r="BV88" s="6">
        <v>1.0</v>
      </c>
      <c r="BX88" s="6" t="s">
        <v>810</v>
      </c>
      <c r="BY88" s="6">
        <v>4006.0</v>
      </c>
      <c r="BZ88" s="6">
        <v>10.0</v>
      </c>
      <c r="CB88" s="6" t="s">
        <v>810</v>
      </c>
      <c r="CC88" s="6">
        <v>64000.0</v>
      </c>
      <c r="CD88" s="6">
        <v>100000.0</v>
      </c>
    </row>
    <row r="89">
      <c r="B89" s="40"/>
      <c r="C89" s="165" t="s">
        <v>74</v>
      </c>
      <c r="D89" s="38">
        <f>1*I90</f>
        <v>27</v>
      </c>
      <c r="E89" s="164" t="s">
        <v>210</v>
      </c>
      <c r="F89" s="42">
        <f>64*I90</f>
        <v>1728</v>
      </c>
      <c r="G89" s="43"/>
      <c r="H89" s="99" t="s">
        <v>584</v>
      </c>
      <c r="I89" s="45">
        <f t="array" ref="I89">match(TRUE,ISBLANK(F89:F104),0)-1</f>
        <v>1</v>
      </c>
      <c r="J89" s="100" t="s">
        <v>420</v>
      </c>
      <c r="K89" s="100" t="s">
        <v>585</v>
      </c>
      <c r="L89" s="100" t="s">
        <v>704</v>
      </c>
      <c r="M89" s="38"/>
      <c r="N89" s="38"/>
      <c r="O89" s="38"/>
      <c r="P89" s="38"/>
      <c r="Q89" s="38"/>
      <c r="R89" s="101"/>
      <c r="S89" s="101"/>
      <c r="T89" s="101"/>
      <c r="U89" s="45"/>
      <c r="V89" s="45"/>
      <c r="W89" s="45"/>
      <c r="X89" s="45"/>
      <c r="Y89" s="45"/>
      <c r="Z89" s="45"/>
      <c r="AA89" s="45"/>
      <c r="AB89" s="45"/>
      <c r="AC89" s="45"/>
      <c r="AD89" s="45"/>
      <c r="AE89" s="45"/>
      <c r="AF89" s="45"/>
      <c r="AG89" s="79"/>
      <c r="AH89" s="45"/>
      <c r="AI89" s="45"/>
      <c r="AJ89" s="45"/>
      <c r="AK89" s="45"/>
      <c r="AL89" s="45"/>
      <c r="AM89" s="45"/>
      <c r="AN89" s="45"/>
      <c r="AO89" s="45"/>
      <c r="AP89" s="45"/>
      <c r="AQ89" s="45"/>
      <c r="AR89" s="45"/>
      <c r="AS89" s="45"/>
      <c r="AT89" s="79"/>
      <c r="AU89" s="45"/>
      <c r="AV89" s="45"/>
      <c r="AW89" s="45"/>
      <c r="AX89" s="45"/>
      <c r="AY89" s="45"/>
      <c r="AZ89" s="45"/>
      <c r="BA89" s="45"/>
      <c r="BB89" s="45">
        <f>BB88*AZ88</f>
        <v>120</v>
      </c>
      <c r="BC89" s="45"/>
      <c r="BD89" s="45"/>
      <c r="BE89" s="45"/>
      <c r="BF89" s="45"/>
      <c r="BG89" s="45"/>
      <c r="BH89" s="45"/>
      <c r="BI89" s="46"/>
      <c r="BK89" s="22"/>
      <c r="BM89" s="6" t="s">
        <v>811</v>
      </c>
      <c r="BN89" s="6">
        <v>8.3592E7</v>
      </c>
      <c r="BO89" s="6">
        <v>8.35968E7</v>
      </c>
      <c r="BP89" s="6" t="s">
        <v>811</v>
      </c>
      <c r="BQ89" s="6">
        <v>2786400.0</v>
      </c>
      <c r="BR89" s="6">
        <v>10885.0</v>
      </c>
      <c r="BS89" s="6" t="s">
        <v>811</v>
      </c>
      <c r="BT89" s="6">
        <v>1.0</v>
      </c>
      <c r="BU89" s="6">
        <v>5.0</v>
      </c>
      <c r="BV89" s="6">
        <v>1.0</v>
      </c>
      <c r="BX89" s="6" t="s">
        <v>811</v>
      </c>
      <c r="BY89" s="6">
        <v>4006.0</v>
      </c>
      <c r="BZ89" s="6">
        <v>10.0</v>
      </c>
      <c r="CB89" s="6" t="s">
        <v>811</v>
      </c>
      <c r="CC89" s="6">
        <v>64000.0</v>
      </c>
      <c r="CD89" s="6">
        <v>100000.0</v>
      </c>
    </row>
    <row r="90">
      <c r="B90" s="40"/>
      <c r="C90" s="165" t="s">
        <v>68</v>
      </c>
      <c r="D90" s="38">
        <f>16*I90</f>
        <v>432</v>
      </c>
      <c r="E90" s="38"/>
      <c r="F90" s="42"/>
      <c r="G90" s="43"/>
      <c r="H90" s="56" t="s">
        <v>502</v>
      </c>
      <c r="I90" s="166">
        <v>27.0</v>
      </c>
      <c r="J90" s="100" t="s">
        <v>424</v>
      </c>
      <c r="K90" s="100">
        <v>0.0</v>
      </c>
      <c r="L90" s="100">
        <v>0.0</v>
      </c>
      <c r="M90" s="45"/>
      <c r="N90" s="45"/>
      <c r="O90" s="45"/>
      <c r="P90" s="45"/>
      <c r="Q90" s="45"/>
      <c r="R90" s="45"/>
      <c r="S90" s="101"/>
      <c r="T90" s="101"/>
      <c r="U90" s="45"/>
      <c r="V90" s="45"/>
      <c r="W90" s="45"/>
      <c r="X90" s="45"/>
      <c r="Y90" s="45"/>
      <c r="Z90" s="45"/>
      <c r="AA90" s="45"/>
      <c r="AB90" s="45"/>
      <c r="AC90" s="45"/>
      <c r="AD90" s="45"/>
      <c r="AE90" s="45"/>
      <c r="AF90" s="45"/>
      <c r="AG90" s="79"/>
      <c r="AH90" s="45"/>
      <c r="AI90" s="45"/>
      <c r="AJ90" s="45"/>
      <c r="AK90" s="45"/>
      <c r="AL90" s="45"/>
      <c r="AM90" s="45"/>
      <c r="AN90" s="45"/>
      <c r="AO90" s="45"/>
      <c r="AP90" s="45"/>
      <c r="AQ90" s="45"/>
      <c r="AR90" s="45"/>
      <c r="AS90" s="45"/>
      <c r="AT90" s="79"/>
      <c r="AU90" s="45"/>
      <c r="AV90" s="45"/>
      <c r="AW90" s="45"/>
      <c r="AX90" s="45"/>
      <c r="AY90" s="45"/>
      <c r="AZ90" s="45"/>
      <c r="BA90" s="45"/>
      <c r="BB90" s="45"/>
      <c r="BC90" s="45"/>
      <c r="BD90" s="45"/>
      <c r="BE90" s="45"/>
      <c r="BF90" s="45"/>
      <c r="BG90" s="45"/>
      <c r="BH90" s="45"/>
      <c r="BI90" s="46"/>
      <c r="BK90" s="22"/>
      <c r="BM90" s="140" t="s">
        <v>812</v>
      </c>
      <c r="BN90" s="140">
        <v>2.4297408E7</v>
      </c>
      <c r="BO90" s="140">
        <v>3.887616E8</v>
      </c>
      <c r="BP90" s="140" t="s">
        <v>812</v>
      </c>
      <c r="BQ90" s="140">
        <v>1012392.0</v>
      </c>
      <c r="BR90" s="140">
        <v>63275.0</v>
      </c>
      <c r="BS90" s="140" t="s">
        <v>812</v>
      </c>
      <c r="BT90" s="140">
        <v>1.0</v>
      </c>
      <c r="BU90" s="140">
        <v>5.0</v>
      </c>
      <c r="BV90" s="140">
        <v>1.0</v>
      </c>
      <c r="BX90" s="140" t="s">
        <v>812</v>
      </c>
      <c r="BY90" s="6">
        <v>10.0</v>
      </c>
      <c r="BZ90" s="140">
        <v>10.0</v>
      </c>
      <c r="CB90" s="140" t="s">
        <v>812</v>
      </c>
      <c r="CC90" s="6">
        <v>100000.0</v>
      </c>
      <c r="CD90" s="140">
        <v>100000.0</v>
      </c>
    </row>
    <row r="91">
      <c r="B91" s="40"/>
      <c r="C91" s="165" t="s">
        <v>157</v>
      </c>
      <c r="D91" s="38">
        <f>576*I90</f>
        <v>15552</v>
      </c>
      <c r="E91" s="38"/>
      <c r="F91" s="42"/>
      <c r="G91" s="43"/>
      <c r="H91" s="44"/>
      <c r="I91" s="45"/>
      <c r="J91" s="45"/>
      <c r="K91" s="45"/>
      <c r="L91" s="45"/>
      <c r="M91" s="45"/>
      <c r="N91" s="45"/>
      <c r="O91" s="45"/>
      <c r="P91" s="45"/>
      <c r="Q91" s="45"/>
      <c r="R91" s="45"/>
      <c r="S91" s="101"/>
      <c r="T91" s="101"/>
      <c r="U91" s="45"/>
      <c r="V91" s="45"/>
      <c r="W91" s="45"/>
      <c r="X91" s="45"/>
      <c r="Y91" s="45"/>
      <c r="Z91" s="45"/>
      <c r="AA91" s="45"/>
      <c r="AB91" s="45"/>
      <c r="AC91" s="45"/>
      <c r="AD91" s="45"/>
      <c r="AE91" s="45"/>
      <c r="AF91" s="45"/>
      <c r="AG91" s="79"/>
      <c r="AH91" s="45"/>
      <c r="AI91" s="45"/>
      <c r="AJ91" s="45"/>
      <c r="AK91" s="45"/>
      <c r="AL91" s="45"/>
      <c r="AM91" s="45"/>
      <c r="AN91" s="45"/>
      <c r="AO91" s="45"/>
      <c r="AP91" s="45"/>
      <c r="AQ91" s="45"/>
      <c r="AR91" s="45"/>
      <c r="AS91" s="45"/>
      <c r="AT91" s="79"/>
      <c r="AU91" s="45"/>
      <c r="AV91" s="45"/>
      <c r="AW91" s="45"/>
      <c r="AX91" s="45"/>
      <c r="AY91" s="45"/>
      <c r="AZ91" s="45"/>
      <c r="BA91" s="45"/>
      <c r="BB91" s="45"/>
      <c r="BC91" s="45"/>
      <c r="BD91" s="45"/>
      <c r="BE91" s="45"/>
      <c r="BF91" s="45"/>
      <c r="BG91" s="45"/>
      <c r="BH91" s="45"/>
      <c r="BI91" s="46"/>
      <c r="BK91" s="22"/>
      <c r="BM91" s="140" t="s">
        <v>813</v>
      </c>
      <c r="BN91" s="140">
        <v>8640000.0</v>
      </c>
      <c r="BO91" s="140">
        <v>6.912E7</v>
      </c>
      <c r="BP91" s="140" t="s">
        <v>813</v>
      </c>
      <c r="BQ91" s="140">
        <v>72000.0</v>
      </c>
      <c r="BR91" s="140">
        <v>9000.0</v>
      </c>
      <c r="BS91" s="140" t="s">
        <v>813</v>
      </c>
      <c r="BT91" s="140">
        <v>2.0</v>
      </c>
      <c r="BU91" s="140">
        <v>5.0</v>
      </c>
      <c r="BV91" s="140">
        <v>1.0</v>
      </c>
      <c r="BX91" s="140" t="s">
        <v>813</v>
      </c>
      <c r="BY91" s="6">
        <v>100.0</v>
      </c>
      <c r="BZ91" s="140">
        <v>100.0</v>
      </c>
      <c r="CB91" s="140" t="s">
        <v>813</v>
      </c>
      <c r="CC91" s="6">
        <v>100000.0</v>
      </c>
      <c r="CD91" s="140">
        <v>100000.0</v>
      </c>
    </row>
    <row r="92">
      <c r="B92" s="135"/>
      <c r="C92" s="136"/>
      <c r="D92" s="137"/>
      <c r="E92" s="137"/>
      <c r="F92" s="137"/>
      <c r="G92" s="138"/>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8"/>
      <c r="AH92" s="137"/>
      <c r="AI92" s="137"/>
      <c r="AJ92" s="137"/>
      <c r="AK92" s="137"/>
      <c r="AL92" s="137"/>
      <c r="AM92" s="137"/>
      <c r="AN92" s="137"/>
      <c r="AO92" s="137"/>
      <c r="AP92" s="137"/>
      <c r="AQ92" s="137"/>
      <c r="AR92" s="137"/>
      <c r="AS92" s="137"/>
      <c r="AT92" s="138"/>
      <c r="AU92" s="137"/>
      <c r="AV92" s="137"/>
      <c r="AW92" s="137"/>
      <c r="AX92" s="137"/>
      <c r="AY92" s="137"/>
      <c r="AZ92" s="137"/>
      <c r="BA92" s="137"/>
      <c r="BB92" s="137"/>
      <c r="BC92" s="137"/>
      <c r="BD92" s="137"/>
      <c r="BE92" s="137"/>
      <c r="BF92" s="137"/>
      <c r="BG92" s="137"/>
      <c r="BH92" s="137"/>
      <c r="BI92" s="139"/>
      <c r="BK92" s="22"/>
      <c r="BM92" s="140" t="s">
        <v>814</v>
      </c>
      <c r="BN92" s="140">
        <v>2.0736E7</v>
      </c>
      <c r="BO92" s="140">
        <v>1.65888E8</v>
      </c>
      <c r="BP92" s="140" t="s">
        <v>814</v>
      </c>
      <c r="BQ92" s="140">
        <v>216000.0</v>
      </c>
      <c r="BR92" s="140">
        <v>27000.0</v>
      </c>
      <c r="BS92" s="140" t="s">
        <v>814</v>
      </c>
      <c r="BT92" s="140">
        <v>2.0</v>
      </c>
      <c r="BU92" s="140">
        <v>5.0</v>
      </c>
      <c r="BV92" s="140">
        <v>1.0</v>
      </c>
      <c r="BX92" s="140" t="s">
        <v>814</v>
      </c>
      <c r="BY92" s="6">
        <v>100.0</v>
      </c>
      <c r="BZ92" s="140">
        <v>100.0</v>
      </c>
      <c r="CB92" s="140" t="s">
        <v>814</v>
      </c>
      <c r="CC92" s="6">
        <v>100000.0</v>
      </c>
      <c r="CD92" s="140">
        <v>100000.0</v>
      </c>
    </row>
    <row r="93">
      <c r="B93" s="141" t="s">
        <v>801</v>
      </c>
      <c r="C93" s="142"/>
      <c r="D93" s="143"/>
      <c r="E93" s="143"/>
      <c r="F93" s="144"/>
      <c r="G93" s="145"/>
      <c r="H93" s="167" t="s">
        <v>295</v>
      </c>
      <c r="I93" s="147" t="str">
        <f>VLOOKUP(H93,'Machine List'!$A$1:$I$300,9,FALSE)</f>
        <v>1T</v>
      </c>
      <c r="J93" s="147">
        <f>IF(VLOOKUP(H93,'Machine List'!$A$1:$I$300,5,FALSE)="Multi",IF(VLOOKUP(H93,'Machine List'!$A$1:$I$300,6,FALSE)="Yes",AI93*3*10^AB93,AI93*(2*3)*10^(AB93-1)),0)</f>
        <v>0</v>
      </c>
      <c r="K93" s="147">
        <f>J93+IF(ISNUMBER(I93),I93,
  SWITCH(
      I93,
      "1T",1*10^AB93,
      "2T",2*10^AB93,
      "3T",3*10^AB93,
      "4T",4*10^AB93,
      "4000+500(7O-5)",4000+500*(7*I94-5),
      "13500 + 16C",13500+16*VLOOKUP(J95,'Machine Helper Sheet'!$G$1:$K$16,5,FALSE),
      1
  )
)</f>
        <v>100</v>
      </c>
      <c r="L93" s="147">
        <f>IF(VLOOKUP(H93,'Machine List'!$A$1:$I$300,5,FALSE)="Multi",IF(VLOOKUP(H93,'Machine List'!$A$1:$I$300,6,FALSE)="Yes",AW93*3*10^AV93,AW93*(2*3)*10^(AV93-1)),0)</f>
        <v>0</v>
      </c>
      <c r="M93" s="147">
        <f>L93+IF(ISNUMBER(I93),I93,
  SWITCH(
      I93,
      "1T",1*10^AV93,
      "2T",2*10^AV93,
      "3T",3*10^AV93,
      "4T",4*10^AV93,
      "4000+500(7O-5)",4000+500*(7*I94-5),
      1
  )
)</f>
        <v>100000</v>
      </c>
      <c r="N93" s="147" t="str">
        <f>VLOOKUP(H93,'Machine List'!$A$1:$I$300,8,FALSE)</f>
        <v>Tier</v>
      </c>
      <c r="O93" s="147">
        <f>IF(ISNUMBER(N93),N93,10^AB93)</f>
        <v>100</v>
      </c>
      <c r="P93" s="147">
        <f>IF(ISNUMBER(N93),N93,10^AV93)</f>
        <v>100000</v>
      </c>
      <c r="Q93" s="147">
        <f>VLOOKUP(H93,'Machine List'!$A$1:$B$138,2,FALSE)</f>
        <v>1</v>
      </c>
      <c r="R93" s="147" t="s">
        <v>277</v>
      </c>
      <c r="S93" s="143">
        <f>IF(ISNUMBER(Q93),Q93,
  SWITCH(
      Q93,
      "1",1,
      "2T",AB93*2,
      "4T",AB93*4,
      "6T",AB93*6,
      "8T",AB93*8,
      "10T",AB93*10,
      "12T",AB93*12,
      "14T",AB93*14,
      "16T",AB93*16,
      "24T",AB93*24,
      "2(T+1)",2*(AB93+1),
      "1T*C",AB93*J95,
      "2*P",L95*2,
      1
  )
)</f>
        <v>1</v>
      </c>
      <c r="T93" s="38" t="s">
        <v>277</v>
      </c>
      <c r="U93" s="147">
        <f>IF(OR(T93="No",T93=""),S93,T93)</f>
        <v>1</v>
      </c>
      <c r="V93" s="147">
        <f>IF(ISNUMBER(Q93),Q93,
  SWITCH(
      Q93,
      "1",1,
      "2T",AV93*2,
      "4T",AV93*4,
      "6T",AV93*6,
      "8T",AV93*8,
      "10T",AV93*10,
      "12T",AV93*12,
      "14T",AV93*14,
      "16T",AV93*16,
      "24T",AV93*24,
      "2(T+1)",2*(AV93+1),
      "1T*C",AV93*J95,
      "2*P",L95*2,
      1
  )
)</f>
        <v>1</v>
      </c>
      <c r="W93" s="147" t="str">
        <f>T93</f>
        <v>No</v>
      </c>
      <c r="X93" s="147">
        <f>IF(OR(W93="No",W93=""),V93,W93)</f>
        <v>1</v>
      </c>
      <c r="Y93" s="38">
        <f>VLOOKUP(H93,'Machine List'!$A$1:$C$138,3,FALSE)</f>
        <v>1</v>
      </c>
      <c r="Z93" s="38">
        <f>VLOOKUP(H93,'Machine List'!$A$1:$D$138,4,FALSE)</f>
        <v>1</v>
      </c>
      <c r="AA93" s="168" t="s">
        <v>393</v>
      </c>
      <c r="AB93" s="147">
        <f>VLOOKUP(AA93,'Item Helper Sheet'!$A$2:$B$16,2,FALSE)</f>
        <v>2</v>
      </c>
      <c r="AC93" s="147">
        <v>120.0</v>
      </c>
      <c r="AD93" s="147">
        <f>40*20</f>
        <v>800</v>
      </c>
      <c r="AE93" s="147">
        <f>AD93*I95</f>
        <v>5600</v>
      </c>
      <c r="AF93" s="147">
        <f>AC93*AE93</f>
        <v>672000</v>
      </c>
      <c r="AG93" s="148"/>
      <c r="AH93" s="147" t="str">
        <f>AA93</f>
        <v>02 - MV</v>
      </c>
      <c r="AI93" s="147">
        <v>1.0</v>
      </c>
      <c r="AJ93" s="147">
        <v>1.0</v>
      </c>
      <c r="AK93" s="147">
        <f>AJ93*8*4^AB93</f>
        <v>128</v>
      </c>
      <c r="AL93" s="147">
        <f>MIN(ROUNDDOWN(AK93/AN93,0),U93)</f>
        <v>1</v>
      </c>
      <c r="AM93" s="147">
        <f>IF(OR(T93="No",T93=""),AI93*S93,AI93*T93)</f>
        <v>1</v>
      </c>
      <c r="AN93" s="147">
        <f>ROUNDUP(AC93*VLOOKUP(H93,'Machine List'!$A$2:$D$219,4,FALSE),0)</f>
        <v>120</v>
      </c>
      <c r="AO93" s="147">
        <f>AN93*AM93</f>
        <v>120</v>
      </c>
      <c r="AP93" s="147">
        <f>ROUNDUP(AD93*I95,0)</f>
        <v>5600</v>
      </c>
      <c r="AQ93" s="38">
        <f>IF(ISNUMBER(Y93),ROUNDUP(AP93/Y93,0),
  SWITCH(
      Y93,
      "1+0.5C",ROUNDUP(AP93/(1+0.5*VLOOKUP(J95,'Machine Helper Sheet'!$G$1:$K$16,2,FALSE)),0),
      ROUNDUP(AP93/1,0)
  )
)</f>
        <v>5600</v>
      </c>
      <c r="AR93" s="147">
        <f>ROUNDUP(AQ93/AM93,0)</f>
        <v>5600</v>
      </c>
      <c r="AS93" s="147">
        <f>AO93*AR93</f>
        <v>672000</v>
      </c>
      <c r="AT93" s="148"/>
      <c r="AU93" s="168" t="s">
        <v>405</v>
      </c>
      <c r="AV93" s="147">
        <f>VLOOKUP(AU93,'Item Helper Sheet'!$A$2:$B$16,2,FALSE)</f>
        <v>5</v>
      </c>
      <c r="AW93" s="147">
        <f>AI93</f>
        <v>1</v>
      </c>
      <c r="AX93" s="147">
        <v>1.0</v>
      </c>
      <c r="AY93" s="147">
        <f>AX93*8*4^AV93</f>
        <v>8192</v>
      </c>
      <c r="AZ93" s="147">
        <f>MIN(ROUNDDOWN(AY93/AN93,0),X93)</f>
        <v>1</v>
      </c>
      <c r="BA93" s="147">
        <f>AZ93*AW93</f>
        <v>1</v>
      </c>
      <c r="BB93" s="147">
        <f>AN93</f>
        <v>120</v>
      </c>
      <c r="BC93" s="147">
        <f>MIN(AV93-AB93,IF(AY93&gt;=BB94*4,
IF(AY93&gt;=BB94*4^2,
IF(AY93&gt;=BB94*4^3,
IF(AY93&gt;=BB94*4^4,
IF(AY93&gt;=BB94*4^5,
IF(AY93&gt;=BB94*4^6,
IF(AY93&gt;=BB94*4^7,
IF(AY93&gt;=BB94*4^8,
IF(AY93&gt;=BB94*4^9,
IF(AY93&gt;=BB94*4^10,
9),
8),
7),
6),
5),
4),
3),
2),
1),
0))</f>
        <v>3</v>
      </c>
      <c r="BD93" s="147">
        <f>BB93*AZ93*4^BC93</f>
        <v>7680</v>
      </c>
      <c r="BE93" s="147">
        <f>BD93*AW93</f>
        <v>7680</v>
      </c>
      <c r="BF93" s="143">
        <f>ROUNDUP(IF(R93="Yes",AP93/(2^((BC93)*2)),AP93/(2^(BC93))),0)</f>
        <v>700</v>
      </c>
      <c r="BG93" s="45">
        <f>IF(ISNUMBER(Y93),ROUNDUP(BF93/Y93,0),
  SWITCH(
      Y93,
      "1+0.5C",ROUNDUP(BF93/(1+0.5*VLOOKUP(J95,'Machine Helper Sheet'!$G$1:$K$16,2,FALSE)),0),
      ROUNDUP(BF93/1,0)
  )
)</f>
        <v>700</v>
      </c>
      <c r="BH93" s="143">
        <f>ROUNDUP(BG93/BA93,0)</f>
        <v>700</v>
      </c>
      <c r="BI93" s="149">
        <f>BH93*BE93</f>
        <v>5376000</v>
      </c>
      <c r="BK93" s="22"/>
      <c r="BM93" s="140" t="s">
        <v>815</v>
      </c>
      <c r="BN93" s="140">
        <v>2.2896E7</v>
      </c>
      <c r="BO93" s="140">
        <v>9.1584E7</v>
      </c>
      <c r="BP93" s="140" t="s">
        <v>815</v>
      </c>
      <c r="BQ93" s="140">
        <v>47700.0</v>
      </c>
      <c r="BR93" s="140">
        <v>11925.0</v>
      </c>
      <c r="BS93" s="140" t="s">
        <v>815</v>
      </c>
      <c r="BT93" s="140">
        <v>3.0</v>
      </c>
      <c r="BU93" s="140">
        <v>5.0</v>
      </c>
      <c r="BV93" s="140">
        <v>1.0</v>
      </c>
      <c r="BX93" s="140" t="s">
        <v>815</v>
      </c>
      <c r="BY93" s="6">
        <v>1000.0</v>
      </c>
      <c r="BZ93" s="140">
        <v>1000.0</v>
      </c>
      <c r="CB93" s="140" t="s">
        <v>815</v>
      </c>
      <c r="CC93" s="6">
        <v>100000.0</v>
      </c>
      <c r="CD93" s="140">
        <v>100000.0</v>
      </c>
    </row>
    <row r="94">
      <c r="B94" s="150"/>
      <c r="C94" s="169" t="s">
        <v>150</v>
      </c>
      <c r="D94" s="147">
        <f>1*I95</f>
        <v>7</v>
      </c>
      <c r="E94" s="168" t="s">
        <v>151</v>
      </c>
      <c r="F94" s="152">
        <f>32*I95</f>
        <v>224</v>
      </c>
      <c r="G94" s="138"/>
      <c r="H94" s="153" t="s">
        <v>584</v>
      </c>
      <c r="I94" s="45">
        <f t="array" ref="I94">match(TRUE,ISBLANK(F94:F109),0)-1</f>
        <v>2</v>
      </c>
      <c r="J94" s="154" t="s">
        <v>420</v>
      </c>
      <c r="K94" s="154" t="s">
        <v>585</v>
      </c>
      <c r="L94" s="100" t="s">
        <v>704</v>
      </c>
      <c r="M94" s="147"/>
      <c r="N94" s="147"/>
      <c r="O94" s="147"/>
      <c r="P94" s="147"/>
      <c r="Q94" s="147"/>
      <c r="R94" s="155"/>
      <c r="S94" s="155"/>
      <c r="T94" s="155"/>
      <c r="U94" s="143"/>
      <c r="V94" s="143"/>
      <c r="W94" s="143"/>
      <c r="X94" s="143"/>
      <c r="Y94" s="143"/>
      <c r="Z94" s="143"/>
      <c r="AA94" s="143"/>
      <c r="AB94" s="143"/>
      <c r="AC94" s="143"/>
      <c r="AD94" s="143"/>
      <c r="AE94" s="143"/>
      <c r="AF94" s="143"/>
      <c r="AG94" s="156"/>
      <c r="AH94" s="143"/>
      <c r="AI94" s="143"/>
      <c r="AJ94" s="143"/>
      <c r="AK94" s="143"/>
      <c r="AL94" s="143"/>
      <c r="AM94" s="143"/>
      <c r="AN94" s="143"/>
      <c r="AO94" s="143"/>
      <c r="AP94" s="143"/>
      <c r="AQ94" s="143"/>
      <c r="AR94" s="143"/>
      <c r="AS94" s="143"/>
      <c r="AT94" s="156"/>
      <c r="AU94" s="143"/>
      <c r="AV94" s="143"/>
      <c r="AW94" s="143"/>
      <c r="AX94" s="143"/>
      <c r="AY94" s="143"/>
      <c r="AZ94" s="143"/>
      <c r="BA94" s="143"/>
      <c r="BB94" s="143">
        <f>BB93*AZ93</f>
        <v>120</v>
      </c>
      <c r="BC94" s="143"/>
      <c r="BD94" s="143"/>
      <c r="BE94" s="143"/>
      <c r="BF94" s="143"/>
      <c r="BG94" s="143"/>
      <c r="BH94" s="143"/>
      <c r="BI94" s="149"/>
      <c r="BK94" s="22"/>
      <c r="BM94" s="140" t="s">
        <v>816</v>
      </c>
      <c r="BN94" s="140">
        <v>9158400.0</v>
      </c>
      <c r="BO94" s="140">
        <v>3.66336E7</v>
      </c>
      <c r="BP94" s="140" t="s">
        <v>816</v>
      </c>
      <c r="BQ94" s="140">
        <v>47700.0</v>
      </c>
      <c r="BR94" s="140">
        <v>11925.0</v>
      </c>
      <c r="BS94" s="140" t="s">
        <v>816</v>
      </c>
      <c r="BT94" s="140">
        <v>3.0</v>
      </c>
      <c r="BU94" s="140">
        <v>5.0</v>
      </c>
      <c r="BV94" s="140">
        <v>1.0</v>
      </c>
      <c r="BX94" s="140" t="s">
        <v>816</v>
      </c>
      <c r="BY94" s="6">
        <v>1000.0</v>
      </c>
      <c r="BZ94" s="140">
        <v>1000.0</v>
      </c>
      <c r="CB94" s="140" t="s">
        <v>816</v>
      </c>
      <c r="CC94" s="6">
        <v>100000.0</v>
      </c>
      <c r="CD94" s="140">
        <v>100000.0</v>
      </c>
    </row>
    <row r="95">
      <c r="B95" s="150"/>
      <c r="C95" s="169" t="s">
        <v>115</v>
      </c>
      <c r="D95" s="147">
        <f>75*I95</f>
        <v>525</v>
      </c>
      <c r="E95" s="168" t="s">
        <v>206</v>
      </c>
      <c r="F95" s="152">
        <f>8*I95</f>
        <v>56</v>
      </c>
      <c r="G95" s="138"/>
      <c r="H95" s="157" t="s">
        <v>502</v>
      </c>
      <c r="I95" s="170">
        <v>7.0</v>
      </c>
      <c r="J95" s="154" t="s">
        <v>424</v>
      </c>
      <c r="K95" s="154">
        <v>0.0</v>
      </c>
      <c r="L95" s="100">
        <v>0.0</v>
      </c>
      <c r="M95" s="143"/>
      <c r="N95" s="143"/>
      <c r="O95" s="143"/>
      <c r="P95" s="143"/>
      <c r="Q95" s="143"/>
      <c r="R95" s="143"/>
      <c r="S95" s="155"/>
      <c r="T95" s="155"/>
      <c r="U95" s="143"/>
      <c r="V95" s="143"/>
      <c r="W95" s="143"/>
      <c r="X95" s="143"/>
      <c r="Y95" s="143"/>
      <c r="Z95" s="143"/>
      <c r="AA95" s="143"/>
      <c r="AB95" s="143"/>
      <c r="AC95" s="143"/>
      <c r="AD95" s="143"/>
      <c r="AE95" s="143"/>
      <c r="AF95" s="143"/>
      <c r="AG95" s="156"/>
      <c r="AH95" s="143"/>
      <c r="AI95" s="143"/>
      <c r="AJ95" s="143"/>
      <c r="AK95" s="143"/>
      <c r="AL95" s="143"/>
      <c r="AM95" s="143"/>
      <c r="AN95" s="143"/>
      <c r="AO95" s="143"/>
      <c r="AP95" s="143"/>
      <c r="AQ95" s="143"/>
      <c r="AR95" s="143"/>
      <c r="AS95" s="143"/>
      <c r="AT95" s="156"/>
      <c r="AU95" s="143"/>
      <c r="AV95" s="143"/>
      <c r="AW95" s="143"/>
      <c r="AX95" s="143"/>
      <c r="AY95" s="143"/>
      <c r="AZ95" s="143"/>
      <c r="BA95" s="143"/>
      <c r="BB95" s="143"/>
      <c r="BC95" s="143"/>
      <c r="BD95" s="143"/>
      <c r="BE95" s="143"/>
      <c r="BF95" s="143"/>
      <c r="BG95" s="143"/>
      <c r="BH95" s="143"/>
      <c r="BI95" s="149"/>
      <c r="BK95" s="22"/>
      <c r="BM95" s="140" t="s">
        <v>817</v>
      </c>
      <c r="BN95" s="140">
        <v>1008000.0</v>
      </c>
      <c r="BO95" s="140">
        <v>1.6128E7</v>
      </c>
      <c r="BP95" s="140" t="s">
        <v>817</v>
      </c>
      <c r="BQ95" s="140">
        <v>252000.0</v>
      </c>
      <c r="BR95" s="140">
        <v>15750.0</v>
      </c>
      <c r="BS95" s="140" t="s">
        <v>817</v>
      </c>
      <c r="BT95" s="140">
        <v>1.0</v>
      </c>
      <c r="BU95" s="140">
        <v>5.0</v>
      </c>
      <c r="BV95" s="140">
        <v>1.0</v>
      </c>
      <c r="BX95" s="140" t="s">
        <v>817</v>
      </c>
      <c r="BY95" s="6">
        <v>10.0</v>
      </c>
      <c r="BZ95" s="140">
        <v>10.0</v>
      </c>
      <c r="CB95" s="140" t="s">
        <v>817</v>
      </c>
      <c r="CC95" s="6">
        <v>100000.0</v>
      </c>
      <c r="CD95" s="140">
        <v>100000.0</v>
      </c>
    </row>
    <row r="96">
      <c r="B96" s="135"/>
      <c r="C96" s="136"/>
      <c r="D96" s="137"/>
      <c r="E96" s="137"/>
      <c r="F96" s="137"/>
      <c r="G96" s="138"/>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8"/>
      <c r="AH96" s="137"/>
      <c r="AI96" s="137"/>
      <c r="AJ96" s="137"/>
      <c r="AK96" s="137"/>
      <c r="AL96" s="137"/>
      <c r="AM96" s="137"/>
      <c r="AN96" s="137"/>
      <c r="AO96" s="137"/>
      <c r="AP96" s="137"/>
      <c r="AQ96" s="137"/>
      <c r="AR96" s="137"/>
      <c r="AS96" s="137"/>
      <c r="AT96" s="138"/>
      <c r="AU96" s="137"/>
      <c r="AV96" s="137"/>
      <c r="AW96" s="137"/>
      <c r="AX96" s="137"/>
      <c r="AY96" s="137"/>
      <c r="AZ96" s="137"/>
      <c r="BA96" s="137"/>
      <c r="BB96" s="137"/>
      <c r="BC96" s="137"/>
      <c r="BD96" s="137"/>
      <c r="BE96" s="137"/>
      <c r="BF96" s="137"/>
      <c r="BG96" s="137"/>
      <c r="BH96" s="137"/>
      <c r="BI96" s="139"/>
      <c r="BK96" s="22"/>
      <c r="BM96" s="6" t="s">
        <v>487</v>
      </c>
      <c r="BN96" s="6">
        <v>4.748303888E9</v>
      </c>
      <c r="BO96" s="6">
        <v>7.852525568E9</v>
      </c>
    </row>
    <row r="97">
      <c r="B97" s="141" t="s">
        <v>802</v>
      </c>
      <c r="C97" s="142"/>
      <c r="D97" s="143"/>
      <c r="E97" s="143"/>
      <c r="F97" s="144"/>
      <c r="G97" s="145"/>
      <c r="H97" s="167" t="s">
        <v>379</v>
      </c>
      <c r="I97" s="147" t="str">
        <f>VLOOKUP(H97,'Machine List'!$A$1:$I$300,9,FALSE)</f>
        <v>1T</v>
      </c>
      <c r="J97" s="147">
        <f>IF(VLOOKUP(H97,'Machine List'!$A$1:$I$300,5,FALSE)="Multi",IF(VLOOKUP(H97,'Machine List'!$A$1:$I$300,6,FALSE)="Yes",AI97*3*10^AB97,AI97*(2*3)*10^(AB97-1)),0)</f>
        <v>0</v>
      </c>
      <c r="K97" s="147">
        <f>J97+IF(ISNUMBER(I97),I97,
  SWITCH(
      I97,
      "1T",1*10^AB97,
      "2T",2*10^AB97,
      "3T",3*10^AB97,
      "4T",4*10^AB97,
      "4000+500(7O-5)",4000+500*(7*I98-5),
      "13500 + 16C",13500+16*VLOOKUP(J99,'Machine Helper Sheet'!$G$1:$K$16,5,FALSE),
      1
  )
)</f>
        <v>1000</v>
      </c>
      <c r="L97" s="147">
        <f>IF(VLOOKUP(H97,'Machine List'!$A$1:$I$300,5,FALSE)="Multi",IF(VLOOKUP(H97,'Machine List'!$A$1:$I$300,6,FALSE)="Yes",AW97*3*10^AV97,AW97*(2*3)*10^(AV97-1)),0)</f>
        <v>0</v>
      </c>
      <c r="M97" s="147">
        <f>L97+IF(ISNUMBER(I97),I97,
  SWITCH(
      I97,
      "1T",1*10^AV97,
      "2T",2*10^AV97,
      "3T",3*10^AV97,
      "4T",4*10^AV97,
      "4000+500(7O-5)",4000+500*(7*I98-5),
      1
  )
)</f>
        <v>100000</v>
      </c>
      <c r="N97" s="147" t="str">
        <f>VLOOKUP(H97,'Machine List'!$A$1:$I$300,8,FALSE)</f>
        <v>Tier</v>
      </c>
      <c r="O97" s="147">
        <f>IF(ISNUMBER(N97),N97,10^AB97)</f>
        <v>1000</v>
      </c>
      <c r="P97" s="147">
        <f>IF(ISNUMBER(N97),N97,10^AV97)</f>
        <v>100000</v>
      </c>
      <c r="Q97" s="147">
        <f>VLOOKUP(H97,'Machine List'!$A$1:$B$138,2,FALSE)</f>
        <v>1</v>
      </c>
      <c r="R97" s="147" t="s">
        <v>277</v>
      </c>
      <c r="S97" s="143">
        <f>IF(ISNUMBER(Q97),Q97,
  SWITCH(
      Q97,
      "1",1,
      "2T",AB97*2,
      "4T",AB97*4,
      "6T",AB97*6,
      "8T",AB97*8,
      "10T",AB97*10,
      "12T",AB97*12,
      "14T",AB97*14,
      "16T",AB97*16,
      "24T",AB97*24,
      "2(T+1)",2*(AB97+1),
      "1T*C",AB97*J99,
      "2*P",L99*2,
      1
  )
)</f>
        <v>1</v>
      </c>
      <c r="T97" s="38" t="s">
        <v>277</v>
      </c>
      <c r="U97" s="147">
        <f>IF(OR(T97="No",T97=""),S97,T97)</f>
        <v>1</v>
      </c>
      <c r="V97" s="147">
        <f>IF(ISNUMBER(Q97),Q97,
  SWITCH(
      Q97,
      "1",1,
      "2T",AV97*2,
      "4T",AV97*4,
      "6T",AV97*6,
      "8T",AV97*8,
      "10T",AV97*10,
      "12T",AV97*12,
      "14T",AV97*14,
      "16T",AV97*16,
      "24T",AV97*24,
      "2(T+1)",2*(AV97+1),
      "1T*C",AV97*J99,
      "2*P",L99*2,
      1
  )
)</f>
        <v>1</v>
      </c>
      <c r="W97" s="147" t="str">
        <f>T97</f>
        <v>No</v>
      </c>
      <c r="X97" s="147">
        <f>IF(OR(W97="No",W97=""),V97,W97)</f>
        <v>1</v>
      </c>
      <c r="Y97" s="38">
        <f>VLOOKUP(H97,'Machine List'!$A$1:$C$138,3,FALSE)</f>
        <v>1</v>
      </c>
      <c r="Z97" s="38">
        <f>VLOOKUP(H97,'Machine List'!$A$1:$D$138,4,FALSE)</f>
        <v>1</v>
      </c>
      <c r="AA97" s="168" t="s">
        <v>397</v>
      </c>
      <c r="AB97" s="147">
        <f>VLOOKUP(AA97,'Item Helper Sheet'!$A$2:$B$16,2,FALSE)</f>
        <v>3</v>
      </c>
      <c r="AC97" s="147">
        <v>480.0</v>
      </c>
      <c r="AD97" s="147">
        <f>45*20</f>
        <v>900</v>
      </c>
      <c r="AE97" s="147">
        <f>AD97*I99</f>
        <v>75600</v>
      </c>
      <c r="AF97" s="147">
        <f>AC97*AE97</f>
        <v>36288000</v>
      </c>
      <c r="AG97" s="148"/>
      <c r="AH97" s="147" t="str">
        <f>AA97</f>
        <v>03 - HV</v>
      </c>
      <c r="AI97" s="147">
        <v>1.0</v>
      </c>
      <c r="AJ97" s="147">
        <v>1.0</v>
      </c>
      <c r="AK97" s="147">
        <f>AJ97*8*4^AB97</f>
        <v>512</v>
      </c>
      <c r="AL97" s="147">
        <f>MIN(ROUNDDOWN(AK97/AN97,0),U97)</f>
        <v>1</v>
      </c>
      <c r="AM97" s="147">
        <f>IF(OR(T97="No",T97=""),AI97*S97,AI97*T97)</f>
        <v>1</v>
      </c>
      <c r="AN97" s="147">
        <f>ROUNDUP(AC97*VLOOKUP(H97,'Machine List'!$A$2:$D$219,4,FALSE),0)</f>
        <v>480</v>
      </c>
      <c r="AO97" s="147">
        <f>AN97*AM97</f>
        <v>480</v>
      </c>
      <c r="AP97" s="147">
        <f>ROUNDUP(AD97*I99,0)</f>
        <v>75600</v>
      </c>
      <c r="AQ97" s="38">
        <f>IF(ISNUMBER(Y97),ROUNDUP(AP97/Y97,0),
  SWITCH(
      Y97,
      "1+0.5C",ROUNDUP(AP97/(1+0.5*VLOOKUP(J99,'Machine Helper Sheet'!$G$1:$K$16,2,FALSE)),0),
      ROUNDUP(AP97/1,0)
  )
)</f>
        <v>75600</v>
      </c>
      <c r="AR97" s="147">
        <f>ROUNDUP(AQ97/AM97,0)</f>
        <v>75600</v>
      </c>
      <c r="AS97" s="147">
        <f>AO97*AR97</f>
        <v>36288000</v>
      </c>
      <c r="AT97" s="148"/>
      <c r="AU97" s="168" t="s">
        <v>405</v>
      </c>
      <c r="AV97" s="147">
        <f>VLOOKUP(AU97,'Item Helper Sheet'!$A$2:$B$16,2,FALSE)</f>
        <v>5</v>
      </c>
      <c r="AW97" s="147">
        <f>AI97</f>
        <v>1</v>
      </c>
      <c r="AX97" s="147">
        <v>1.0</v>
      </c>
      <c r="AY97" s="147">
        <f>AX97*8*4^AV97</f>
        <v>8192</v>
      </c>
      <c r="AZ97" s="147">
        <f>MIN(ROUNDDOWN(AY97/AN97,0),X97)</f>
        <v>1</v>
      </c>
      <c r="BA97" s="147">
        <f>AZ97*AW97</f>
        <v>1</v>
      </c>
      <c r="BB97" s="147">
        <f>AN97</f>
        <v>480</v>
      </c>
      <c r="BC97" s="147">
        <f>MIN(AV97-AB97,IF(AY97&gt;=BB98*4,
IF(AY97&gt;=BB98*4^2,
IF(AY97&gt;=BB98*4^3,
IF(AY97&gt;=BB98*4^4,
IF(AY97&gt;=BB98*4^5,
IF(AY97&gt;=BB98*4^6,
IF(AY97&gt;=BB98*4^7,
IF(AY97&gt;=BB98*4^8,
IF(AY97&gt;=BB98*4^9,
IF(AY97&gt;=BB98*4^10,
9),
8),
7),
6),
5),
4),
3),
2),
1),
0))</f>
        <v>2</v>
      </c>
      <c r="BD97" s="147">
        <f>BB97*AZ97*4^BC97</f>
        <v>7680</v>
      </c>
      <c r="BE97" s="147">
        <f>BD97*AW97</f>
        <v>7680</v>
      </c>
      <c r="BF97" s="143">
        <f>ROUNDUP(IF(R97="Yes",AP97/(2^((BC97)*2)),AP97/(2^(BC97))),0)</f>
        <v>18900</v>
      </c>
      <c r="BG97" s="45">
        <f>IF(ISNUMBER(Y97),ROUNDUP(BF97/Y97,0),
  SWITCH(
      Y97,
      "1+0.5C",ROUNDUP(BF97/(1+0.5*VLOOKUP(J99,'Machine Helper Sheet'!$G$1:$K$16,2,FALSE)),0),
      ROUNDUP(BF97/1,0)
  )
)</f>
        <v>18900</v>
      </c>
      <c r="BH97" s="143">
        <f>ROUNDUP(BG97/BA97,0)</f>
        <v>18900</v>
      </c>
      <c r="BI97" s="149">
        <f>BH97*BE97</f>
        <v>145152000</v>
      </c>
      <c r="BK97" s="22"/>
    </row>
    <row r="98">
      <c r="B98" s="150"/>
      <c r="C98" s="169" t="s">
        <v>151</v>
      </c>
      <c r="D98" s="147">
        <f>1*I99</f>
        <v>84</v>
      </c>
      <c r="E98" s="168" t="s">
        <v>51</v>
      </c>
      <c r="F98" s="152">
        <f>4*I99</f>
        <v>336</v>
      </c>
      <c r="G98" s="138"/>
      <c r="H98" s="153" t="s">
        <v>584</v>
      </c>
      <c r="I98" s="45">
        <f t="array" ref="I98">match(TRUE,ISBLANK(F98:F113),0)-1</f>
        <v>1</v>
      </c>
      <c r="J98" s="154" t="s">
        <v>420</v>
      </c>
      <c r="K98" s="154" t="s">
        <v>585</v>
      </c>
      <c r="L98" s="100" t="s">
        <v>704</v>
      </c>
      <c r="M98" s="147"/>
      <c r="N98" s="147"/>
      <c r="O98" s="147"/>
      <c r="P98" s="147"/>
      <c r="Q98" s="147"/>
      <c r="R98" s="155"/>
      <c r="S98" s="155"/>
      <c r="T98" s="155"/>
      <c r="U98" s="143"/>
      <c r="V98" s="143"/>
      <c r="W98" s="143"/>
      <c r="X98" s="143"/>
      <c r="Y98" s="143"/>
      <c r="Z98" s="143"/>
      <c r="AA98" s="143"/>
      <c r="AB98" s="143"/>
      <c r="AC98" s="143"/>
      <c r="AD98" s="143"/>
      <c r="AE98" s="143"/>
      <c r="AF98" s="143"/>
      <c r="AG98" s="156"/>
      <c r="AH98" s="143"/>
      <c r="AI98" s="143"/>
      <c r="AJ98" s="143"/>
      <c r="AK98" s="143"/>
      <c r="AL98" s="143"/>
      <c r="AM98" s="143"/>
      <c r="AN98" s="143"/>
      <c r="AO98" s="143"/>
      <c r="AP98" s="143"/>
      <c r="AQ98" s="143"/>
      <c r="AR98" s="143"/>
      <c r="AS98" s="143"/>
      <c r="AT98" s="156"/>
      <c r="AU98" s="143"/>
      <c r="AV98" s="143"/>
      <c r="AW98" s="143"/>
      <c r="AX98" s="143"/>
      <c r="AY98" s="143"/>
      <c r="AZ98" s="143"/>
      <c r="BA98" s="143"/>
      <c r="BB98" s="143">
        <f>BB97*AZ97</f>
        <v>480</v>
      </c>
      <c r="BC98" s="143"/>
      <c r="BD98" s="143"/>
      <c r="BE98" s="143"/>
      <c r="BF98" s="143"/>
      <c r="BG98" s="143"/>
      <c r="BH98" s="143"/>
      <c r="BI98" s="149"/>
      <c r="BK98" s="22"/>
    </row>
    <row r="99">
      <c r="B99" s="150"/>
      <c r="C99" s="151"/>
      <c r="D99" s="147"/>
      <c r="E99" s="147"/>
      <c r="F99" s="152"/>
      <c r="G99" s="138"/>
      <c r="H99" s="157" t="s">
        <v>502</v>
      </c>
      <c r="I99" s="170">
        <v>84.0</v>
      </c>
      <c r="J99" s="154" t="s">
        <v>424</v>
      </c>
      <c r="K99" s="154">
        <v>0.0</v>
      </c>
      <c r="L99" s="100">
        <v>0.0</v>
      </c>
      <c r="M99" s="143"/>
      <c r="N99" s="143"/>
      <c r="O99" s="143"/>
      <c r="P99" s="143"/>
      <c r="Q99" s="143"/>
      <c r="R99" s="143"/>
      <c r="S99" s="155"/>
      <c r="T99" s="155"/>
      <c r="U99" s="143"/>
      <c r="V99" s="143"/>
      <c r="W99" s="143"/>
      <c r="X99" s="143"/>
      <c r="Y99" s="143"/>
      <c r="Z99" s="143"/>
      <c r="AA99" s="143"/>
      <c r="AB99" s="143"/>
      <c r="AC99" s="143"/>
      <c r="AD99" s="143"/>
      <c r="AE99" s="143"/>
      <c r="AF99" s="143"/>
      <c r="AG99" s="156"/>
      <c r="AH99" s="143"/>
      <c r="AI99" s="143"/>
      <c r="AJ99" s="143"/>
      <c r="AK99" s="143"/>
      <c r="AL99" s="143"/>
      <c r="AM99" s="143"/>
      <c r="AN99" s="143"/>
      <c r="AO99" s="143"/>
      <c r="AP99" s="143"/>
      <c r="AQ99" s="143"/>
      <c r="AR99" s="143"/>
      <c r="AS99" s="143"/>
      <c r="AT99" s="156"/>
      <c r="AU99" s="143"/>
      <c r="AV99" s="143"/>
      <c r="AW99" s="143"/>
      <c r="AX99" s="143"/>
      <c r="AY99" s="143"/>
      <c r="AZ99" s="143"/>
      <c r="BA99" s="143"/>
      <c r="BB99" s="143"/>
      <c r="BC99" s="143"/>
      <c r="BD99" s="143"/>
      <c r="BE99" s="143"/>
      <c r="BF99" s="143"/>
      <c r="BG99" s="143"/>
      <c r="BH99" s="143"/>
      <c r="BI99" s="149"/>
      <c r="BK99" s="22"/>
      <c r="BM99" s="6" t="s">
        <v>475</v>
      </c>
      <c r="BN99" s="6" t="s">
        <v>462</v>
      </c>
      <c r="BO99" s="6"/>
      <c r="BP99" s="6"/>
      <c r="BQ99" s="6"/>
      <c r="BR99" s="6"/>
      <c r="BS99" s="6"/>
      <c r="BT99" s="6"/>
      <c r="BU99" s="6"/>
      <c r="BV99" s="6"/>
      <c r="BW99" s="6"/>
      <c r="BX99" s="6"/>
      <c r="BY99" s="6"/>
      <c r="BZ99" s="6"/>
      <c r="CB99" s="6" t="s">
        <v>619</v>
      </c>
      <c r="CC99" s="6" t="s">
        <v>495</v>
      </c>
      <c r="CD99" s="6"/>
      <c r="CE99" s="6"/>
      <c r="CF99" s="6"/>
      <c r="CG99" s="6"/>
      <c r="CH99" s="6"/>
      <c r="CJ99" s="6" t="s">
        <v>560</v>
      </c>
      <c r="CK99" s="6" t="s">
        <v>694</v>
      </c>
      <c r="CL99" s="6"/>
    </row>
    <row r="100">
      <c r="B100" s="135"/>
      <c r="C100" s="136"/>
      <c r="D100" s="137"/>
      <c r="E100" s="137"/>
      <c r="F100" s="137"/>
      <c r="G100" s="138"/>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8"/>
      <c r="AH100" s="137"/>
      <c r="AI100" s="137"/>
      <c r="AJ100" s="137"/>
      <c r="AK100" s="137"/>
      <c r="AL100" s="137"/>
      <c r="AM100" s="137"/>
      <c r="AN100" s="137"/>
      <c r="AO100" s="137"/>
      <c r="AP100" s="137"/>
      <c r="AQ100" s="137"/>
      <c r="AR100" s="137"/>
      <c r="AS100" s="137"/>
      <c r="AT100" s="138"/>
      <c r="AU100" s="137"/>
      <c r="AV100" s="137"/>
      <c r="AW100" s="137"/>
      <c r="AX100" s="137"/>
      <c r="AY100" s="137"/>
      <c r="AZ100" s="137"/>
      <c r="BA100" s="137"/>
      <c r="BB100" s="137"/>
      <c r="BC100" s="137"/>
      <c r="BD100" s="137"/>
      <c r="BE100" s="137"/>
      <c r="BF100" s="137"/>
      <c r="BG100" s="137"/>
      <c r="BH100" s="137"/>
      <c r="BI100" s="139"/>
      <c r="BK100" s="22"/>
      <c r="BM100" s="6" t="s">
        <v>457</v>
      </c>
      <c r="BN100" s="140" t="s">
        <v>285</v>
      </c>
      <c r="BO100" s="140" t="s">
        <v>287</v>
      </c>
      <c r="BP100" s="140" t="s">
        <v>288</v>
      </c>
      <c r="BQ100" s="140" t="s">
        <v>290</v>
      </c>
      <c r="BR100" s="140" t="s">
        <v>292</v>
      </c>
      <c r="BS100" s="6" t="s">
        <v>380</v>
      </c>
      <c r="BT100" s="140" t="s">
        <v>295</v>
      </c>
      <c r="BU100" s="140" t="s">
        <v>306</v>
      </c>
      <c r="BV100" s="140" t="s">
        <v>311</v>
      </c>
      <c r="BW100" s="140" t="s">
        <v>379</v>
      </c>
      <c r="BX100" s="6" t="s">
        <v>349</v>
      </c>
      <c r="BY100" s="140" t="s">
        <v>374</v>
      </c>
      <c r="BZ100" s="6" t="s">
        <v>487</v>
      </c>
      <c r="CB100" s="6" t="s">
        <v>462</v>
      </c>
      <c r="CC100" s="140" t="s">
        <v>390</v>
      </c>
      <c r="CD100" s="140" t="s">
        <v>393</v>
      </c>
      <c r="CE100" s="140" t="s">
        <v>397</v>
      </c>
      <c r="CF100" s="6" t="s">
        <v>401</v>
      </c>
      <c r="CG100" s="6" t="s">
        <v>405</v>
      </c>
      <c r="CH100" s="6" t="s">
        <v>487</v>
      </c>
      <c r="CJ100" s="6" t="s">
        <v>462</v>
      </c>
      <c r="CK100" s="6">
        <v>1.0</v>
      </c>
      <c r="CL100" s="6" t="s">
        <v>487</v>
      </c>
    </row>
    <row r="101">
      <c r="B101" s="31" t="s">
        <v>803</v>
      </c>
      <c r="C101" s="54"/>
      <c r="D101" s="45"/>
      <c r="E101" s="45"/>
      <c r="F101" s="47"/>
      <c r="G101" s="35"/>
      <c r="H101" s="163" t="s">
        <v>349</v>
      </c>
      <c r="I101" s="38">
        <f>VLOOKUP(H101,'Machine List'!$A$1:$I$300,9,FALSE)</f>
        <v>4000</v>
      </c>
      <c r="J101" s="38">
        <f>IF(VLOOKUP(H101,'Machine List'!$A$1:$I$300,5,FALSE)="Multi",IF(VLOOKUP(H101,'Machine List'!$A$1:$I$300,6,FALSE)="Yes",AI101*3*10^AB101,AI101*(2*3)*10^(AB101-1)),0)</f>
        <v>6000</v>
      </c>
      <c r="K101" s="38">
        <f>J101+IF(ISNUMBER(I101),I101,
  SWITCH(
      I101,
      "1T",1*10^AB101,
      "2T",2*10^AB101,
      "3T",3*10^AB101,
      "4T",4*10^AB101,
      "4000+500(7O-5)",4000+500*(7*I102-5),
      "13500 + 16C",13500+16*VLOOKUP(J103,'Machine Helper Sheet'!$G$1:$K$16,5,FALSE),
      1
  )
)</f>
        <v>10000</v>
      </c>
      <c r="L101" s="38">
        <f>IF(VLOOKUP(H101,'Machine List'!$A$1:$I$300,5,FALSE)="Multi",IF(VLOOKUP(H101,'Machine List'!$A$1:$I$300,6,FALSE)="Yes",AW101*3*10^AV101,AW101*(2*3)*10^(AV101-1)),0)</f>
        <v>60000</v>
      </c>
      <c r="M101" s="38">
        <f>L101+IF(ISNUMBER(I101),I101,
  SWITCH(
      I101,
      "1T",1*10^AV101,
      "2T",2*10^AV101,
      "3T",3*10^AV101,
      "4T",4*10^AV101,
      "4000+500(7O-5)",4000+500*(7*I102-5),
      1
  )
)</f>
        <v>64000</v>
      </c>
      <c r="N101" s="38" t="str">
        <f>VLOOKUP(H101,'Machine List'!$A$1:$I$300,8,FALSE)</f>
        <v>Tier</v>
      </c>
      <c r="O101" s="38">
        <f>IF(ISNUMBER(N101),N101,10^AB101)</f>
        <v>10000</v>
      </c>
      <c r="P101" s="38">
        <f>IF(ISNUMBER(N101),N101,10^AV101)</f>
        <v>100000</v>
      </c>
      <c r="Q101" s="38">
        <f>VLOOKUP(H101,'Machine List'!$A$1:$B$138,2,FALSE)</f>
        <v>1</v>
      </c>
      <c r="R101" s="38" t="s">
        <v>594</v>
      </c>
      <c r="S101" s="45">
        <f>IF(ISNUMBER(Q101),Q101,
  SWITCH(
      Q101,
      "1",1,
      "2T",AB101*2,
      "4T",AB101*4,
      "6T",AB101*6,
      "8T",AB101*8,
      "10T",AB101*10,
      "12T",AB101*12,
      "14T",AB101*14,
      "16T",AB101*16,
      "24T",AB101*24,
      "2(T+1)",2*(AB101+1),
      "1T*C",AB101*J103,
      "2*P",L103*2,
      1
  )
)</f>
        <v>1</v>
      </c>
      <c r="T101" s="38" t="s">
        <v>277</v>
      </c>
      <c r="U101" s="38">
        <f>IF(OR(T101="No",T101=""),S101,T101)</f>
        <v>1</v>
      </c>
      <c r="V101" s="38">
        <f>IF(ISNUMBER(Q101),Q101,
  SWITCH(
      Q101,
      "1",1,
      "2T",AV101*2,
      "4T",AV101*4,
      "6T",AV101*6,
      "8T",AV101*8,
      "10T",AV101*10,
      "12T",AV101*12,
      "14T",AV101*14,
      "16T",AV101*16,
      "24T",AV101*24,
      "2(T+1)",2*(AV101+1),
      "1T*C",AV101*J103,
      "2*P",L103*2,
      1
  )
)</f>
        <v>1</v>
      </c>
      <c r="W101" s="38" t="str">
        <f>T101</f>
        <v>No</v>
      </c>
      <c r="X101" s="38">
        <f>IF(OR(W101="No",W101=""),V101,W101)</f>
        <v>1</v>
      </c>
      <c r="Y101" s="38">
        <f>VLOOKUP(H101,'Machine List'!$A$1:$C$138,3,FALSE)</f>
        <v>1</v>
      </c>
      <c r="Z101" s="38">
        <f>VLOOKUP(H101,'Machine List'!$A$1:$D$138,4,FALSE)</f>
        <v>1</v>
      </c>
      <c r="AA101" s="164" t="s">
        <v>401</v>
      </c>
      <c r="AB101" s="38">
        <f>VLOOKUP(AA101,'Item Helper Sheet'!$A$2:$B$16,2,FALSE)</f>
        <v>4</v>
      </c>
      <c r="AC101" s="164">
        <v>1920.0</v>
      </c>
      <c r="AD101" s="38">
        <f>60*20</f>
        <v>1200</v>
      </c>
      <c r="AE101" s="38">
        <f>AD101*I103</f>
        <v>402000</v>
      </c>
      <c r="AF101" s="38">
        <f>AC101*AE101</f>
        <v>771840000</v>
      </c>
      <c r="AG101" s="75"/>
      <c r="AH101" s="38" t="str">
        <f>AA101</f>
        <v>04 - EV</v>
      </c>
      <c r="AI101" s="38">
        <v>1.0</v>
      </c>
      <c r="AJ101" s="38">
        <v>1.0</v>
      </c>
      <c r="AK101" s="38">
        <f>AJ101*8*4^AB101</f>
        <v>2048</v>
      </c>
      <c r="AL101" s="38">
        <f>MIN(ROUNDDOWN(AK101/AN101,0),U101)</f>
        <v>1</v>
      </c>
      <c r="AM101" s="38">
        <f>IF(OR(T101="No",T101=""),AI101*S101,AI101*T101)</f>
        <v>1</v>
      </c>
      <c r="AN101" s="38">
        <f>ROUNDUP(AC101*VLOOKUP(H101,'Machine List'!$A$2:$D$219,4,FALSE),0)</f>
        <v>1920</v>
      </c>
      <c r="AO101" s="38">
        <f>AN101*AM101</f>
        <v>1920</v>
      </c>
      <c r="AP101" s="38">
        <f>ROUNDUP(AD101*I103,0)</f>
        <v>402000</v>
      </c>
      <c r="AQ101" s="38">
        <f>IF(ISNUMBER(Y101),ROUNDUP(AP101/Y101,0),
  SWITCH(
      Y101,
      "1+0.5C",ROUNDUP(AP101/(1+0.5*VLOOKUP(J103,'Machine Helper Sheet'!$G$1:$K$16,2,FALSE)),0),
      ROUNDUP(AP101/1,0)
  )
)</f>
        <v>402000</v>
      </c>
      <c r="AR101" s="38">
        <f>ROUNDUP(AQ101/AM101,0)</f>
        <v>402000</v>
      </c>
      <c r="AS101" s="38">
        <f>AO101*AR101</f>
        <v>771840000</v>
      </c>
      <c r="AT101" s="75"/>
      <c r="AU101" s="164" t="s">
        <v>405</v>
      </c>
      <c r="AV101" s="38">
        <f>VLOOKUP(AU101,'Item Helper Sheet'!$A$2:$B$16,2,FALSE)</f>
        <v>5</v>
      </c>
      <c r="AW101" s="38">
        <f>AI101</f>
        <v>1</v>
      </c>
      <c r="AX101" s="38">
        <v>1.0</v>
      </c>
      <c r="AY101" s="38">
        <f>AX101*8*4^AV101</f>
        <v>8192</v>
      </c>
      <c r="AZ101" s="38">
        <f>MIN(ROUNDDOWN(AY101/AN101,0),X101)</f>
        <v>1</v>
      </c>
      <c r="BA101" s="38">
        <f>AZ101*AW101</f>
        <v>1</v>
      </c>
      <c r="BB101" s="38">
        <f>AN101</f>
        <v>1920</v>
      </c>
      <c r="BC101" s="38">
        <f>MIN(AV101-AB101,IF(AY101&gt;=BB102*4,
IF(AY101&gt;=BB102*4^2,
IF(AY101&gt;=BB102*4^3,
IF(AY101&gt;=BB102*4^4,
IF(AY101&gt;=BB102*4^5,
IF(AY101&gt;=BB102*4^6,
IF(AY101&gt;=BB102*4^7,
IF(AY101&gt;=BB102*4^8,
IF(AY101&gt;=BB102*4^9,
IF(AY101&gt;=BB102*4^10,
9),
8),
7),
6),
5),
4),
3),
2),
1),
0))</f>
        <v>1</v>
      </c>
      <c r="BD101" s="38">
        <f>BB101*AZ101*4^BC101</f>
        <v>7680</v>
      </c>
      <c r="BE101" s="38">
        <f>BD101*AW101</f>
        <v>7680</v>
      </c>
      <c r="BF101" s="45">
        <f>ROUNDUP(IF(R101="Yes",AP101/(2^((BC101)*2)),AP101/(2^(BC101))),0)</f>
        <v>100500</v>
      </c>
      <c r="BG101" s="45">
        <f>IF(ISNUMBER(Y101),ROUNDUP(BF101/Y101,0),
  SWITCH(
      Y101,
      "1+0.5C",ROUNDUP(BF101/(1+0.5*VLOOKUP(J103,'Machine Helper Sheet'!$G$1:$K$16,2,FALSE)),0),
      ROUNDUP(BF101/1,0)
  )
)</f>
        <v>100500</v>
      </c>
      <c r="BH101" s="45">
        <f>ROUNDUP(BG101/BA101,0)</f>
        <v>100500</v>
      </c>
      <c r="BI101" s="46">
        <f>BH101*BE101</f>
        <v>771840000</v>
      </c>
      <c r="BK101" s="22"/>
      <c r="BM101" s="6" t="s">
        <v>785</v>
      </c>
      <c r="BN101" s="6"/>
      <c r="BO101" s="6"/>
      <c r="BP101" s="6"/>
      <c r="BQ101" s="6"/>
      <c r="BR101" s="6"/>
      <c r="BS101" s="6">
        <v>1.0</v>
      </c>
      <c r="BT101" s="6"/>
      <c r="BU101" s="6"/>
      <c r="BV101" s="6"/>
      <c r="BW101" s="6"/>
      <c r="BX101" s="6"/>
      <c r="BY101" s="6"/>
      <c r="BZ101" s="6">
        <v>1.0</v>
      </c>
      <c r="CB101" s="140" t="s">
        <v>285</v>
      </c>
      <c r="CC101" s="6">
        <v>1.0</v>
      </c>
      <c r="CD101" s="6">
        <v>4.0</v>
      </c>
      <c r="CE101" s="6"/>
      <c r="CF101" s="6"/>
      <c r="CG101" s="6"/>
      <c r="CH101" s="6">
        <v>5.0</v>
      </c>
      <c r="CJ101" s="140" t="s">
        <v>285</v>
      </c>
      <c r="CK101" s="140">
        <v>544.0</v>
      </c>
      <c r="CL101" s="140">
        <v>544.0</v>
      </c>
    </row>
    <row r="102">
      <c r="B102" s="40"/>
      <c r="C102" s="165" t="s">
        <v>51</v>
      </c>
      <c r="D102" s="38">
        <f>1*I103</f>
        <v>335</v>
      </c>
      <c r="E102" s="164" t="s">
        <v>123</v>
      </c>
      <c r="F102" s="42">
        <f>1*I103</f>
        <v>335</v>
      </c>
      <c r="G102" s="43"/>
      <c r="H102" s="99" t="s">
        <v>584</v>
      </c>
      <c r="I102" s="45">
        <f t="array" ref="I102">match(TRUE,ISBLANK(F102:F117),0)-1</f>
        <v>1</v>
      </c>
      <c r="J102" s="100" t="s">
        <v>420</v>
      </c>
      <c r="K102" s="100" t="s">
        <v>585</v>
      </c>
      <c r="L102" s="100" t="s">
        <v>704</v>
      </c>
      <c r="M102" s="38"/>
      <c r="N102" s="38"/>
      <c r="O102" s="38"/>
      <c r="P102" s="38"/>
      <c r="Q102" s="38"/>
      <c r="R102" s="101"/>
      <c r="S102" s="101"/>
      <c r="T102" s="101"/>
      <c r="U102" s="45"/>
      <c r="V102" s="45"/>
      <c r="W102" s="45"/>
      <c r="X102" s="45"/>
      <c r="Y102" s="45"/>
      <c r="Z102" s="45"/>
      <c r="AA102" s="45"/>
      <c r="AB102" s="45"/>
      <c r="AC102" s="45"/>
      <c r="AD102" s="45"/>
      <c r="AE102" s="45"/>
      <c r="AF102" s="45"/>
      <c r="AG102" s="79"/>
      <c r="AH102" s="45"/>
      <c r="AI102" s="45"/>
      <c r="AJ102" s="45"/>
      <c r="AK102" s="45"/>
      <c r="AL102" s="45"/>
      <c r="AM102" s="45"/>
      <c r="AN102" s="45"/>
      <c r="AO102" s="45"/>
      <c r="AP102" s="45"/>
      <c r="AQ102" s="45"/>
      <c r="AR102" s="45"/>
      <c r="AS102" s="45"/>
      <c r="AT102" s="79"/>
      <c r="AU102" s="45"/>
      <c r="AV102" s="45"/>
      <c r="AW102" s="45"/>
      <c r="AX102" s="45"/>
      <c r="AY102" s="45"/>
      <c r="AZ102" s="45"/>
      <c r="BA102" s="45"/>
      <c r="BB102" s="45">
        <f>BB101*AZ101</f>
        <v>1920</v>
      </c>
      <c r="BC102" s="45"/>
      <c r="BD102" s="45"/>
      <c r="BE102" s="45"/>
      <c r="BF102" s="45"/>
      <c r="BG102" s="45"/>
      <c r="BH102" s="45"/>
      <c r="BI102" s="46"/>
      <c r="BK102" s="22"/>
      <c r="BM102" s="6" t="s">
        <v>786</v>
      </c>
      <c r="BN102" s="6"/>
      <c r="BO102" s="6"/>
      <c r="BP102" s="6"/>
      <c r="BQ102" s="6"/>
      <c r="BR102" s="6"/>
      <c r="BS102" s="6">
        <v>1.0</v>
      </c>
      <c r="BT102" s="6"/>
      <c r="BU102" s="6"/>
      <c r="BV102" s="6"/>
      <c r="BW102" s="6"/>
      <c r="BX102" s="6"/>
      <c r="BY102" s="6"/>
      <c r="BZ102" s="6">
        <v>1.0</v>
      </c>
      <c r="CB102" s="140" t="s">
        <v>287</v>
      </c>
      <c r="CC102" s="6"/>
      <c r="CD102" s="6"/>
      <c r="CE102" s="6">
        <v>1.0</v>
      </c>
      <c r="CF102" s="6"/>
      <c r="CG102" s="6"/>
      <c r="CH102" s="6">
        <v>1.0</v>
      </c>
      <c r="CJ102" s="140" t="s">
        <v>287</v>
      </c>
      <c r="CK102" s="140">
        <v>512.0</v>
      </c>
      <c r="CL102" s="140">
        <v>512.0</v>
      </c>
    </row>
    <row r="103">
      <c r="B103" s="40"/>
      <c r="C103" s="165" t="s">
        <v>178</v>
      </c>
      <c r="D103" s="38">
        <f>16*I103</f>
        <v>5360</v>
      </c>
      <c r="E103" s="38"/>
      <c r="F103" s="42"/>
      <c r="G103" s="43"/>
      <c r="H103" s="56" t="s">
        <v>502</v>
      </c>
      <c r="I103" s="166">
        <v>335.0</v>
      </c>
      <c r="J103" s="100" t="s">
        <v>424</v>
      </c>
      <c r="K103" s="100">
        <v>0.0</v>
      </c>
      <c r="L103" s="100">
        <v>0.0</v>
      </c>
      <c r="M103" s="45"/>
      <c r="N103" s="45"/>
      <c r="O103" s="45"/>
      <c r="P103" s="45"/>
      <c r="Q103" s="45"/>
      <c r="R103" s="45"/>
      <c r="S103" s="101"/>
      <c r="T103" s="101"/>
      <c r="U103" s="45"/>
      <c r="V103" s="45"/>
      <c r="W103" s="45"/>
      <c r="X103" s="45"/>
      <c r="Y103" s="45"/>
      <c r="Z103" s="45"/>
      <c r="AA103" s="45"/>
      <c r="AB103" s="45"/>
      <c r="AC103" s="45"/>
      <c r="AD103" s="45"/>
      <c r="AE103" s="45"/>
      <c r="AF103" s="45"/>
      <c r="AG103" s="79"/>
      <c r="AH103" s="45"/>
      <c r="AI103" s="45"/>
      <c r="AJ103" s="45"/>
      <c r="AK103" s="45"/>
      <c r="AL103" s="45"/>
      <c r="AM103" s="45"/>
      <c r="AN103" s="45"/>
      <c r="AO103" s="45"/>
      <c r="AP103" s="45"/>
      <c r="AQ103" s="45"/>
      <c r="AR103" s="45"/>
      <c r="AS103" s="45"/>
      <c r="AT103" s="79"/>
      <c r="AU103" s="45"/>
      <c r="AV103" s="45"/>
      <c r="AW103" s="45"/>
      <c r="AX103" s="45"/>
      <c r="AY103" s="45"/>
      <c r="AZ103" s="45"/>
      <c r="BA103" s="45"/>
      <c r="BB103" s="45"/>
      <c r="BC103" s="45"/>
      <c r="BD103" s="45"/>
      <c r="BE103" s="45"/>
      <c r="BF103" s="45"/>
      <c r="BG103" s="45"/>
      <c r="BH103" s="45"/>
      <c r="BI103" s="46"/>
      <c r="BK103" s="22"/>
      <c r="BM103" s="6" t="s">
        <v>787</v>
      </c>
      <c r="BN103" s="6"/>
      <c r="BO103" s="6"/>
      <c r="BP103" s="6"/>
      <c r="BQ103" s="6"/>
      <c r="BR103" s="6"/>
      <c r="BS103" s="6">
        <v>1.0</v>
      </c>
      <c r="BT103" s="6"/>
      <c r="BU103" s="6"/>
      <c r="BV103" s="6"/>
      <c r="BW103" s="6"/>
      <c r="BX103" s="6"/>
      <c r="BY103" s="6"/>
      <c r="BZ103" s="6">
        <v>1.0</v>
      </c>
      <c r="CB103" s="140" t="s">
        <v>288</v>
      </c>
      <c r="CC103" s="6">
        <v>4.0</v>
      </c>
      <c r="CD103" s="6"/>
      <c r="CE103" s="6"/>
      <c r="CF103" s="6"/>
      <c r="CG103" s="6"/>
      <c r="CH103" s="6">
        <v>4.0</v>
      </c>
      <c r="CJ103" s="140" t="s">
        <v>288</v>
      </c>
      <c r="CK103" s="140">
        <v>128.0</v>
      </c>
      <c r="CL103" s="140">
        <v>128.0</v>
      </c>
    </row>
    <row r="104">
      <c r="B104" s="40"/>
      <c r="C104" s="165" t="s">
        <v>79</v>
      </c>
      <c r="D104" s="38">
        <f>576*I103</f>
        <v>192960</v>
      </c>
      <c r="E104" s="38"/>
      <c r="F104" s="42"/>
      <c r="G104" s="43"/>
      <c r="H104" s="44"/>
      <c r="I104" s="45"/>
      <c r="J104" s="45"/>
      <c r="K104" s="45"/>
      <c r="L104" s="45"/>
      <c r="M104" s="45"/>
      <c r="N104" s="45"/>
      <c r="O104" s="45"/>
      <c r="P104" s="45"/>
      <c r="Q104" s="45"/>
      <c r="R104" s="45"/>
      <c r="S104" s="101"/>
      <c r="T104" s="101"/>
      <c r="U104" s="45"/>
      <c r="V104" s="45"/>
      <c r="W104" s="45"/>
      <c r="X104" s="45"/>
      <c r="Y104" s="45"/>
      <c r="Z104" s="45"/>
      <c r="AA104" s="45"/>
      <c r="AB104" s="45"/>
      <c r="AC104" s="45"/>
      <c r="AD104" s="45"/>
      <c r="AE104" s="45"/>
      <c r="AF104" s="45"/>
      <c r="AG104" s="79"/>
      <c r="AH104" s="45"/>
      <c r="AI104" s="45"/>
      <c r="AJ104" s="45"/>
      <c r="AK104" s="45"/>
      <c r="AL104" s="45"/>
      <c r="AM104" s="45"/>
      <c r="AN104" s="45"/>
      <c r="AO104" s="45"/>
      <c r="AP104" s="45"/>
      <c r="AQ104" s="45"/>
      <c r="AR104" s="45"/>
      <c r="AS104" s="45"/>
      <c r="AT104" s="79"/>
      <c r="AU104" s="45"/>
      <c r="AV104" s="45"/>
      <c r="AW104" s="45"/>
      <c r="AX104" s="45"/>
      <c r="AY104" s="45"/>
      <c r="AZ104" s="45"/>
      <c r="BA104" s="45"/>
      <c r="BB104" s="45"/>
      <c r="BC104" s="45"/>
      <c r="BD104" s="45"/>
      <c r="BE104" s="45"/>
      <c r="BF104" s="45"/>
      <c r="BG104" s="45"/>
      <c r="BH104" s="45"/>
      <c r="BI104" s="46"/>
      <c r="BK104" s="22"/>
      <c r="BM104" s="6" t="s">
        <v>788</v>
      </c>
      <c r="BN104" s="6"/>
      <c r="BO104" s="6"/>
      <c r="BP104" s="6"/>
      <c r="BQ104" s="6"/>
      <c r="BR104" s="6"/>
      <c r="BS104" s="6">
        <v>1.0</v>
      </c>
      <c r="BT104" s="6"/>
      <c r="BU104" s="6"/>
      <c r="BV104" s="6"/>
      <c r="BW104" s="6"/>
      <c r="BX104" s="6"/>
      <c r="BY104" s="6"/>
      <c r="BZ104" s="6">
        <v>1.0</v>
      </c>
      <c r="CB104" s="140" t="s">
        <v>290</v>
      </c>
      <c r="CC104" s="6"/>
      <c r="CD104" s="6"/>
      <c r="CE104" s="6">
        <v>1.0</v>
      </c>
      <c r="CF104" s="6"/>
      <c r="CG104" s="6"/>
      <c r="CH104" s="6">
        <v>1.0</v>
      </c>
      <c r="CJ104" s="140" t="s">
        <v>290</v>
      </c>
      <c r="CK104" s="140">
        <v>512.0</v>
      </c>
      <c r="CL104" s="140">
        <v>512.0</v>
      </c>
    </row>
    <row r="105">
      <c r="B105" s="135"/>
      <c r="C105" s="136"/>
      <c r="D105" s="137"/>
      <c r="E105" s="137"/>
      <c r="F105" s="137"/>
      <c r="G105" s="138"/>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8"/>
      <c r="AH105" s="137"/>
      <c r="AI105" s="137"/>
      <c r="AJ105" s="137"/>
      <c r="AK105" s="137"/>
      <c r="AL105" s="137"/>
      <c r="AM105" s="137"/>
      <c r="AN105" s="137"/>
      <c r="AO105" s="137"/>
      <c r="AP105" s="137"/>
      <c r="AQ105" s="137"/>
      <c r="AR105" s="137"/>
      <c r="AS105" s="137"/>
      <c r="AT105" s="138"/>
      <c r="AU105" s="137"/>
      <c r="AV105" s="137"/>
      <c r="AW105" s="137"/>
      <c r="AX105" s="137"/>
      <c r="AY105" s="137"/>
      <c r="AZ105" s="137"/>
      <c r="BA105" s="137"/>
      <c r="BB105" s="137"/>
      <c r="BC105" s="137"/>
      <c r="BD105" s="137"/>
      <c r="BE105" s="137"/>
      <c r="BF105" s="137"/>
      <c r="BG105" s="137"/>
      <c r="BH105" s="137"/>
      <c r="BI105" s="139"/>
      <c r="BK105" s="22"/>
      <c r="BM105" s="140" t="s">
        <v>789</v>
      </c>
      <c r="BN105" s="6"/>
      <c r="BO105" s="6"/>
      <c r="BP105" s="6"/>
      <c r="BQ105" s="6"/>
      <c r="BR105" s="6"/>
      <c r="BS105" s="6"/>
      <c r="BT105" s="6"/>
      <c r="BU105" s="6"/>
      <c r="BV105" s="140">
        <v>1.0</v>
      </c>
      <c r="BW105" s="6"/>
      <c r="BX105" s="6"/>
      <c r="BY105" s="6"/>
      <c r="BZ105" s="140">
        <v>1.0</v>
      </c>
      <c r="CB105" s="140" t="s">
        <v>292</v>
      </c>
      <c r="CC105" s="6"/>
      <c r="CD105" s="6"/>
      <c r="CE105" s="6">
        <v>2.0</v>
      </c>
      <c r="CF105" s="6"/>
      <c r="CG105" s="6"/>
      <c r="CH105" s="6">
        <v>2.0</v>
      </c>
      <c r="CJ105" s="140" t="s">
        <v>292</v>
      </c>
      <c r="CK105" s="140">
        <v>1024.0</v>
      </c>
      <c r="CL105" s="140">
        <v>1024.0</v>
      </c>
    </row>
    <row r="106">
      <c r="B106" s="141" t="s">
        <v>804</v>
      </c>
      <c r="C106" s="142"/>
      <c r="D106" s="143"/>
      <c r="E106" s="143"/>
      <c r="F106" s="144"/>
      <c r="G106" s="145"/>
      <c r="H106" s="167" t="s">
        <v>290</v>
      </c>
      <c r="I106" s="147" t="str">
        <f>VLOOKUP(H106,'Machine List'!$A$1:$I$300,9,FALSE)</f>
        <v>1T</v>
      </c>
      <c r="J106" s="147">
        <f>IF(VLOOKUP(H106,'Machine List'!$A$1:$I$300,5,FALSE)="Multi",IF(VLOOKUP(H106,'Machine List'!$A$1:$I$300,6,FALSE)="Yes",AI106*3*10^AB106,AI106*(2*3)*10^(AB106-1)),0)</f>
        <v>0</v>
      </c>
      <c r="K106" s="147">
        <f>J106+IF(ISNUMBER(I106),I106,
  SWITCH(
      I106,
      "1T",1*10^AB106,
      "2T",2*10^AB106,
      "3T",3*10^AB106,
      "4T",4*10^AB106,
      "4000+500(7O-5)",4000+500*(7*I107-5),
      "13500 + 16C",13500+16*VLOOKUP(J108,'Machine Helper Sheet'!$G$1:$K$16,5,FALSE),
      1
  )
)</f>
        <v>1000</v>
      </c>
      <c r="L106" s="147">
        <f>IF(VLOOKUP(H106,'Machine List'!$A$1:$I$300,5,FALSE)="Multi",IF(VLOOKUP(H106,'Machine List'!$A$1:$I$300,6,FALSE)="Yes",AW106*3*10^AV106,AW106*(2*3)*10^(AV106-1)),0)</f>
        <v>0</v>
      </c>
      <c r="M106" s="147">
        <f>L106+IF(ISNUMBER(I106),I106,
  SWITCH(
      I106,
      "1T",1*10^AV106,
      "2T",2*10^AV106,
      "3T",3*10^AV106,
      "4T",4*10^AV106,
      "4000+500(7O-5)",4000+500*(7*I107-5),
      1
  )
)</f>
        <v>100000</v>
      </c>
      <c r="N106" s="147" t="str">
        <f>VLOOKUP(H106,'Machine List'!$A$1:$I$300,8,FALSE)</f>
        <v>Tier</v>
      </c>
      <c r="O106" s="147">
        <f>IF(ISNUMBER(N106),N106,10^AB106)</f>
        <v>1000</v>
      </c>
      <c r="P106" s="147">
        <f>IF(ISNUMBER(N106),N106,10^AV106)</f>
        <v>100000</v>
      </c>
      <c r="Q106" s="147">
        <f>VLOOKUP(H106,'Machine List'!$A$1:$B$138,2,FALSE)</f>
        <v>1</v>
      </c>
      <c r="R106" s="147" t="s">
        <v>277</v>
      </c>
      <c r="S106" s="143">
        <f>IF(ISNUMBER(Q106),Q106,
  SWITCH(
      Q106,
      "1",1,
      "2T",AB106*2,
      "4T",AB106*4,
      "6T",AB106*6,
      "8T",AB106*8,
      "10T",AB106*10,
      "12T",AB106*12,
      "14T",AB106*14,
      "16T",AB106*16,
      "24T",AB106*24,
      "2(T+1)",2*(AB106+1),
      "1T*C",AB106*J108,
      "2*P",L108*2,
      1
  )
)</f>
        <v>1</v>
      </c>
      <c r="T106" s="38" t="s">
        <v>277</v>
      </c>
      <c r="U106" s="147">
        <f>IF(OR(T106="No",T106=""),S106,T106)</f>
        <v>1</v>
      </c>
      <c r="V106" s="147">
        <f>IF(ISNUMBER(Q106),Q106,
  SWITCH(
      Q106,
      "1",1,
      "2T",AV106*2,
      "4T",AV106*4,
      "6T",AV106*6,
      "8T",AV106*8,
      "10T",AV106*10,
      "12T",AV106*12,
      "14T",AV106*14,
      "16T",AV106*16,
      "24T",AV106*24,
      "2(T+1)",2*(AV106+1),
      "1T*C",AV106*J108,
      "2*P",L108*2,
      1
  )
)</f>
        <v>1</v>
      </c>
      <c r="W106" s="147" t="str">
        <f>T106</f>
        <v>No</v>
      </c>
      <c r="X106" s="147">
        <f>IF(OR(W106="No",W106=""),V106,W106)</f>
        <v>1</v>
      </c>
      <c r="Y106" s="38">
        <f>VLOOKUP(H106,'Machine List'!$A$1:$C$138,3,FALSE)</f>
        <v>1</v>
      </c>
      <c r="Z106" s="38">
        <f>VLOOKUP(H106,'Machine List'!$A$1:$D$138,4,FALSE)</f>
        <v>1</v>
      </c>
      <c r="AA106" s="168" t="s">
        <v>397</v>
      </c>
      <c r="AB106" s="147">
        <f>VLOOKUP(AA106,'Item Helper Sheet'!$A$2:$B$16,2,FALSE)</f>
        <v>3</v>
      </c>
      <c r="AC106" s="147">
        <v>480.0</v>
      </c>
      <c r="AD106" s="147">
        <f>45*20</f>
        <v>900</v>
      </c>
      <c r="AE106" s="147">
        <f>AD106*I108</f>
        <v>100800</v>
      </c>
      <c r="AF106" s="147">
        <f>AC106*AE106</f>
        <v>48384000</v>
      </c>
      <c r="AG106" s="148"/>
      <c r="AH106" s="147" t="str">
        <f>AA106</f>
        <v>03 - HV</v>
      </c>
      <c r="AI106" s="147">
        <v>1.0</v>
      </c>
      <c r="AJ106" s="147">
        <v>1.0</v>
      </c>
      <c r="AK106" s="147">
        <f>AJ106*8*4^AB106</f>
        <v>512</v>
      </c>
      <c r="AL106" s="147">
        <f>MIN(ROUNDDOWN(AK106/AN106,0),U106)</f>
        <v>1</v>
      </c>
      <c r="AM106" s="147">
        <f>IF(OR(T106="No",T106=""),AI106*S106,AI106*T106)</f>
        <v>1</v>
      </c>
      <c r="AN106" s="147">
        <f>ROUNDUP(AC106*VLOOKUP(H106,'Machine List'!$A$2:$D$219,4,FALSE),0)</f>
        <v>480</v>
      </c>
      <c r="AO106" s="147">
        <f>AN106*AM106</f>
        <v>480</v>
      </c>
      <c r="AP106" s="147">
        <f>ROUNDUP(AD106*I108,0)</f>
        <v>100800</v>
      </c>
      <c r="AQ106" s="38">
        <f>IF(ISNUMBER(Y106),ROUNDUP(AP106/Y106,0),
  SWITCH(
      Y106,
      "1+0.5C",ROUNDUP(AP106/(1+0.5*VLOOKUP(J108,'Machine Helper Sheet'!$G$1:$K$16,2,FALSE)),0),
      ROUNDUP(AP106/1,0)
  )
)</f>
        <v>100800</v>
      </c>
      <c r="AR106" s="147">
        <f>ROUNDUP(AQ106/AM106,0)</f>
        <v>100800</v>
      </c>
      <c r="AS106" s="147">
        <f>AO106*AR106</f>
        <v>48384000</v>
      </c>
      <c r="AT106" s="148"/>
      <c r="AU106" s="168" t="s">
        <v>405</v>
      </c>
      <c r="AV106" s="147">
        <f>VLOOKUP(AU106,'Item Helper Sheet'!$A$2:$B$16,2,FALSE)</f>
        <v>5</v>
      </c>
      <c r="AW106" s="147">
        <f>AI106</f>
        <v>1</v>
      </c>
      <c r="AX106" s="147">
        <v>1.0</v>
      </c>
      <c r="AY106" s="147">
        <f>AX106*8*4^AV106</f>
        <v>8192</v>
      </c>
      <c r="AZ106" s="147">
        <f>MIN(ROUNDDOWN(AY106/AN106,0),X106)</f>
        <v>1</v>
      </c>
      <c r="BA106" s="147">
        <f>AZ106*AW106</f>
        <v>1</v>
      </c>
      <c r="BB106" s="147">
        <f>AN106</f>
        <v>480</v>
      </c>
      <c r="BC106" s="147">
        <f>MIN(AV106-AB106,IF(AY106&gt;=BB107*4,
IF(AY106&gt;=BB107*4^2,
IF(AY106&gt;=BB107*4^3,
IF(AY106&gt;=BB107*4^4,
IF(AY106&gt;=BB107*4^5,
IF(AY106&gt;=BB107*4^6,
IF(AY106&gt;=BB107*4^7,
IF(AY106&gt;=BB107*4^8,
IF(AY106&gt;=BB107*4^9,
IF(AY106&gt;=BB107*4^10,
9),
8),
7),
6),
5),
4),
3),
2),
1),
0))</f>
        <v>2</v>
      </c>
      <c r="BD106" s="147">
        <f>BB106*AZ106*4^BC106</f>
        <v>7680</v>
      </c>
      <c r="BE106" s="147">
        <f>BD106*AW106</f>
        <v>7680</v>
      </c>
      <c r="BF106" s="143">
        <f>ROUNDUP(IF(R106="Yes",AP106/(2^((BC106)*2)),AP106/(2^(BC106))),0)</f>
        <v>25200</v>
      </c>
      <c r="BG106" s="45">
        <f>IF(ISNUMBER(Y106),ROUNDUP(BF106/Y106,0),
  SWITCH(
      Y106,
      "1+0.5C",ROUNDUP(BF106/(1+0.5*VLOOKUP(J108,'Machine Helper Sheet'!$G$1:$K$16,2,FALSE)),0),
      ROUNDUP(BF106/1,0)
  )
)</f>
        <v>25200</v>
      </c>
      <c r="BH106" s="143">
        <f>ROUNDUP(BG106/BA106,0)</f>
        <v>25200</v>
      </c>
      <c r="BI106" s="149">
        <f>BH106*BE106</f>
        <v>193536000</v>
      </c>
      <c r="BK106" s="22"/>
      <c r="BM106" s="140" t="s">
        <v>790</v>
      </c>
      <c r="BN106" s="6"/>
      <c r="BO106" s="6"/>
      <c r="BP106" s="140">
        <v>1.0</v>
      </c>
      <c r="BQ106" s="6"/>
      <c r="BR106" s="6"/>
      <c r="BS106" s="6"/>
      <c r="BT106" s="6"/>
      <c r="BU106" s="6"/>
      <c r="BV106" s="6"/>
      <c r="BW106" s="6"/>
      <c r="BX106" s="6"/>
      <c r="BY106" s="6"/>
      <c r="BZ106" s="140">
        <v>1.0</v>
      </c>
      <c r="CB106" s="6" t="s">
        <v>380</v>
      </c>
      <c r="CC106" s="6"/>
      <c r="CD106" s="6"/>
      <c r="CE106" s="6"/>
      <c r="CF106" s="6"/>
      <c r="CG106" s="6">
        <v>4.0</v>
      </c>
      <c r="CH106" s="6">
        <v>4.0</v>
      </c>
      <c r="CJ106" s="6" t="s">
        <v>380</v>
      </c>
      <c r="CK106" s="6">
        <v>32768.0</v>
      </c>
      <c r="CL106" s="6">
        <v>32768.0</v>
      </c>
    </row>
    <row r="107">
      <c r="B107" s="150"/>
      <c r="C107" s="169" t="s">
        <v>123</v>
      </c>
      <c r="D107" s="147">
        <f>1*I108</f>
        <v>112</v>
      </c>
      <c r="E107" s="168" t="s">
        <v>122</v>
      </c>
      <c r="F107" s="152">
        <f>8*I108</f>
        <v>896</v>
      </c>
      <c r="G107" s="138"/>
      <c r="H107" s="153" t="s">
        <v>584</v>
      </c>
      <c r="I107" s="45">
        <f t="array" ref="I107">match(TRUE,ISBLANK(F107:F122),0)-1</f>
        <v>1</v>
      </c>
      <c r="J107" s="154" t="s">
        <v>420</v>
      </c>
      <c r="K107" s="154" t="s">
        <v>585</v>
      </c>
      <c r="L107" s="100" t="s">
        <v>704</v>
      </c>
      <c r="M107" s="147"/>
      <c r="N107" s="147"/>
      <c r="O107" s="147"/>
      <c r="P107" s="147"/>
      <c r="Q107" s="147"/>
      <c r="R107" s="155"/>
      <c r="S107" s="155"/>
      <c r="T107" s="155"/>
      <c r="U107" s="143"/>
      <c r="V107" s="143"/>
      <c r="W107" s="143"/>
      <c r="X107" s="143"/>
      <c r="Y107" s="143"/>
      <c r="Z107" s="143"/>
      <c r="AA107" s="143"/>
      <c r="AB107" s="143"/>
      <c r="AC107" s="143"/>
      <c r="AD107" s="143"/>
      <c r="AE107" s="143"/>
      <c r="AF107" s="143"/>
      <c r="AG107" s="156"/>
      <c r="AH107" s="143"/>
      <c r="AI107" s="143"/>
      <c r="AJ107" s="143"/>
      <c r="AK107" s="143"/>
      <c r="AL107" s="143"/>
      <c r="AM107" s="143"/>
      <c r="AN107" s="143"/>
      <c r="AO107" s="143"/>
      <c r="AP107" s="143"/>
      <c r="AQ107" s="143"/>
      <c r="AR107" s="143"/>
      <c r="AS107" s="143"/>
      <c r="AT107" s="156"/>
      <c r="AU107" s="143"/>
      <c r="AV107" s="143"/>
      <c r="AW107" s="143"/>
      <c r="AX107" s="143"/>
      <c r="AY107" s="143"/>
      <c r="AZ107" s="143"/>
      <c r="BA107" s="143"/>
      <c r="BB107" s="143">
        <f>BB106*AZ106</f>
        <v>480</v>
      </c>
      <c r="BC107" s="143"/>
      <c r="BD107" s="143"/>
      <c r="BE107" s="143"/>
      <c r="BF107" s="143"/>
      <c r="BG107" s="143"/>
      <c r="BH107" s="143"/>
      <c r="BI107" s="149"/>
      <c r="BK107" s="22"/>
      <c r="BM107" s="140" t="s">
        <v>791</v>
      </c>
      <c r="BN107" s="6"/>
      <c r="BO107" s="6"/>
      <c r="BP107" s="140">
        <v>1.0</v>
      </c>
      <c r="BQ107" s="6"/>
      <c r="BR107" s="6"/>
      <c r="BS107" s="6"/>
      <c r="BT107" s="6"/>
      <c r="BU107" s="6"/>
      <c r="BV107" s="6"/>
      <c r="BW107" s="6"/>
      <c r="BX107" s="6"/>
      <c r="BY107" s="6"/>
      <c r="BZ107" s="140">
        <v>1.0</v>
      </c>
      <c r="CB107" s="140" t="s">
        <v>295</v>
      </c>
      <c r="CC107" s="6"/>
      <c r="CD107" s="6">
        <v>2.0</v>
      </c>
      <c r="CE107" s="6">
        <v>1.0</v>
      </c>
      <c r="CF107" s="6">
        <v>1.0</v>
      </c>
      <c r="CG107" s="6"/>
      <c r="CH107" s="6">
        <v>4.0</v>
      </c>
      <c r="CJ107" s="140" t="s">
        <v>295</v>
      </c>
      <c r="CK107" s="140">
        <v>2816.0</v>
      </c>
      <c r="CL107" s="140">
        <v>2816.0</v>
      </c>
    </row>
    <row r="108">
      <c r="B108" s="150"/>
      <c r="C108" s="169" t="s">
        <v>115</v>
      </c>
      <c r="D108" s="147">
        <f>250*I108</f>
        <v>28000</v>
      </c>
      <c r="E108" s="147"/>
      <c r="F108" s="152"/>
      <c r="G108" s="138"/>
      <c r="H108" s="157" t="s">
        <v>502</v>
      </c>
      <c r="I108" s="170">
        <v>112.0</v>
      </c>
      <c r="J108" s="154" t="s">
        <v>424</v>
      </c>
      <c r="K108" s="154">
        <v>0.0</v>
      </c>
      <c r="L108" s="100">
        <v>0.0</v>
      </c>
      <c r="M108" s="143"/>
      <c r="N108" s="143"/>
      <c r="O108" s="143"/>
      <c r="P108" s="143"/>
      <c r="Q108" s="143"/>
      <c r="R108" s="143"/>
      <c r="S108" s="155"/>
      <c r="T108" s="155"/>
      <c r="U108" s="143"/>
      <c r="V108" s="143"/>
      <c r="W108" s="143"/>
      <c r="X108" s="143"/>
      <c r="Y108" s="143"/>
      <c r="Z108" s="143"/>
      <c r="AA108" s="143"/>
      <c r="AB108" s="143"/>
      <c r="AC108" s="143"/>
      <c r="AD108" s="143"/>
      <c r="AE108" s="143"/>
      <c r="AF108" s="143"/>
      <c r="AG108" s="156"/>
      <c r="AH108" s="143"/>
      <c r="AI108" s="143"/>
      <c r="AJ108" s="143"/>
      <c r="AK108" s="143"/>
      <c r="AL108" s="143"/>
      <c r="AM108" s="143"/>
      <c r="AN108" s="143"/>
      <c r="AO108" s="143"/>
      <c r="AP108" s="143"/>
      <c r="AQ108" s="143"/>
      <c r="AR108" s="143"/>
      <c r="AS108" s="143"/>
      <c r="AT108" s="156"/>
      <c r="AU108" s="143"/>
      <c r="AV108" s="143"/>
      <c r="AW108" s="143"/>
      <c r="AX108" s="143"/>
      <c r="AY108" s="143"/>
      <c r="AZ108" s="143"/>
      <c r="BA108" s="143"/>
      <c r="BB108" s="143"/>
      <c r="BC108" s="143"/>
      <c r="BD108" s="143"/>
      <c r="BE108" s="143"/>
      <c r="BF108" s="143"/>
      <c r="BG108" s="143"/>
      <c r="BH108" s="143"/>
      <c r="BI108" s="149"/>
      <c r="BK108" s="22"/>
      <c r="BM108" s="140" t="s">
        <v>792</v>
      </c>
      <c r="BN108" s="6"/>
      <c r="BO108" s="6"/>
      <c r="BP108" s="140">
        <v>1.0</v>
      </c>
      <c r="BQ108" s="6"/>
      <c r="BR108" s="6"/>
      <c r="BS108" s="6"/>
      <c r="BT108" s="6"/>
      <c r="BU108" s="6"/>
      <c r="BV108" s="6"/>
      <c r="BW108" s="6"/>
      <c r="BX108" s="6"/>
      <c r="BY108" s="6"/>
      <c r="BZ108" s="140">
        <v>1.0</v>
      </c>
      <c r="CB108" s="140" t="s">
        <v>306</v>
      </c>
      <c r="CC108" s="6"/>
      <c r="CD108" s="6">
        <v>1.0</v>
      </c>
      <c r="CE108" s="6"/>
      <c r="CF108" s="6"/>
      <c r="CG108" s="6"/>
      <c r="CH108" s="6">
        <v>1.0</v>
      </c>
      <c r="CJ108" s="140" t="s">
        <v>306</v>
      </c>
      <c r="CK108" s="140">
        <v>128.0</v>
      </c>
      <c r="CL108" s="140">
        <v>128.0</v>
      </c>
    </row>
    <row r="109">
      <c r="B109" s="135"/>
      <c r="C109" s="136"/>
      <c r="D109" s="137"/>
      <c r="E109" s="137"/>
      <c r="F109" s="137"/>
      <c r="G109" s="138"/>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8"/>
      <c r="AH109" s="137"/>
      <c r="AI109" s="137"/>
      <c r="AJ109" s="137"/>
      <c r="AK109" s="137"/>
      <c r="AL109" s="137"/>
      <c r="AM109" s="137"/>
      <c r="AN109" s="137"/>
      <c r="AO109" s="137"/>
      <c r="AP109" s="137"/>
      <c r="AQ109" s="137"/>
      <c r="AR109" s="137"/>
      <c r="AS109" s="137"/>
      <c r="AT109" s="138"/>
      <c r="AU109" s="137"/>
      <c r="AV109" s="137"/>
      <c r="AW109" s="137"/>
      <c r="AX109" s="137"/>
      <c r="AY109" s="137"/>
      <c r="AZ109" s="137"/>
      <c r="BA109" s="137"/>
      <c r="BB109" s="137"/>
      <c r="BC109" s="137"/>
      <c r="BD109" s="137"/>
      <c r="BE109" s="137"/>
      <c r="BF109" s="137"/>
      <c r="BG109" s="137"/>
      <c r="BH109" s="137"/>
      <c r="BI109" s="139"/>
      <c r="BK109" s="22"/>
      <c r="BM109" s="140" t="s">
        <v>793</v>
      </c>
      <c r="BN109" s="6"/>
      <c r="BO109" s="6"/>
      <c r="BP109" s="6"/>
      <c r="BQ109" s="6"/>
      <c r="BR109" s="6"/>
      <c r="BS109" s="6"/>
      <c r="BT109" s="6"/>
      <c r="BU109" s="6"/>
      <c r="BV109" s="6"/>
      <c r="BW109" s="6"/>
      <c r="BX109" s="6"/>
      <c r="BY109" s="140">
        <v>1.0</v>
      </c>
      <c r="BZ109" s="140">
        <v>1.0</v>
      </c>
      <c r="CB109" s="140" t="s">
        <v>311</v>
      </c>
      <c r="CC109" s="6">
        <v>1.0</v>
      </c>
      <c r="CD109" s="6"/>
      <c r="CE109" s="6"/>
      <c r="CF109" s="6"/>
      <c r="CG109" s="6"/>
      <c r="CH109" s="6">
        <v>1.0</v>
      </c>
      <c r="CJ109" s="140" t="s">
        <v>311</v>
      </c>
      <c r="CK109" s="140">
        <v>32.0</v>
      </c>
      <c r="CL109" s="140">
        <v>32.0</v>
      </c>
    </row>
    <row r="110">
      <c r="B110" s="31" t="s">
        <v>805</v>
      </c>
      <c r="C110" s="54"/>
      <c r="D110" s="45"/>
      <c r="E110" s="45"/>
      <c r="F110" s="47"/>
      <c r="G110" s="35"/>
      <c r="H110" s="163" t="s">
        <v>349</v>
      </c>
      <c r="I110" s="38">
        <f>VLOOKUP(H110,'Machine List'!$A$1:$I$300,9,FALSE)</f>
        <v>4000</v>
      </c>
      <c r="J110" s="38">
        <f>IF(VLOOKUP(H110,'Machine List'!$A$1:$I$300,5,FALSE)="Multi",IF(VLOOKUP(H110,'Machine List'!$A$1:$I$300,6,FALSE)="Yes",AI110*3*10^AB110,AI110*(2*3)*10^(AB110-1)),0)</f>
        <v>6000</v>
      </c>
      <c r="K110" s="38">
        <f>J110+IF(ISNUMBER(I110),I110,
  SWITCH(
      I110,
      "1T",1*10^AB110,
      "2T",2*10^AB110,
      "3T",3*10^AB110,
      "4T",4*10^AB110,
      "4000+500(7O-5)",4000+500*(7*I111-5),
      "13500 + 16C",13500+16*VLOOKUP(J112,'Machine Helper Sheet'!$G$1:$K$16,5,FALSE),
      1
  )
)</f>
        <v>10000</v>
      </c>
      <c r="L110" s="38">
        <f>IF(VLOOKUP(H110,'Machine List'!$A$1:$I$300,5,FALSE)="Multi",IF(VLOOKUP(H110,'Machine List'!$A$1:$I$300,6,FALSE)="Yes",AW110*3*10^AV110,AW110*(2*3)*10^(AV110-1)),0)</f>
        <v>60000</v>
      </c>
      <c r="M110" s="38">
        <f>L110+IF(ISNUMBER(I110),I110,
  SWITCH(
      I110,
      "1T",1*10^AV110,
      "2T",2*10^AV110,
      "3T",3*10^AV110,
      "4T",4*10^AV110,
      "4000+500(7O-5)",4000+500*(7*I111-5),
      1
  )
)</f>
        <v>64000</v>
      </c>
      <c r="N110" s="38" t="str">
        <f>VLOOKUP(H110,'Machine List'!$A$1:$I$300,8,FALSE)</f>
        <v>Tier</v>
      </c>
      <c r="O110" s="38">
        <f>IF(ISNUMBER(N110),N110,10^AB110)</f>
        <v>10000</v>
      </c>
      <c r="P110" s="38">
        <f>IF(ISNUMBER(N110),N110,10^AV110)</f>
        <v>100000</v>
      </c>
      <c r="Q110" s="38">
        <f>VLOOKUP(H110,'Machine List'!$A$1:$B$138,2,FALSE)</f>
        <v>1</v>
      </c>
      <c r="R110" s="38" t="s">
        <v>594</v>
      </c>
      <c r="S110" s="45">
        <f>IF(ISNUMBER(Q110),Q110,
  SWITCH(
      Q110,
      "1",1,
      "2T",AB110*2,
      "4T",AB110*4,
      "6T",AB110*6,
      "8T",AB110*8,
      "10T",AB110*10,
      "12T",AB110*12,
      "14T",AB110*14,
      "16T",AB110*16,
      "24T",AB110*24,
      "2(T+1)",2*(AB110+1),
      "1T*C",AB110*J112,
      "2*P",L112*2,
      1
  )
)</f>
        <v>1</v>
      </c>
      <c r="T110" s="38" t="s">
        <v>277</v>
      </c>
      <c r="U110" s="38">
        <f>IF(OR(T110="No",T110=""),S110,T110)</f>
        <v>1</v>
      </c>
      <c r="V110" s="38">
        <f>IF(ISNUMBER(Q110),Q110,
  SWITCH(
      Q110,
      "1",1,
      "2T",AV110*2,
      "4T",AV110*4,
      "6T",AV110*6,
      "8T",AV110*8,
      "10T",AV110*10,
      "12T",AV110*12,
      "14T",AV110*14,
      "16T",AV110*16,
      "24T",AV110*24,
      "2(T+1)",2*(AV110+1),
      "1T*C",AV110*J112,
      "2*P",L112*2,
      1
  )
)</f>
        <v>1</v>
      </c>
      <c r="W110" s="38" t="str">
        <f>T110</f>
        <v>No</v>
      </c>
      <c r="X110" s="38">
        <f>IF(OR(W110="No",W110=""),V110,W110)</f>
        <v>1</v>
      </c>
      <c r="Y110" s="38">
        <f>VLOOKUP(H110,'Machine List'!$A$1:$C$138,3,FALSE)</f>
        <v>1</v>
      </c>
      <c r="Z110" s="38">
        <f>VLOOKUP(H110,'Machine List'!$A$1:$D$138,4,FALSE)</f>
        <v>1</v>
      </c>
      <c r="AA110" s="164" t="s">
        <v>401</v>
      </c>
      <c r="AB110" s="38">
        <f>VLOOKUP(AA110,'Item Helper Sheet'!$A$2:$B$16,2,FALSE)</f>
        <v>4</v>
      </c>
      <c r="AC110" s="164">
        <v>1920.0</v>
      </c>
      <c r="AD110" s="38">
        <f>60*20</f>
        <v>1200</v>
      </c>
      <c r="AE110" s="38">
        <f>AD110*I112</f>
        <v>267600</v>
      </c>
      <c r="AF110" s="38">
        <f>AC110*AE110</f>
        <v>513792000</v>
      </c>
      <c r="AG110" s="75"/>
      <c r="AH110" s="38" t="str">
        <f>AA110</f>
        <v>04 - EV</v>
      </c>
      <c r="AI110" s="38">
        <v>1.0</v>
      </c>
      <c r="AJ110" s="38">
        <v>1.0</v>
      </c>
      <c r="AK110" s="38">
        <f>AJ110*8*4^AB110</f>
        <v>2048</v>
      </c>
      <c r="AL110" s="38">
        <f>MIN(ROUNDDOWN(AK110/AN110,0),U110)</f>
        <v>1</v>
      </c>
      <c r="AM110" s="38">
        <f>IF(OR(T110="No",T110=""),AI110*S110,AI110*T110)</f>
        <v>1</v>
      </c>
      <c r="AN110" s="38">
        <f>ROUNDUP(AC110*VLOOKUP(H110,'Machine List'!$A$2:$D$219,4,FALSE),0)</f>
        <v>1920</v>
      </c>
      <c r="AO110" s="38">
        <f>AN110*AM110</f>
        <v>1920</v>
      </c>
      <c r="AP110" s="38">
        <f>ROUNDUP(AD110*I112,0)</f>
        <v>267600</v>
      </c>
      <c r="AQ110" s="38">
        <f>IF(ISNUMBER(Y110),ROUNDUP(AP110/Y110,0),
  SWITCH(
      Y110,
      "1+0.5C",ROUNDUP(AP110/(1+0.5*VLOOKUP(J112,'Machine Helper Sheet'!$G$1:$K$16,2,FALSE)),0),
      ROUNDUP(AP110/1,0)
  )
)</f>
        <v>267600</v>
      </c>
      <c r="AR110" s="38">
        <f>ROUNDUP(AQ110/AM110,0)</f>
        <v>267600</v>
      </c>
      <c r="AS110" s="38">
        <f>AO110*AR110</f>
        <v>513792000</v>
      </c>
      <c r="AT110" s="75"/>
      <c r="AU110" s="164" t="s">
        <v>405</v>
      </c>
      <c r="AV110" s="38">
        <f>VLOOKUP(AU110,'Item Helper Sheet'!$A$2:$B$16,2,FALSE)</f>
        <v>5</v>
      </c>
      <c r="AW110" s="38">
        <f>AI110</f>
        <v>1</v>
      </c>
      <c r="AX110" s="38">
        <v>1.0</v>
      </c>
      <c r="AY110" s="38">
        <f>AX110*8*4^AV110</f>
        <v>8192</v>
      </c>
      <c r="AZ110" s="38">
        <f>MIN(ROUNDDOWN(AY110/AN110,0),X110)</f>
        <v>1</v>
      </c>
      <c r="BA110" s="38">
        <f>AZ110*AW110</f>
        <v>1</v>
      </c>
      <c r="BB110" s="38">
        <f>AN110</f>
        <v>1920</v>
      </c>
      <c r="BC110" s="38">
        <f>MIN(AV110-AB110,IF(AY110&gt;=BB111*4,
IF(AY110&gt;=BB111*4^2,
IF(AY110&gt;=BB111*4^3,
IF(AY110&gt;=BB111*4^4,
IF(AY110&gt;=BB111*4^5,
IF(AY110&gt;=BB111*4^6,
IF(AY110&gt;=BB111*4^7,
IF(AY110&gt;=BB111*4^8,
IF(AY110&gt;=BB111*4^9,
IF(AY110&gt;=BB111*4^10,
9),
8),
7),
6),
5),
4),
3),
2),
1),
0))</f>
        <v>1</v>
      </c>
      <c r="BD110" s="38">
        <f>BB110*AZ110*4^BC110</f>
        <v>7680</v>
      </c>
      <c r="BE110" s="38">
        <f>BD110*AW110</f>
        <v>7680</v>
      </c>
      <c r="BF110" s="45">
        <f>ROUNDUP(IF(R110="Yes",AP110/(2^((BC110)*2)),AP110/(2^(BC110))),0)</f>
        <v>66900</v>
      </c>
      <c r="BG110" s="45">
        <f>IF(ISNUMBER(Y110),ROUNDUP(BF110/Y110,0),
  SWITCH(
      Y110,
      "1+0.5C",ROUNDUP(BF110/(1+0.5*VLOOKUP(J112,'Machine Helper Sheet'!$G$1:$K$16,2,FALSE)),0),
      ROUNDUP(BF110/1,0)
  )
)</f>
        <v>66900</v>
      </c>
      <c r="BH110" s="45">
        <f>ROUNDUP(BG110/BA110,0)</f>
        <v>66900</v>
      </c>
      <c r="BI110" s="46">
        <f>BH110*BE110</f>
        <v>513792000</v>
      </c>
      <c r="BK110" s="22"/>
      <c r="BM110" s="140" t="s">
        <v>794</v>
      </c>
      <c r="BN110" s="6"/>
      <c r="BO110" s="6"/>
      <c r="BP110" s="6"/>
      <c r="BQ110" s="6"/>
      <c r="BR110" s="6"/>
      <c r="BS110" s="6"/>
      <c r="BT110" s="6"/>
      <c r="BU110" s="6"/>
      <c r="BV110" s="6"/>
      <c r="BW110" s="6"/>
      <c r="BX110" s="6"/>
      <c r="BY110" s="140">
        <v>1.0</v>
      </c>
      <c r="BZ110" s="140">
        <v>1.0</v>
      </c>
      <c r="CB110" s="140" t="s">
        <v>379</v>
      </c>
      <c r="CC110" s="6"/>
      <c r="CD110" s="6">
        <v>1.0</v>
      </c>
      <c r="CE110" s="6">
        <v>2.0</v>
      </c>
      <c r="CF110" s="6"/>
      <c r="CG110" s="6"/>
      <c r="CH110" s="6">
        <v>3.0</v>
      </c>
      <c r="CJ110" s="140" t="s">
        <v>379</v>
      </c>
      <c r="CK110" s="140">
        <v>1152.0</v>
      </c>
      <c r="CL110" s="140">
        <v>1152.0</v>
      </c>
    </row>
    <row r="111">
      <c r="B111" s="40"/>
      <c r="C111" s="165" t="s">
        <v>123</v>
      </c>
      <c r="D111" s="38">
        <f>1*I112</f>
        <v>223</v>
      </c>
      <c r="E111" s="164" t="s">
        <v>169</v>
      </c>
      <c r="F111" s="42">
        <f>1*I112</f>
        <v>223</v>
      </c>
      <c r="G111" s="43"/>
      <c r="H111" s="99" t="s">
        <v>584</v>
      </c>
      <c r="I111" s="45">
        <f t="array" ref="I111">match(TRUE,ISBLANK(F111:F126),0)-1</f>
        <v>1</v>
      </c>
      <c r="J111" s="100" t="s">
        <v>420</v>
      </c>
      <c r="K111" s="100" t="s">
        <v>585</v>
      </c>
      <c r="L111" s="100" t="s">
        <v>704</v>
      </c>
      <c r="M111" s="38"/>
      <c r="N111" s="38"/>
      <c r="O111" s="38"/>
      <c r="P111" s="38"/>
      <c r="Q111" s="38"/>
      <c r="R111" s="101"/>
      <c r="S111" s="101"/>
      <c r="T111" s="101"/>
      <c r="U111" s="45"/>
      <c r="V111" s="45"/>
      <c r="W111" s="45"/>
      <c r="X111" s="45"/>
      <c r="Y111" s="45"/>
      <c r="Z111" s="45"/>
      <c r="AA111" s="45"/>
      <c r="AB111" s="45"/>
      <c r="AC111" s="45"/>
      <c r="AD111" s="45"/>
      <c r="AE111" s="45"/>
      <c r="AF111" s="45"/>
      <c r="AG111" s="79"/>
      <c r="AH111" s="45"/>
      <c r="AI111" s="45"/>
      <c r="AJ111" s="45"/>
      <c r="AK111" s="45"/>
      <c r="AL111" s="45"/>
      <c r="AM111" s="45"/>
      <c r="AN111" s="45"/>
      <c r="AO111" s="45"/>
      <c r="AP111" s="45"/>
      <c r="AQ111" s="45"/>
      <c r="AR111" s="45"/>
      <c r="AS111" s="45"/>
      <c r="AT111" s="79"/>
      <c r="AU111" s="45"/>
      <c r="AV111" s="45"/>
      <c r="AW111" s="45"/>
      <c r="AX111" s="45"/>
      <c r="AY111" s="45"/>
      <c r="AZ111" s="45"/>
      <c r="BA111" s="45"/>
      <c r="BB111" s="45">
        <f>BB110*AZ110</f>
        <v>1920</v>
      </c>
      <c r="BC111" s="45"/>
      <c r="BD111" s="45"/>
      <c r="BE111" s="45"/>
      <c r="BF111" s="45"/>
      <c r="BG111" s="45"/>
      <c r="BH111" s="45"/>
      <c r="BI111" s="46"/>
      <c r="BK111" s="22"/>
      <c r="BM111" s="140" t="s">
        <v>795</v>
      </c>
      <c r="BN111" s="140">
        <v>1.0</v>
      </c>
      <c r="BO111" s="6"/>
      <c r="BP111" s="6"/>
      <c r="BQ111" s="6"/>
      <c r="BR111" s="6"/>
      <c r="BS111" s="6"/>
      <c r="BT111" s="6"/>
      <c r="BU111" s="6"/>
      <c r="BV111" s="6"/>
      <c r="BW111" s="6"/>
      <c r="BX111" s="6"/>
      <c r="BY111" s="6"/>
      <c r="BZ111" s="140">
        <v>1.0</v>
      </c>
      <c r="CB111" s="6" t="s">
        <v>349</v>
      </c>
      <c r="CC111" s="6">
        <v>2.0</v>
      </c>
      <c r="CD111" s="6"/>
      <c r="CE111" s="6"/>
      <c r="CF111" s="6">
        <v>2.0</v>
      </c>
      <c r="CG111" s="6"/>
      <c r="CH111" s="6">
        <v>4.0</v>
      </c>
      <c r="CJ111" s="6" t="s">
        <v>349</v>
      </c>
      <c r="CK111" s="6">
        <v>4160.0</v>
      </c>
      <c r="CL111" s="6">
        <v>4160.0</v>
      </c>
    </row>
    <row r="112">
      <c r="B112" s="40"/>
      <c r="C112" s="165" t="s">
        <v>170</v>
      </c>
      <c r="D112" s="38">
        <f>2*I112</f>
        <v>446</v>
      </c>
      <c r="E112" s="38"/>
      <c r="F112" s="42"/>
      <c r="G112" s="43"/>
      <c r="H112" s="56" t="s">
        <v>502</v>
      </c>
      <c r="I112" s="166">
        <v>223.0</v>
      </c>
      <c r="J112" s="100" t="s">
        <v>424</v>
      </c>
      <c r="K112" s="100">
        <v>0.0</v>
      </c>
      <c r="L112" s="100">
        <v>0.0</v>
      </c>
      <c r="M112" s="45"/>
      <c r="N112" s="45"/>
      <c r="O112" s="45"/>
      <c r="P112" s="45"/>
      <c r="Q112" s="45"/>
      <c r="R112" s="45"/>
      <c r="S112" s="101"/>
      <c r="T112" s="101"/>
      <c r="U112" s="45"/>
      <c r="V112" s="45"/>
      <c r="W112" s="45"/>
      <c r="X112" s="45"/>
      <c r="Y112" s="45"/>
      <c r="Z112" s="45"/>
      <c r="AA112" s="45"/>
      <c r="AB112" s="45"/>
      <c r="AC112" s="45"/>
      <c r="AD112" s="45"/>
      <c r="AE112" s="45"/>
      <c r="AF112" s="45"/>
      <c r="AG112" s="79"/>
      <c r="AH112" s="45"/>
      <c r="AI112" s="45"/>
      <c r="AJ112" s="45"/>
      <c r="AK112" s="45"/>
      <c r="AL112" s="45"/>
      <c r="AM112" s="45"/>
      <c r="AN112" s="45"/>
      <c r="AO112" s="45"/>
      <c r="AP112" s="45"/>
      <c r="AQ112" s="45"/>
      <c r="AR112" s="45"/>
      <c r="AS112" s="45"/>
      <c r="AT112" s="79"/>
      <c r="AU112" s="45"/>
      <c r="AV112" s="45"/>
      <c r="AW112" s="45"/>
      <c r="AX112" s="45"/>
      <c r="AY112" s="45"/>
      <c r="AZ112" s="45"/>
      <c r="BA112" s="45"/>
      <c r="BB112" s="45"/>
      <c r="BC112" s="45"/>
      <c r="BD112" s="45"/>
      <c r="BE112" s="45"/>
      <c r="BF112" s="45"/>
      <c r="BG112" s="45"/>
      <c r="BH112" s="45"/>
      <c r="BI112" s="46"/>
      <c r="BK112" s="22"/>
      <c r="BM112" s="140" t="s">
        <v>796</v>
      </c>
      <c r="BN112" s="6"/>
      <c r="BO112" s="6"/>
      <c r="BP112" s="6"/>
      <c r="BQ112" s="6"/>
      <c r="BR112" s="6"/>
      <c r="BS112" s="6"/>
      <c r="BT112" s="6"/>
      <c r="BU112" s="140">
        <v>1.0</v>
      </c>
      <c r="BV112" s="6"/>
      <c r="BW112" s="6"/>
      <c r="BX112" s="6"/>
      <c r="BY112" s="6"/>
      <c r="BZ112" s="140">
        <v>1.0</v>
      </c>
      <c r="CB112" s="140" t="s">
        <v>374</v>
      </c>
      <c r="CC112" s="6">
        <v>3.0</v>
      </c>
      <c r="CD112" s="6"/>
      <c r="CE112" s="6"/>
      <c r="CF112" s="6"/>
      <c r="CG112" s="6"/>
      <c r="CH112" s="6">
        <v>3.0</v>
      </c>
      <c r="CJ112" s="140" t="s">
        <v>374</v>
      </c>
      <c r="CK112" s="140">
        <v>96.0</v>
      </c>
      <c r="CL112" s="140">
        <v>96.0</v>
      </c>
    </row>
    <row r="113">
      <c r="B113" s="40"/>
      <c r="C113" s="165" t="s">
        <v>75</v>
      </c>
      <c r="D113" s="38">
        <f>244*I112</f>
        <v>54412</v>
      </c>
      <c r="E113" s="38"/>
      <c r="F113" s="42"/>
      <c r="G113" s="43"/>
      <c r="H113" s="44"/>
      <c r="I113" s="45"/>
      <c r="J113" s="45"/>
      <c r="K113" s="45"/>
      <c r="L113" s="45"/>
      <c r="M113" s="45"/>
      <c r="N113" s="45"/>
      <c r="O113" s="45"/>
      <c r="P113" s="45"/>
      <c r="Q113" s="45"/>
      <c r="R113" s="45"/>
      <c r="S113" s="101"/>
      <c r="T113" s="101"/>
      <c r="U113" s="45"/>
      <c r="V113" s="45"/>
      <c r="W113" s="45"/>
      <c r="X113" s="45"/>
      <c r="Y113" s="45"/>
      <c r="Z113" s="45"/>
      <c r="AA113" s="45"/>
      <c r="AB113" s="45"/>
      <c r="AC113" s="45"/>
      <c r="AD113" s="45"/>
      <c r="AE113" s="45"/>
      <c r="AF113" s="45"/>
      <c r="AG113" s="79"/>
      <c r="AH113" s="45"/>
      <c r="AI113" s="45"/>
      <c r="AJ113" s="45"/>
      <c r="AK113" s="45"/>
      <c r="AL113" s="45"/>
      <c r="AM113" s="45"/>
      <c r="AN113" s="45"/>
      <c r="AO113" s="45"/>
      <c r="AP113" s="45"/>
      <c r="AQ113" s="45"/>
      <c r="AR113" s="45"/>
      <c r="AS113" s="45"/>
      <c r="AT113" s="79"/>
      <c r="AU113" s="45"/>
      <c r="AV113" s="45"/>
      <c r="AW113" s="45"/>
      <c r="AX113" s="45"/>
      <c r="AY113" s="45"/>
      <c r="AZ113" s="45"/>
      <c r="BA113" s="45"/>
      <c r="BB113" s="45"/>
      <c r="BC113" s="45"/>
      <c r="BD113" s="45"/>
      <c r="BE113" s="45"/>
      <c r="BF113" s="45"/>
      <c r="BG113" s="45"/>
      <c r="BH113" s="45"/>
      <c r="BI113" s="46"/>
      <c r="BK113" s="22"/>
      <c r="BM113" s="6" t="s">
        <v>797</v>
      </c>
      <c r="BN113" s="6">
        <v>1.0</v>
      </c>
      <c r="BO113" s="6"/>
      <c r="BP113" s="6"/>
      <c r="BQ113" s="6"/>
      <c r="BR113" s="6"/>
      <c r="BS113" s="6"/>
      <c r="BT113" s="6"/>
      <c r="BU113" s="6"/>
      <c r="BV113" s="6"/>
      <c r="BW113" s="6"/>
      <c r="BX113" s="6"/>
      <c r="BY113" s="6"/>
      <c r="BZ113" s="6">
        <v>1.0</v>
      </c>
      <c r="CB113" s="6" t="s">
        <v>487</v>
      </c>
      <c r="CC113" s="6">
        <v>11.0</v>
      </c>
      <c r="CD113" s="6">
        <v>8.0</v>
      </c>
      <c r="CE113" s="6">
        <v>7.0</v>
      </c>
      <c r="CF113" s="6">
        <v>3.0</v>
      </c>
      <c r="CG113" s="6">
        <v>4.0</v>
      </c>
      <c r="CH113" s="6">
        <v>33.0</v>
      </c>
      <c r="CJ113" s="6" t="s">
        <v>487</v>
      </c>
      <c r="CK113" s="6">
        <v>43872.0</v>
      </c>
      <c r="CL113" s="6">
        <v>43872.0</v>
      </c>
    </row>
    <row r="114">
      <c r="B114" s="135"/>
      <c r="C114" s="136"/>
      <c r="D114" s="137"/>
      <c r="E114" s="137"/>
      <c r="F114" s="137"/>
      <c r="G114" s="138"/>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c r="AG114" s="138"/>
      <c r="AH114" s="137"/>
      <c r="AI114" s="137"/>
      <c r="AJ114" s="137"/>
      <c r="AK114" s="137"/>
      <c r="AL114" s="137"/>
      <c r="AM114" s="137"/>
      <c r="AN114" s="137"/>
      <c r="AO114" s="137"/>
      <c r="AP114" s="137"/>
      <c r="AQ114" s="137"/>
      <c r="AR114" s="137"/>
      <c r="AS114" s="137"/>
      <c r="AT114" s="138"/>
      <c r="AU114" s="137"/>
      <c r="AV114" s="137"/>
      <c r="AW114" s="137"/>
      <c r="AX114" s="137"/>
      <c r="AY114" s="137"/>
      <c r="AZ114" s="137"/>
      <c r="BA114" s="137"/>
      <c r="BB114" s="137"/>
      <c r="BC114" s="137"/>
      <c r="BD114" s="137"/>
      <c r="BE114" s="137"/>
      <c r="BF114" s="137"/>
      <c r="BG114" s="137"/>
      <c r="BH114" s="137"/>
      <c r="BI114" s="139"/>
      <c r="BK114" s="22"/>
      <c r="BM114" s="6" t="s">
        <v>798</v>
      </c>
      <c r="BN114" s="6">
        <v>1.0</v>
      </c>
      <c r="BO114" s="6"/>
      <c r="BP114" s="6"/>
      <c r="BQ114" s="6"/>
      <c r="BR114" s="6"/>
      <c r="BS114" s="6"/>
      <c r="BT114" s="6"/>
      <c r="BU114" s="6"/>
      <c r="BV114" s="6"/>
      <c r="BW114" s="6"/>
      <c r="BX114" s="6"/>
      <c r="BY114" s="6"/>
      <c r="BZ114" s="6">
        <v>1.0</v>
      </c>
    </row>
    <row r="115">
      <c r="B115" s="141" t="s">
        <v>806</v>
      </c>
      <c r="C115" s="142"/>
      <c r="D115" s="143"/>
      <c r="E115" s="143"/>
      <c r="F115" s="144"/>
      <c r="G115" s="145"/>
      <c r="H115" s="167" t="s">
        <v>295</v>
      </c>
      <c r="I115" s="147" t="str">
        <f>VLOOKUP(H115,'Machine List'!$A$1:$I$300,9,FALSE)</f>
        <v>1T</v>
      </c>
      <c r="J115" s="147">
        <f>IF(VLOOKUP(H115,'Machine List'!$A$1:$I$300,5,FALSE)="Multi",IF(VLOOKUP(H115,'Machine List'!$A$1:$I$300,6,FALSE)="Yes",AI115*3*10^AB115,AI115*(2*3)*10^(AB115-1)),0)</f>
        <v>0</v>
      </c>
      <c r="K115" s="147">
        <f>J115+IF(ISNUMBER(I115),I115,
  SWITCH(
      I115,
      "1T",1*10^AB115,
      "2T",2*10^AB115,
      "3T",3*10^AB115,
      "4T",4*10^AB115,
      "4000+500(7O-5)",4000+500*(7*I116-5),
      "13500 + 16C",13500+16*VLOOKUP(J117,'Machine Helper Sheet'!$G$1:$K$16,5,FALSE),
      1
  )
)</f>
        <v>10000</v>
      </c>
      <c r="L115" s="147">
        <f>IF(VLOOKUP(H115,'Machine List'!$A$1:$I$300,5,FALSE)="Multi",IF(VLOOKUP(H115,'Machine List'!$A$1:$I$300,6,FALSE)="Yes",AW115*3*10^AV115,AW115*(2*3)*10^(AV115-1)),0)</f>
        <v>0</v>
      </c>
      <c r="M115" s="147">
        <f>L115+IF(ISNUMBER(I115),I115,
  SWITCH(
      I115,
      "1T",1*10^AV115,
      "2T",2*10^AV115,
      "3T",3*10^AV115,
      "4T",4*10^AV115,
      "4000+500(7O-5)",4000+500*(7*I116-5),
      1
  )
)</f>
        <v>100000</v>
      </c>
      <c r="N115" s="147" t="str">
        <f>VLOOKUP(H115,'Machine List'!$A$1:$I$300,8,FALSE)</f>
        <v>Tier</v>
      </c>
      <c r="O115" s="147">
        <f>IF(ISNUMBER(N115),N115,10^AB115)</f>
        <v>10000</v>
      </c>
      <c r="P115" s="147">
        <f>IF(ISNUMBER(N115),N115,10^AV115)</f>
        <v>100000</v>
      </c>
      <c r="Q115" s="147">
        <f>VLOOKUP(H115,'Machine List'!$A$1:$B$138,2,FALSE)</f>
        <v>1</v>
      </c>
      <c r="R115" s="147" t="s">
        <v>277</v>
      </c>
      <c r="S115" s="143">
        <f>IF(ISNUMBER(Q115),Q115,
  SWITCH(
      Q115,
      "1",1,
      "2T",AB115*2,
      "4T",AB115*4,
      "6T",AB115*6,
      "8T",AB115*8,
      "10T",AB115*10,
      "12T",AB115*12,
      "14T",AB115*14,
      "16T",AB115*16,
      "24T",AB115*24,
      "2(T+1)",2*(AB115+1),
      "1T*C",AB115*J117,
      "2*P",L117*2,
      1
  )
)</f>
        <v>1</v>
      </c>
      <c r="T115" s="38" t="s">
        <v>277</v>
      </c>
      <c r="U115" s="147">
        <f>IF(OR(T115="No",T115=""),S115,T115)</f>
        <v>1</v>
      </c>
      <c r="V115" s="147">
        <f>IF(ISNUMBER(Q115),Q115,
  SWITCH(
      Q115,
      "1",1,
      "2T",AV115*2,
      "4T",AV115*4,
      "6T",AV115*6,
      "8T",AV115*8,
      "10T",AV115*10,
      "12T",AV115*12,
      "14T",AV115*14,
      "16T",AV115*16,
      "24T",AV115*24,
      "2(T+1)",2*(AV115+1),
      "1T*C",AV115*J117,
      "2*P",L117*2,
      1
  )
)</f>
        <v>1</v>
      </c>
      <c r="W115" s="147" t="str">
        <f>T115</f>
        <v>No</v>
      </c>
      <c r="X115" s="147">
        <f>IF(OR(W115="No",W115=""),V115,W115)</f>
        <v>1</v>
      </c>
      <c r="Y115" s="38">
        <f>VLOOKUP(H115,'Machine List'!$A$1:$C$138,3,FALSE)</f>
        <v>1</v>
      </c>
      <c r="Z115" s="38">
        <f>VLOOKUP(H115,'Machine List'!$A$1:$D$138,4,FALSE)</f>
        <v>1</v>
      </c>
      <c r="AA115" s="168" t="s">
        <v>401</v>
      </c>
      <c r="AB115" s="147">
        <f>VLOOKUP(AA115,'Item Helper Sheet'!$A$2:$B$16,2,FALSE)</f>
        <v>4</v>
      </c>
      <c r="AC115" s="147">
        <v>1920.0</v>
      </c>
      <c r="AD115" s="147">
        <f>45*20</f>
        <v>900</v>
      </c>
      <c r="AE115" s="147">
        <f>AD115*I117</f>
        <v>200700</v>
      </c>
      <c r="AF115" s="147">
        <f>AC115*AE115</f>
        <v>385344000</v>
      </c>
      <c r="AG115" s="148"/>
      <c r="AH115" s="147" t="str">
        <f>AA115</f>
        <v>04 - EV</v>
      </c>
      <c r="AI115" s="147">
        <v>1.0</v>
      </c>
      <c r="AJ115" s="147">
        <v>1.0</v>
      </c>
      <c r="AK115" s="147">
        <f>AJ115*8*4^AB115</f>
        <v>2048</v>
      </c>
      <c r="AL115" s="147">
        <f>MIN(ROUNDDOWN(AK115/AN115,0),U115)</f>
        <v>1</v>
      </c>
      <c r="AM115" s="147">
        <f>IF(OR(T115="No",T115=""),AI115*S115,AI115*T115)</f>
        <v>1</v>
      </c>
      <c r="AN115" s="147">
        <f>ROUNDUP(AC115*VLOOKUP(H115,'Machine List'!$A$2:$D$219,4,FALSE),0)</f>
        <v>1920</v>
      </c>
      <c r="AO115" s="147">
        <f>AN115*AM115</f>
        <v>1920</v>
      </c>
      <c r="AP115" s="147">
        <f>ROUNDUP(AD115*I117,0)</f>
        <v>200700</v>
      </c>
      <c r="AQ115" s="38">
        <f>IF(ISNUMBER(Y115),ROUNDUP(AP115/Y115,0),
  SWITCH(
      Y115,
      "1+0.5C",ROUNDUP(AP115/(1+0.5*VLOOKUP(J117,'Machine Helper Sheet'!$G$1:$K$16,2,FALSE)),0),
      ROUNDUP(AP115/1,0)
  )
)</f>
        <v>200700</v>
      </c>
      <c r="AR115" s="147">
        <f>ROUNDUP(AQ115/AM115,0)</f>
        <v>200700</v>
      </c>
      <c r="AS115" s="147">
        <f>AO115*AR115</f>
        <v>385344000</v>
      </c>
      <c r="AT115" s="148"/>
      <c r="AU115" s="168" t="s">
        <v>405</v>
      </c>
      <c r="AV115" s="147">
        <f>VLOOKUP(AU115,'Item Helper Sheet'!$A$2:$B$16,2,FALSE)</f>
        <v>5</v>
      </c>
      <c r="AW115" s="147">
        <f>AI115</f>
        <v>1</v>
      </c>
      <c r="AX115" s="147">
        <v>1.0</v>
      </c>
      <c r="AY115" s="147">
        <f>AX115*8*4^AV115</f>
        <v>8192</v>
      </c>
      <c r="AZ115" s="147">
        <f>MIN(ROUNDDOWN(AY115/AN115,0),X115)</f>
        <v>1</v>
      </c>
      <c r="BA115" s="147">
        <f>AZ115*AW115</f>
        <v>1</v>
      </c>
      <c r="BB115" s="147">
        <f>AN115</f>
        <v>1920</v>
      </c>
      <c r="BC115" s="147">
        <f>MIN(AV115-AB115,IF(AY115&gt;=BB116*4,
IF(AY115&gt;=BB116*4^2,
IF(AY115&gt;=BB116*4^3,
IF(AY115&gt;=BB116*4^4,
IF(AY115&gt;=BB116*4^5,
IF(AY115&gt;=BB116*4^6,
IF(AY115&gt;=BB116*4^7,
IF(AY115&gt;=BB116*4^8,
IF(AY115&gt;=BB116*4^9,
IF(AY115&gt;=BB116*4^10,
9),
8),
7),
6),
5),
4),
3),
2),
1),
0))</f>
        <v>1</v>
      </c>
      <c r="BD115" s="147">
        <f>BB115*AZ115*4^BC115</f>
        <v>7680</v>
      </c>
      <c r="BE115" s="147">
        <f>BD115*AW115</f>
        <v>7680</v>
      </c>
      <c r="BF115" s="143">
        <f>ROUNDUP(IF(R115="Yes",AP115/(2^((BC115)*2)),AP115/(2^(BC115))),0)</f>
        <v>100350</v>
      </c>
      <c r="BG115" s="45">
        <f>IF(ISNUMBER(Y115),ROUNDUP(BF115/Y115,0),
  SWITCH(
      Y115,
      "1+0.5C",ROUNDUP(BF115/(1+0.5*VLOOKUP(J117,'Machine Helper Sheet'!$G$1:$K$16,2,FALSE)),0),
      ROUNDUP(BF115/1,0)
  )
)</f>
        <v>100350</v>
      </c>
      <c r="BH115" s="143">
        <f>ROUNDUP(BG115/BA115,0)</f>
        <v>100350</v>
      </c>
      <c r="BI115" s="149">
        <f>BH115*BE115</f>
        <v>770688000</v>
      </c>
      <c r="BK115" s="22"/>
      <c r="BM115" s="6" t="s">
        <v>799</v>
      </c>
      <c r="BN115" s="6">
        <v>1.0</v>
      </c>
      <c r="BO115" s="6"/>
      <c r="BP115" s="6"/>
      <c r="BQ115" s="6"/>
      <c r="BR115" s="6"/>
      <c r="BS115" s="6"/>
      <c r="BT115" s="6"/>
      <c r="BU115" s="6"/>
      <c r="BV115" s="6"/>
      <c r="BW115" s="6"/>
      <c r="BX115" s="6"/>
      <c r="BY115" s="6"/>
      <c r="BZ115" s="6">
        <v>1.0</v>
      </c>
      <c r="CB115" s="6" t="s">
        <v>705</v>
      </c>
      <c r="CC115" s="6" t="s">
        <v>468</v>
      </c>
      <c r="CD115" s="6"/>
      <c r="CJ115" s="6" t="s">
        <v>571</v>
      </c>
      <c r="CK115" s="6" t="s">
        <v>694</v>
      </c>
      <c r="CL115" s="6"/>
    </row>
    <row r="116">
      <c r="B116" s="150"/>
      <c r="C116" s="169" t="s">
        <v>169</v>
      </c>
      <c r="D116" s="147">
        <f>1*I117</f>
        <v>223</v>
      </c>
      <c r="E116" s="168" t="s">
        <v>168</v>
      </c>
      <c r="F116" s="152">
        <f>4*I117</f>
        <v>892</v>
      </c>
      <c r="G116" s="138"/>
      <c r="H116" s="153" t="s">
        <v>584</v>
      </c>
      <c r="I116" s="45">
        <f t="array" ref="I116">match(TRUE,ISBLANK(F116:F131),0)-1</f>
        <v>1</v>
      </c>
      <c r="J116" s="154" t="s">
        <v>420</v>
      </c>
      <c r="K116" s="154" t="s">
        <v>585</v>
      </c>
      <c r="L116" s="100" t="s">
        <v>704</v>
      </c>
      <c r="M116" s="147"/>
      <c r="N116" s="147"/>
      <c r="O116" s="147"/>
      <c r="P116" s="147"/>
      <c r="Q116" s="147"/>
      <c r="R116" s="155"/>
      <c r="S116" s="155"/>
      <c r="T116" s="155"/>
      <c r="U116" s="143"/>
      <c r="V116" s="143"/>
      <c r="W116" s="143"/>
      <c r="X116" s="143"/>
      <c r="Y116" s="143"/>
      <c r="Z116" s="143"/>
      <c r="AA116" s="143"/>
      <c r="AB116" s="143"/>
      <c r="AC116" s="143"/>
      <c r="AD116" s="143"/>
      <c r="AE116" s="143"/>
      <c r="AF116" s="143"/>
      <c r="AG116" s="156"/>
      <c r="AH116" s="143"/>
      <c r="AI116" s="143"/>
      <c r="AJ116" s="143"/>
      <c r="AK116" s="143"/>
      <c r="AL116" s="143"/>
      <c r="AM116" s="143"/>
      <c r="AN116" s="143"/>
      <c r="AO116" s="143"/>
      <c r="AP116" s="143"/>
      <c r="AQ116" s="143"/>
      <c r="AR116" s="143"/>
      <c r="AS116" s="143"/>
      <c r="AT116" s="156"/>
      <c r="AU116" s="143"/>
      <c r="AV116" s="143"/>
      <c r="AW116" s="143"/>
      <c r="AX116" s="143"/>
      <c r="AY116" s="143"/>
      <c r="AZ116" s="143"/>
      <c r="BA116" s="143"/>
      <c r="BB116" s="143">
        <f>BB115*AZ115</f>
        <v>1920</v>
      </c>
      <c r="BC116" s="143"/>
      <c r="BD116" s="143"/>
      <c r="BE116" s="143"/>
      <c r="BF116" s="143"/>
      <c r="BG116" s="143"/>
      <c r="BH116" s="143"/>
      <c r="BI116" s="149"/>
      <c r="BK116" s="22"/>
      <c r="BM116" s="6" t="s">
        <v>800</v>
      </c>
      <c r="BN116" s="6">
        <v>1.0</v>
      </c>
      <c r="BO116" s="6"/>
      <c r="BP116" s="6"/>
      <c r="BQ116" s="6"/>
      <c r="BR116" s="6"/>
      <c r="BS116" s="6"/>
      <c r="BT116" s="6"/>
      <c r="BU116" s="6"/>
      <c r="BV116" s="6"/>
      <c r="BW116" s="6"/>
      <c r="BX116" s="6"/>
      <c r="BY116" s="6"/>
      <c r="BZ116" s="6">
        <v>1.0</v>
      </c>
      <c r="CB116" s="6" t="s">
        <v>462</v>
      </c>
      <c r="CC116" s="6" t="s">
        <v>405</v>
      </c>
      <c r="CD116" s="6" t="s">
        <v>487</v>
      </c>
      <c r="CJ116" s="6" t="s">
        <v>462</v>
      </c>
      <c r="CK116" s="6">
        <v>1.0</v>
      </c>
      <c r="CL116" s="6" t="s">
        <v>487</v>
      </c>
    </row>
    <row r="117">
      <c r="B117" s="150"/>
      <c r="C117" s="169" t="s">
        <v>115</v>
      </c>
      <c r="D117" s="147">
        <f>250*I117</f>
        <v>55750</v>
      </c>
      <c r="E117" s="147"/>
      <c r="F117" s="152"/>
      <c r="G117" s="138"/>
      <c r="H117" s="157" t="s">
        <v>502</v>
      </c>
      <c r="I117" s="170">
        <v>223.0</v>
      </c>
      <c r="J117" s="154" t="s">
        <v>424</v>
      </c>
      <c r="K117" s="154">
        <v>0.0</v>
      </c>
      <c r="L117" s="100">
        <v>0.0</v>
      </c>
      <c r="M117" s="143"/>
      <c r="N117" s="143"/>
      <c r="O117" s="143"/>
      <c r="P117" s="143"/>
      <c r="Q117" s="143"/>
      <c r="R117" s="143"/>
      <c r="S117" s="155"/>
      <c r="T117" s="155"/>
      <c r="U117" s="143"/>
      <c r="V117" s="143"/>
      <c r="W117" s="143"/>
      <c r="X117" s="143"/>
      <c r="Y117" s="143"/>
      <c r="Z117" s="143"/>
      <c r="AA117" s="143"/>
      <c r="AB117" s="143"/>
      <c r="AC117" s="143"/>
      <c r="AD117" s="143"/>
      <c r="AE117" s="143"/>
      <c r="AF117" s="143"/>
      <c r="AG117" s="156"/>
      <c r="AH117" s="143"/>
      <c r="AI117" s="143"/>
      <c r="AJ117" s="143"/>
      <c r="AK117" s="143"/>
      <c r="AL117" s="143"/>
      <c r="AM117" s="143"/>
      <c r="AN117" s="143"/>
      <c r="AO117" s="143"/>
      <c r="AP117" s="143"/>
      <c r="AQ117" s="143"/>
      <c r="AR117" s="143"/>
      <c r="AS117" s="143"/>
      <c r="AT117" s="156"/>
      <c r="AU117" s="143"/>
      <c r="AV117" s="143"/>
      <c r="AW117" s="143"/>
      <c r="AX117" s="143"/>
      <c r="AY117" s="143"/>
      <c r="AZ117" s="143"/>
      <c r="BA117" s="143"/>
      <c r="BB117" s="143"/>
      <c r="BC117" s="143"/>
      <c r="BD117" s="143"/>
      <c r="BE117" s="143"/>
      <c r="BF117" s="143"/>
      <c r="BG117" s="143"/>
      <c r="BH117" s="143"/>
      <c r="BI117" s="149"/>
      <c r="BK117" s="22"/>
      <c r="BM117" s="140" t="s">
        <v>801</v>
      </c>
      <c r="BN117" s="6"/>
      <c r="BO117" s="6"/>
      <c r="BP117" s="6"/>
      <c r="BQ117" s="6"/>
      <c r="BR117" s="6"/>
      <c r="BS117" s="6"/>
      <c r="BT117" s="140">
        <v>1.0</v>
      </c>
      <c r="BU117" s="6"/>
      <c r="BV117" s="6"/>
      <c r="BW117" s="6"/>
      <c r="BX117" s="6"/>
      <c r="BY117" s="6"/>
      <c r="BZ117" s="140">
        <v>1.0</v>
      </c>
      <c r="CB117" s="140" t="s">
        <v>285</v>
      </c>
      <c r="CC117" s="6">
        <v>5.0</v>
      </c>
      <c r="CD117" s="6">
        <v>5.0</v>
      </c>
      <c r="CJ117" s="140" t="s">
        <v>285</v>
      </c>
      <c r="CK117" s="140">
        <v>40960.0</v>
      </c>
      <c r="CL117" s="140">
        <v>40960.0</v>
      </c>
    </row>
    <row r="118">
      <c r="B118" s="135"/>
      <c r="C118" s="136"/>
      <c r="D118" s="137"/>
      <c r="E118" s="137"/>
      <c r="F118" s="137"/>
      <c r="G118" s="138"/>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c r="AG118" s="138"/>
      <c r="AH118" s="137"/>
      <c r="AI118" s="137"/>
      <c r="AJ118" s="137"/>
      <c r="AK118" s="137"/>
      <c r="AL118" s="137"/>
      <c r="AM118" s="137"/>
      <c r="AN118" s="137"/>
      <c r="AO118" s="137"/>
      <c r="AP118" s="137"/>
      <c r="AQ118" s="137"/>
      <c r="AR118" s="137"/>
      <c r="AS118" s="137"/>
      <c r="AT118" s="138"/>
      <c r="AU118" s="137"/>
      <c r="AV118" s="137"/>
      <c r="AW118" s="137"/>
      <c r="AX118" s="137"/>
      <c r="AY118" s="137"/>
      <c r="AZ118" s="137"/>
      <c r="BA118" s="137"/>
      <c r="BB118" s="137"/>
      <c r="BC118" s="137"/>
      <c r="BD118" s="137"/>
      <c r="BE118" s="137"/>
      <c r="BF118" s="137"/>
      <c r="BG118" s="137"/>
      <c r="BH118" s="137"/>
      <c r="BI118" s="139"/>
      <c r="BK118" s="22"/>
      <c r="BM118" s="140" t="s">
        <v>802</v>
      </c>
      <c r="BN118" s="6"/>
      <c r="BO118" s="6"/>
      <c r="BP118" s="6"/>
      <c r="BQ118" s="6"/>
      <c r="BR118" s="6"/>
      <c r="BS118" s="6"/>
      <c r="BT118" s="6"/>
      <c r="BU118" s="6"/>
      <c r="BV118" s="6"/>
      <c r="BW118" s="140">
        <v>1.0</v>
      </c>
      <c r="BX118" s="6"/>
      <c r="BY118" s="6"/>
      <c r="BZ118" s="140">
        <v>1.0</v>
      </c>
      <c r="CB118" s="140" t="s">
        <v>287</v>
      </c>
      <c r="CC118" s="6">
        <v>1.0</v>
      </c>
      <c r="CD118" s="6">
        <v>1.0</v>
      </c>
      <c r="CJ118" s="140" t="s">
        <v>287</v>
      </c>
      <c r="CK118" s="140">
        <v>8192.0</v>
      </c>
      <c r="CL118" s="140">
        <v>8192.0</v>
      </c>
    </row>
    <row r="119">
      <c r="B119" s="141" t="s">
        <v>807</v>
      </c>
      <c r="C119" s="142"/>
      <c r="D119" s="143"/>
      <c r="E119" s="143"/>
      <c r="F119" s="144"/>
      <c r="G119" s="145"/>
      <c r="H119" s="167" t="s">
        <v>292</v>
      </c>
      <c r="I119" s="147" t="str">
        <f>VLOOKUP(H119,'Machine List'!$A$1:$I$300,9,FALSE)</f>
        <v>1T</v>
      </c>
      <c r="J119" s="147">
        <f>IF(VLOOKUP(H119,'Machine List'!$A$1:$I$300,5,FALSE)="Multi",IF(VLOOKUP(H119,'Machine List'!$A$1:$I$300,6,FALSE)="Yes",AI119*3*10^AB119,AI119*(2*3)*10^(AB119-1)),0)</f>
        <v>0</v>
      </c>
      <c r="K119" s="147">
        <f>J119+IF(ISNUMBER(I119),I119,
  SWITCH(
      I119,
      "1T",1*10^AB119,
      "2T",2*10^AB119,
      "3T",3*10^AB119,
      "4T",4*10^AB119,
      "4000+500(7O-5)",4000+500*(7*I120-5),
      "13500 + 16C",13500+16*VLOOKUP(J121,'Machine Helper Sheet'!$G$1:$K$16,5,FALSE),
      1
  )
)</f>
        <v>1000</v>
      </c>
      <c r="L119" s="147">
        <f>IF(VLOOKUP(H119,'Machine List'!$A$1:$I$300,5,FALSE)="Multi",IF(VLOOKUP(H119,'Machine List'!$A$1:$I$300,6,FALSE)="Yes",AW119*3*10^AV119,AW119*(2*3)*10^(AV119-1)),0)</f>
        <v>0</v>
      </c>
      <c r="M119" s="147">
        <f>L119+IF(ISNUMBER(I119),I119,
  SWITCH(
      I119,
      "1T",1*10^AV119,
      "2T",2*10^AV119,
      "3T",3*10^AV119,
      "4T",4*10^AV119,
      "4000+500(7O-5)",4000+500*(7*I120-5),
      1
  )
)</f>
        <v>100000</v>
      </c>
      <c r="N119" s="147" t="str">
        <f>VLOOKUP(H119,'Machine List'!$A$1:$I$300,8,FALSE)</f>
        <v>Tier</v>
      </c>
      <c r="O119" s="147">
        <f>IF(ISNUMBER(N119),N119,10^AB119)</f>
        <v>1000</v>
      </c>
      <c r="P119" s="147">
        <f>IF(ISNUMBER(N119),N119,10^AV119)</f>
        <v>100000</v>
      </c>
      <c r="Q119" s="147">
        <f>VLOOKUP(H119,'Machine List'!$A$1:$B$138,2,FALSE)</f>
        <v>1</v>
      </c>
      <c r="R119" s="147" t="s">
        <v>277</v>
      </c>
      <c r="S119" s="143">
        <f>IF(ISNUMBER(Q119),Q119,
  SWITCH(
      Q119,
      "1",1,
      "2T",AB119*2,
      "4T",AB119*4,
      "6T",AB119*6,
      "8T",AB119*8,
      "10T",AB119*10,
      "12T",AB119*12,
      "14T",AB119*14,
      "16T",AB119*16,
      "24T",AB119*24,
      "2(T+1)",2*(AB119+1),
      "1T*C",AB119*J121,
      "2*P",L121*2,
      1
  )
)</f>
        <v>1</v>
      </c>
      <c r="T119" s="38" t="s">
        <v>277</v>
      </c>
      <c r="U119" s="147">
        <f>IF(OR(T119="No",T119=""),S119,T119)</f>
        <v>1</v>
      </c>
      <c r="V119" s="147">
        <f>IF(ISNUMBER(Q119),Q119,
  SWITCH(
      Q119,
      "1",1,
      "2T",AV119*2,
      "4T",AV119*4,
      "6T",AV119*6,
      "8T",AV119*8,
      "10T",AV119*10,
      "12T",AV119*12,
      "14T",AV119*14,
      "16T",AV119*16,
      "24T",AV119*24,
      "2(T+1)",2*(AV119+1),
      "1T*C",AV119*J121,
      "2*P",L121*2,
      1
  )
)</f>
        <v>1</v>
      </c>
      <c r="W119" s="147" t="str">
        <f>T119</f>
        <v>No</v>
      </c>
      <c r="X119" s="147">
        <f>IF(OR(W119="No",W119=""),V119,W119)</f>
        <v>1</v>
      </c>
      <c r="Y119" s="38">
        <f>VLOOKUP(H119,'Machine List'!$A$1:$C$138,3,FALSE)</f>
        <v>1</v>
      </c>
      <c r="Z119" s="38">
        <f>VLOOKUP(H119,'Machine List'!$A$1:$D$138,4,FALSE)</f>
        <v>1</v>
      </c>
      <c r="AA119" s="168" t="s">
        <v>397</v>
      </c>
      <c r="AB119" s="147">
        <f>VLOOKUP(AA119,'Item Helper Sheet'!$A$2:$B$16,2,FALSE)</f>
        <v>3</v>
      </c>
      <c r="AC119" s="168">
        <v>384.0</v>
      </c>
      <c r="AD119" s="147">
        <f>24*20</f>
        <v>480</v>
      </c>
      <c r="AE119" s="147">
        <f>AD119*I121</f>
        <v>214080</v>
      </c>
      <c r="AF119" s="147">
        <f>AC119*AE119</f>
        <v>82206720</v>
      </c>
      <c r="AG119" s="148"/>
      <c r="AH119" s="147" t="str">
        <f>AA119</f>
        <v>03 - HV</v>
      </c>
      <c r="AI119" s="147">
        <v>1.0</v>
      </c>
      <c r="AJ119" s="147">
        <v>1.0</v>
      </c>
      <c r="AK119" s="147">
        <f>AJ119*8*4^AB119</f>
        <v>512</v>
      </c>
      <c r="AL119" s="147">
        <f>MIN(ROUNDDOWN(AK119/AN119,0),U119)</f>
        <v>1</v>
      </c>
      <c r="AM119" s="147">
        <f>IF(OR(T119="No",T119=""),AI119*S119,AI119*T119)</f>
        <v>1</v>
      </c>
      <c r="AN119" s="147">
        <f>ROUNDUP(AC119*VLOOKUP(H119,'Machine List'!$A$2:$D$219,4,FALSE),0)</f>
        <v>384</v>
      </c>
      <c r="AO119" s="147">
        <f>AN119*AM119</f>
        <v>384</v>
      </c>
      <c r="AP119" s="147">
        <f>ROUNDUP(AD119*I121,0)</f>
        <v>214080</v>
      </c>
      <c r="AQ119" s="38">
        <f>IF(ISNUMBER(Y119),ROUNDUP(AP119/Y119,0),
  SWITCH(
      Y119,
      "1+0.5C",ROUNDUP(AP119/(1+0.5*VLOOKUP(J121,'Machine Helper Sheet'!$G$1:$K$16,2,FALSE)),0),
      ROUNDUP(AP119/1,0)
  )
)</f>
        <v>214080</v>
      </c>
      <c r="AR119" s="147">
        <f>ROUNDUP(AQ119/AM119,0)</f>
        <v>214080</v>
      </c>
      <c r="AS119" s="147">
        <f>AO119*AR119</f>
        <v>82206720</v>
      </c>
      <c r="AT119" s="148"/>
      <c r="AU119" s="168" t="s">
        <v>405</v>
      </c>
      <c r="AV119" s="147">
        <f>VLOOKUP(AU119,'Item Helper Sheet'!$A$2:$B$16,2,FALSE)</f>
        <v>5</v>
      </c>
      <c r="AW119" s="147">
        <f>AI119</f>
        <v>1</v>
      </c>
      <c r="AX119" s="147">
        <v>1.0</v>
      </c>
      <c r="AY119" s="147">
        <f>AX119*8*4^AV119</f>
        <v>8192</v>
      </c>
      <c r="AZ119" s="147">
        <f>MIN(ROUNDDOWN(AY119/AN119,0),X119)</f>
        <v>1</v>
      </c>
      <c r="BA119" s="147">
        <f>AZ119*AW119</f>
        <v>1</v>
      </c>
      <c r="BB119" s="147">
        <f>AN119</f>
        <v>384</v>
      </c>
      <c r="BC119" s="147">
        <f>MIN(AV119-AB119,IF(AY119&gt;=BB120*4,
IF(AY119&gt;=BB120*4^2,
IF(AY119&gt;=BB120*4^3,
IF(AY119&gt;=BB120*4^4,
IF(AY119&gt;=BB120*4^5,
IF(AY119&gt;=BB120*4^6,
IF(AY119&gt;=BB120*4^7,
IF(AY119&gt;=BB120*4^8,
IF(AY119&gt;=BB120*4^9,
IF(AY119&gt;=BB120*4^10,
9),
8),
7),
6),
5),
4),
3),
2),
1),
0))</f>
        <v>2</v>
      </c>
      <c r="BD119" s="147">
        <f>BB119*AZ119*4^BC119</f>
        <v>6144</v>
      </c>
      <c r="BE119" s="147">
        <f>BD119*AW119</f>
        <v>6144</v>
      </c>
      <c r="BF119" s="143">
        <f>ROUNDUP(IF(R119="Yes",AP119/(2^((BC119)*2)),AP119/(2^(BC119))),0)</f>
        <v>53520</v>
      </c>
      <c r="BG119" s="45">
        <f>IF(ISNUMBER(Y119),ROUNDUP(BF119/Y119,0),
  SWITCH(
      Y119,
      "1+0.5C",ROUNDUP(BF119/(1+0.5*VLOOKUP(J121,'Machine Helper Sheet'!$G$1:$K$16,2,FALSE)),0),
      ROUNDUP(BF119/1,0)
  )
)</f>
        <v>53520</v>
      </c>
      <c r="BH119" s="143">
        <f>ROUNDUP(BG119/BA119,0)</f>
        <v>53520</v>
      </c>
      <c r="BI119" s="149">
        <f>BH119*BE119</f>
        <v>328826880</v>
      </c>
      <c r="BK119" s="22"/>
      <c r="BM119" s="6" t="s">
        <v>803</v>
      </c>
      <c r="BN119" s="6"/>
      <c r="BO119" s="6"/>
      <c r="BP119" s="6"/>
      <c r="BQ119" s="6"/>
      <c r="BR119" s="6"/>
      <c r="BS119" s="6"/>
      <c r="BT119" s="6"/>
      <c r="BU119" s="6"/>
      <c r="BV119" s="6"/>
      <c r="BW119" s="6"/>
      <c r="BX119" s="6">
        <v>1.0</v>
      </c>
      <c r="BY119" s="6"/>
      <c r="BZ119" s="6">
        <v>1.0</v>
      </c>
      <c r="CB119" s="140" t="s">
        <v>288</v>
      </c>
      <c r="CC119" s="6">
        <v>4.0</v>
      </c>
      <c r="CD119" s="6">
        <v>4.0</v>
      </c>
      <c r="CJ119" s="140" t="s">
        <v>288</v>
      </c>
      <c r="CK119" s="140">
        <v>32768.0</v>
      </c>
      <c r="CL119" s="140">
        <v>32768.0</v>
      </c>
    </row>
    <row r="120">
      <c r="B120" s="150"/>
      <c r="C120" s="169" t="s">
        <v>57</v>
      </c>
      <c r="D120" s="147">
        <f>1*I121</f>
        <v>446</v>
      </c>
      <c r="E120" s="168" t="s">
        <v>170</v>
      </c>
      <c r="F120" s="152">
        <f>1*I121</f>
        <v>446</v>
      </c>
      <c r="G120" s="138"/>
      <c r="H120" s="153" t="s">
        <v>584</v>
      </c>
      <c r="I120" s="45">
        <f t="array" ref="I120">match(TRUE,ISBLANK(F120:F135),0)-1</f>
        <v>1</v>
      </c>
      <c r="J120" s="154" t="s">
        <v>420</v>
      </c>
      <c r="K120" s="154" t="s">
        <v>585</v>
      </c>
      <c r="L120" s="100" t="s">
        <v>704</v>
      </c>
      <c r="M120" s="147"/>
      <c r="N120" s="147"/>
      <c r="O120" s="147"/>
      <c r="P120" s="147"/>
      <c r="Q120" s="147"/>
      <c r="R120" s="155"/>
      <c r="S120" s="155"/>
      <c r="T120" s="155"/>
      <c r="U120" s="143"/>
      <c r="V120" s="143"/>
      <c r="W120" s="143"/>
      <c r="X120" s="143"/>
      <c r="Y120" s="143"/>
      <c r="Z120" s="143"/>
      <c r="AA120" s="143"/>
      <c r="AB120" s="143"/>
      <c r="AC120" s="143"/>
      <c r="AD120" s="143"/>
      <c r="AE120" s="143"/>
      <c r="AF120" s="143"/>
      <c r="AG120" s="156"/>
      <c r="AH120" s="143"/>
      <c r="AI120" s="143"/>
      <c r="AJ120" s="143"/>
      <c r="AK120" s="143"/>
      <c r="AL120" s="143"/>
      <c r="AM120" s="143"/>
      <c r="AN120" s="143"/>
      <c r="AO120" s="143"/>
      <c r="AP120" s="143"/>
      <c r="AQ120" s="143"/>
      <c r="AR120" s="143"/>
      <c r="AS120" s="143"/>
      <c r="AT120" s="156"/>
      <c r="AU120" s="143"/>
      <c r="AV120" s="143"/>
      <c r="AW120" s="143"/>
      <c r="AX120" s="143"/>
      <c r="AY120" s="143"/>
      <c r="AZ120" s="143"/>
      <c r="BA120" s="143"/>
      <c r="BB120" s="143">
        <f>BB119*AZ119</f>
        <v>384</v>
      </c>
      <c r="BC120" s="143"/>
      <c r="BD120" s="143"/>
      <c r="BE120" s="143"/>
      <c r="BF120" s="143"/>
      <c r="BG120" s="143"/>
      <c r="BH120" s="143"/>
      <c r="BI120" s="149"/>
      <c r="BK120" s="22"/>
      <c r="BM120" s="140" t="s">
        <v>804</v>
      </c>
      <c r="BN120" s="6"/>
      <c r="BO120" s="6"/>
      <c r="BP120" s="6"/>
      <c r="BQ120" s="140">
        <v>1.0</v>
      </c>
      <c r="BR120" s="6"/>
      <c r="BS120" s="6"/>
      <c r="BT120" s="6"/>
      <c r="BU120" s="6"/>
      <c r="BV120" s="6"/>
      <c r="BW120" s="6"/>
      <c r="BX120" s="6"/>
      <c r="BY120" s="6"/>
      <c r="BZ120" s="140">
        <v>1.0</v>
      </c>
      <c r="CB120" s="140" t="s">
        <v>290</v>
      </c>
      <c r="CC120" s="6">
        <v>1.0</v>
      </c>
      <c r="CD120" s="6">
        <v>1.0</v>
      </c>
      <c r="CJ120" s="140" t="s">
        <v>290</v>
      </c>
      <c r="CK120" s="140">
        <v>8192.0</v>
      </c>
      <c r="CL120" s="140">
        <v>8192.0</v>
      </c>
    </row>
    <row r="121">
      <c r="B121" s="150"/>
      <c r="C121" s="169" t="s">
        <v>174</v>
      </c>
      <c r="D121" s="147">
        <f>250*I121</f>
        <v>111500</v>
      </c>
      <c r="E121" s="147"/>
      <c r="F121" s="152"/>
      <c r="G121" s="138"/>
      <c r="H121" s="157" t="s">
        <v>502</v>
      </c>
      <c r="I121" s="170">
        <v>446.0</v>
      </c>
      <c r="J121" s="154" t="s">
        <v>424</v>
      </c>
      <c r="K121" s="154">
        <v>0.0</v>
      </c>
      <c r="L121" s="100">
        <v>0.0</v>
      </c>
      <c r="M121" s="143"/>
      <c r="N121" s="143"/>
      <c r="O121" s="143"/>
      <c r="P121" s="143"/>
      <c r="Q121" s="143"/>
      <c r="R121" s="143"/>
      <c r="S121" s="155"/>
      <c r="T121" s="155"/>
      <c r="U121" s="143"/>
      <c r="V121" s="143"/>
      <c r="W121" s="143"/>
      <c r="X121" s="143"/>
      <c r="Y121" s="143"/>
      <c r="Z121" s="143"/>
      <c r="AA121" s="143"/>
      <c r="AB121" s="143"/>
      <c r="AC121" s="143"/>
      <c r="AD121" s="143"/>
      <c r="AE121" s="143"/>
      <c r="AF121" s="143"/>
      <c r="AG121" s="156"/>
      <c r="AH121" s="143"/>
      <c r="AI121" s="143"/>
      <c r="AJ121" s="143"/>
      <c r="AK121" s="143"/>
      <c r="AL121" s="143"/>
      <c r="AM121" s="143"/>
      <c r="AN121" s="143"/>
      <c r="AO121" s="143"/>
      <c r="AP121" s="143"/>
      <c r="AQ121" s="143"/>
      <c r="AR121" s="143"/>
      <c r="AS121" s="143"/>
      <c r="AT121" s="156"/>
      <c r="AU121" s="143"/>
      <c r="AV121" s="143"/>
      <c r="AW121" s="143"/>
      <c r="AX121" s="143"/>
      <c r="AY121" s="143"/>
      <c r="AZ121" s="143"/>
      <c r="BA121" s="143"/>
      <c r="BB121" s="143"/>
      <c r="BC121" s="143"/>
      <c r="BD121" s="143"/>
      <c r="BE121" s="143"/>
      <c r="BF121" s="143"/>
      <c r="BG121" s="143"/>
      <c r="BH121" s="143"/>
      <c r="BI121" s="149"/>
      <c r="BK121" s="22"/>
      <c r="BM121" s="6" t="s">
        <v>805</v>
      </c>
      <c r="BN121" s="6"/>
      <c r="BO121" s="6"/>
      <c r="BP121" s="6"/>
      <c r="BQ121" s="6"/>
      <c r="BR121" s="6"/>
      <c r="BS121" s="6"/>
      <c r="BT121" s="6"/>
      <c r="BU121" s="6"/>
      <c r="BV121" s="6"/>
      <c r="BW121" s="6"/>
      <c r="BX121" s="6">
        <v>1.0</v>
      </c>
      <c r="BY121" s="6"/>
      <c r="BZ121" s="6">
        <v>1.0</v>
      </c>
      <c r="CB121" s="140" t="s">
        <v>292</v>
      </c>
      <c r="CC121" s="6">
        <v>2.0</v>
      </c>
      <c r="CD121" s="6">
        <v>2.0</v>
      </c>
      <c r="CJ121" s="140" t="s">
        <v>292</v>
      </c>
      <c r="CK121" s="140">
        <v>16384.0</v>
      </c>
      <c r="CL121" s="140">
        <v>16384.0</v>
      </c>
    </row>
    <row r="122">
      <c r="B122" s="135"/>
      <c r="C122" s="136"/>
      <c r="D122" s="137"/>
      <c r="E122" s="137"/>
      <c r="F122" s="137"/>
      <c r="G122" s="138"/>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c r="AG122" s="138"/>
      <c r="AH122" s="137"/>
      <c r="AI122" s="137"/>
      <c r="AJ122" s="137"/>
      <c r="AK122" s="137"/>
      <c r="AL122" s="137"/>
      <c r="AM122" s="137"/>
      <c r="AN122" s="137"/>
      <c r="AO122" s="137"/>
      <c r="AP122" s="137"/>
      <c r="AQ122" s="137"/>
      <c r="AR122" s="137"/>
      <c r="AS122" s="137"/>
      <c r="AT122" s="138"/>
      <c r="AU122" s="137"/>
      <c r="AV122" s="137"/>
      <c r="AW122" s="137"/>
      <c r="AX122" s="137"/>
      <c r="AY122" s="137"/>
      <c r="AZ122" s="137"/>
      <c r="BA122" s="137"/>
      <c r="BB122" s="137"/>
      <c r="BC122" s="137"/>
      <c r="BD122" s="137"/>
      <c r="BE122" s="137"/>
      <c r="BF122" s="137"/>
      <c r="BG122" s="137"/>
      <c r="BH122" s="137"/>
      <c r="BI122" s="139"/>
      <c r="BK122" s="22"/>
      <c r="BM122" s="140" t="s">
        <v>806</v>
      </c>
      <c r="BN122" s="6"/>
      <c r="BO122" s="6"/>
      <c r="BP122" s="6"/>
      <c r="BQ122" s="6"/>
      <c r="BR122" s="6"/>
      <c r="BS122" s="6"/>
      <c r="BT122" s="140">
        <v>1.0</v>
      </c>
      <c r="BU122" s="6"/>
      <c r="BV122" s="6"/>
      <c r="BW122" s="6"/>
      <c r="BX122" s="6"/>
      <c r="BY122" s="6"/>
      <c r="BZ122" s="140">
        <v>1.0</v>
      </c>
      <c r="CB122" s="6" t="s">
        <v>380</v>
      </c>
      <c r="CC122" s="6">
        <v>4.0</v>
      </c>
      <c r="CD122" s="6">
        <v>4.0</v>
      </c>
      <c r="CJ122" s="6" t="s">
        <v>380</v>
      </c>
      <c r="CK122" s="6">
        <v>32768.0</v>
      </c>
      <c r="CL122" s="6">
        <v>32768.0</v>
      </c>
    </row>
    <row r="123">
      <c r="B123" s="141" t="s">
        <v>808</v>
      </c>
      <c r="C123" s="142"/>
      <c r="D123" s="143"/>
      <c r="E123" s="143"/>
      <c r="F123" s="144"/>
      <c r="G123" s="145"/>
      <c r="H123" s="167" t="s">
        <v>287</v>
      </c>
      <c r="I123" s="147" t="str">
        <f>VLOOKUP(H123,'Machine List'!$A$1:$I$300,9,FALSE)</f>
        <v>1T</v>
      </c>
      <c r="J123" s="147">
        <f>IF(VLOOKUP(H123,'Machine List'!$A$1:$I$300,5,FALSE)="Multi",IF(VLOOKUP(H123,'Machine List'!$A$1:$I$300,6,FALSE)="Yes",AI123*3*10^AB123,AI123*(2*3)*10^(AB123-1)),0)</f>
        <v>0</v>
      </c>
      <c r="K123" s="147">
        <f>J123+IF(ISNUMBER(I123),I123,
  SWITCH(
      I123,
      "1T",1*10^AB123,
      "2T",2*10^AB123,
      "3T",3*10^AB123,
      "4T",4*10^AB123,
      "4000+500(7O-5)",4000+500*(7*I124-5),
      "13500 + 16C",13500+16*VLOOKUP(J125,'Machine Helper Sheet'!$G$1:$K$16,5,FALSE),
      1
  )
)</f>
        <v>1000</v>
      </c>
      <c r="L123" s="147">
        <f>IF(VLOOKUP(H123,'Machine List'!$A$1:$I$300,5,FALSE)="Multi",IF(VLOOKUP(H123,'Machine List'!$A$1:$I$300,6,FALSE)="Yes",AW123*3*10^AV123,AW123*(2*3)*10^(AV123-1)),0)</f>
        <v>0</v>
      </c>
      <c r="M123" s="147">
        <f>L123+IF(ISNUMBER(I123),I123,
  SWITCH(
      I123,
      "1T",1*10^AV123,
      "2T",2*10^AV123,
      "3T",3*10^AV123,
      "4T",4*10^AV123,
      "4000+500(7O-5)",4000+500*(7*I124-5),
      1
  )
)</f>
        <v>100000</v>
      </c>
      <c r="N123" s="147" t="str">
        <f>VLOOKUP(H123,'Machine List'!$A$1:$I$300,8,FALSE)</f>
        <v>Tier</v>
      </c>
      <c r="O123" s="147">
        <f>IF(ISNUMBER(N123),N123,10^AB123)</f>
        <v>1000</v>
      </c>
      <c r="P123" s="147">
        <f>IF(ISNUMBER(N123),N123,10^AV123)</f>
        <v>100000</v>
      </c>
      <c r="Q123" s="147">
        <f>VLOOKUP(H123,'Machine List'!$A$1:$B$138,2,FALSE)</f>
        <v>1</v>
      </c>
      <c r="R123" s="147" t="s">
        <v>277</v>
      </c>
      <c r="S123" s="143">
        <f>IF(ISNUMBER(Q123),Q123,
  SWITCH(
      Q123,
      "1",1,
      "2T",AB123*2,
      "4T",AB123*4,
      "6T",AB123*6,
      "8T",AB123*8,
      "10T",AB123*10,
      "12T",AB123*12,
      "14T",AB123*14,
      "16T",AB123*16,
      "24T",AB123*24,
      "2(T+1)",2*(AB123+1),
      "1T*C",AB123*J125,
      "2*P",L125*2,
      1
  )
)</f>
        <v>1</v>
      </c>
      <c r="T123" s="38" t="s">
        <v>277</v>
      </c>
      <c r="U123" s="147">
        <f>IF(OR(T123="No",T123=""),S123,T123)</f>
        <v>1</v>
      </c>
      <c r="V123" s="147">
        <f>IF(ISNUMBER(Q123),Q123,
  SWITCH(
      Q123,
      "1",1,
      "2T",AV123*2,
      "4T",AV123*4,
      "6T",AV123*6,
      "8T",AV123*8,
      "10T",AV123*10,
      "12T",AV123*12,
      "14T",AV123*14,
      "16T",AV123*16,
      "24T",AV123*24,
      "2(T+1)",2*(AV123+1),
      "1T*C",AV123*J125,
      "2*P",L125*2,
      1
  )
)</f>
        <v>1</v>
      </c>
      <c r="W123" s="147" t="str">
        <f>T123</f>
        <v>No</v>
      </c>
      <c r="X123" s="147">
        <f>IF(OR(W123="No",W123=""),V123,W123)</f>
        <v>1</v>
      </c>
      <c r="Y123" s="38">
        <f>VLOOKUP(H123,'Machine List'!$A$1:$C$138,3,FALSE)</f>
        <v>1</v>
      </c>
      <c r="Z123" s="38">
        <f>VLOOKUP(H123,'Machine List'!$A$1:$D$138,4,FALSE)</f>
        <v>1</v>
      </c>
      <c r="AA123" s="168" t="s">
        <v>397</v>
      </c>
      <c r="AB123" s="147">
        <f>VLOOKUP(AA123,'Item Helper Sheet'!$A$2:$B$16,2,FALSE)</f>
        <v>3</v>
      </c>
      <c r="AC123" s="168">
        <v>480.0</v>
      </c>
      <c r="AD123" s="147">
        <f>0.9*20</f>
        <v>18</v>
      </c>
      <c r="AE123" s="147">
        <f>AD123*I125</f>
        <v>31086</v>
      </c>
      <c r="AF123" s="147">
        <f>AC123*AE123</f>
        <v>14921280</v>
      </c>
      <c r="AG123" s="148"/>
      <c r="AH123" s="147" t="str">
        <f>AA123</f>
        <v>03 - HV</v>
      </c>
      <c r="AI123" s="147">
        <v>1.0</v>
      </c>
      <c r="AJ123" s="147">
        <v>1.0</v>
      </c>
      <c r="AK123" s="147">
        <f>AJ123*8*4^AB123</f>
        <v>512</v>
      </c>
      <c r="AL123" s="147">
        <f>MIN(ROUNDDOWN(AK123/AN123,0),U123)</f>
        <v>1</v>
      </c>
      <c r="AM123" s="147">
        <f>IF(OR(T123="No",T123=""),AI123*S123,AI123*T123)</f>
        <v>1</v>
      </c>
      <c r="AN123" s="147">
        <f>ROUNDUP(AC123*VLOOKUP(H123,'Machine List'!$A$2:$D$219,4,FALSE),0)</f>
        <v>480</v>
      </c>
      <c r="AO123" s="147">
        <f>AN123*AM123</f>
        <v>480</v>
      </c>
      <c r="AP123" s="147">
        <f>ROUNDUP(AD123*I125,0)</f>
        <v>31086</v>
      </c>
      <c r="AQ123" s="38">
        <f>IF(ISNUMBER(Y123),ROUNDUP(AP123/Y123,0),
  SWITCH(
      Y123,
      "1+0.5C",ROUNDUP(AP123/(1+0.5*VLOOKUP(J125,'Machine Helper Sheet'!$G$1:$K$16,2,FALSE)),0),
      ROUNDUP(AP123/1,0)
  )
)</f>
        <v>31086</v>
      </c>
      <c r="AR123" s="147">
        <f>ROUNDUP(AQ123/AM123,0)</f>
        <v>31086</v>
      </c>
      <c r="AS123" s="147">
        <f>AO123*AR123</f>
        <v>14921280</v>
      </c>
      <c r="AT123" s="148"/>
      <c r="AU123" s="168" t="s">
        <v>405</v>
      </c>
      <c r="AV123" s="147">
        <f>VLOOKUP(AU123,'Item Helper Sheet'!$A$2:$B$16,2,FALSE)</f>
        <v>5</v>
      </c>
      <c r="AW123" s="147">
        <f>AI123</f>
        <v>1</v>
      </c>
      <c r="AX123" s="147">
        <v>1.0</v>
      </c>
      <c r="AY123" s="147">
        <f>AX123*8*4^AV123</f>
        <v>8192</v>
      </c>
      <c r="AZ123" s="147">
        <f>MIN(ROUNDDOWN(AY123/AN123,0),X123)</f>
        <v>1</v>
      </c>
      <c r="BA123" s="147">
        <f>AZ123*AW123</f>
        <v>1</v>
      </c>
      <c r="BB123" s="147">
        <f>AN123</f>
        <v>480</v>
      </c>
      <c r="BC123" s="147">
        <f>MIN(AV123-AB123,IF(AY123&gt;=BB124*4,
IF(AY123&gt;=BB124*4^2,
IF(AY123&gt;=BB124*4^3,
IF(AY123&gt;=BB124*4^4,
IF(AY123&gt;=BB124*4^5,
IF(AY123&gt;=BB124*4^6,
IF(AY123&gt;=BB124*4^7,
IF(AY123&gt;=BB124*4^8,
IF(AY123&gt;=BB124*4^9,
IF(AY123&gt;=BB124*4^10,
9),
8),
7),
6),
5),
4),
3),
2),
1),
0))</f>
        <v>2</v>
      </c>
      <c r="BD123" s="147">
        <f>BB123*AZ123*4^BC123</f>
        <v>7680</v>
      </c>
      <c r="BE123" s="147">
        <f>BD123*AW123</f>
        <v>7680</v>
      </c>
      <c r="BF123" s="143">
        <f>ROUNDUP(IF(R123="Yes",AP123/(2^((BC123)*2)),AP123/(2^(BC123))),0)</f>
        <v>7772</v>
      </c>
      <c r="BG123" s="45">
        <f>IF(ISNUMBER(Y123),ROUNDUP(BF123/Y123,0),
  SWITCH(
      Y123,
      "1+0.5C",ROUNDUP(BF123/(1+0.5*VLOOKUP(J125,'Machine Helper Sheet'!$G$1:$K$16,2,FALSE)),0),
      ROUNDUP(BF123/1,0)
  )
)</f>
        <v>7772</v>
      </c>
      <c r="BH123" s="143">
        <f>ROUNDUP(BG123/BA123,0)</f>
        <v>7772</v>
      </c>
      <c r="BI123" s="149">
        <f>BH123*BE123</f>
        <v>59688960</v>
      </c>
      <c r="BK123" s="22"/>
      <c r="BM123" s="140" t="s">
        <v>807</v>
      </c>
      <c r="BN123" s="6"/>
      <c r="BO123" s="6"/>
      <c r="BP123" s="6"/>
      <c r="BQ123" s="6"/>
      <c r="BR123" s="140">
        <v>1.0</v>
      </c>
      <c r="BS123" s="6"/>
      <c r="BT123" s="6"/>
      <c r="BU123" s="6"/>
      <c r="BV123" s="6"/>
      <c r="BW123" s="6"/>
      <c r="BX123" s="6"/>
      <c r="BY123" s="6"/>
      <c r="BZ123" s="140">
        <v>1.0</v>
      </c>
      <c r="CB123" s="140" t="s">
        <v>295</v>
      </c>
      <c r="CC123" s="6">
        <v>4.0</v>
      </c>
      <c r="CD123" s="6">
        <v>4.0</v>
      </c>
      <c r="CJ123" s="140" t="s">
        <v>295</v>
      </c>
      <c r="CK123" s="140">
        <v>32768.0</v>
      </c>
      <c r="CL123" s="140">
        <v>32768.0</v>
      </c>
    </row>
    <row r="124">
      <c r="B124" s="150"/>
      <c r="C124" s="169" t="s">
        <v>44</v>
      </c>
      <c r="D124" s="147">
        <f>4*I125</f>
        <v>6908</v>
      </c>
      <c r="E124" s="168" t="s">
        <v>178</v>
      </c>
      <c r="F124" s="152">
        <f>4*I125</f>
        <v>6908</v>
      </c>
      <c r="G124" s="138"/>
      <c r="H124" s="153" t="s">
        <v>584</v>
      </c>
      <c r="I124" s="45">
        <f t="array" ref="I124">match(TRUE,ISBLANK(F124:F139),0)-1</f>
        <v>1</v>
      </c>
      <c r="J124" s="154" t="s">
        <v>420</v>
      </c>
      <c r="K124" s="154" t="s">
        <v>585</v>
      </c>
      <c r="L124" s="100" t="s">
        <v>704</v>
      </c>
      <c r="M124" s="147"/>
      <c r="N124" s="147"/>
      <c r="O124" s="147"/>
      <c r="P124" s="147"/>
      <c r="Q124" s="147"/>
      <c r="R124" s="155"/>
      <c r="S124" s="155"/>
      <c r="T124" s="155"/>
      <c r="U124" s="143"/>
      <c r="V124" s="143"/>
      <c r="W124" s="143"/>
      <c r="X124" s="143"/>
      <c r="Y124" s="143"/>
      <c r="Z124" s="143"/>
      <c r="AA124" s="143"/>
      <c r="AB124" s="143"/>
      <c r="AC124" s="143"/>
      <c r="AD124" s="143"/>
      <c r="AE124" s="143"/>
      <c r="AF124" s="143"/>
      <c r="AG124" s="156"/>
      <c r="AH124" s="143"/>
      <c r="AI124" s="143"/>
      <c r="AJ124" s="143"/>
      <c r="AK124" s="143"/>
      <c r="AL124" s="143"/>
      <c r="AM124" s="143"/>
      <c r="AN124" s="143"/>
      <c r="AO124" s="143"/>
      <c r="AP124" s="143"/>
      <c r="AQ124" s="143"/>
      <c r="AR124" s="143"/>
      <c r="AS124" s="143"/>
      <c r="AT124" s="156"/>
      <c r="AU124" s="143"/>
      <c r="AV124" s="143"/>
      <c r="AW124" s="143"/>
      <c r="AX124" s="143"/>
      <c r="AY124" s="143"/>
      <c r="AZ124" s="143"/>
      <c r="BA124" s="143"/>
      <c r="BB124" s="143">
        <f>BB123*AZ123</f>
        <v>480</v>
      </c>
      <c r="BC124" s="143"/>
      <c r="BD124" s="143"/>
      <c r="BE124" s="143"/>
      <c r="BF124" s="143"/>
      <c r="BG124" s="143"/>
      <c r="BH124" s="143"/>
      <c r="BI124" s="149"/>
      <c r="BK124" s="22"/>
      <c r="BM124" s="140" t="s">
        <v>808</v>
      </c>
      <c r="BN124" s="6"/>
      <c r="BO124" s="140">
        <v>1.0</v>
      </c>
      <c r="BP124" s="6"/>
      <c r="BQ124" s="6"/>
      <c r="BR124" s="6"/>
      <c r="BS124" s="6"/>
      <c r="BT124" s="6"/>
      <c r="BU124" s="6"/>
      <c r="BV124" s="6"/>
      <c r="BW124" s="6"/>
      <c r="BX124" s="6"/>
      <c r="BY124" s="6"/>
      <c r="BZ124" s="140">
        <v>1.0</v>
      </c>
      <c r="CB124" s="140" t="s">
        <v>306</v>
      </c>
      <c r="CC124" s="6">
        <v>1.0</v>
      </c>
      <c r="CD124" s="6">
        <v>1.0</v>
      </c>
      <c r="CJ124" s="140" t="s">
        <v>306</v>
      </c>
      <c r="CK124" s="140">
        <v>8192.0</v>
      </c>
      <c r="CL124" s="140">
        <v>8192.0</v>
      </c>
    </row>
    <row r="125">
      <c r="B125" s="150"/>
      <c r="C125" s="169" t="s">
        <v>60</v>
      </c>
      <c r="D125" s="147">
        <f>9*I125</f>
        <v>15543</v>
      </c>
      <c r="E125" s="147"/>
      <c r="F125" s="152"/>
      <c r="G125" s="138"/>
      <c r="H125" s="157" t="s">
        <v>502</v>
      </c>
      <c r="I125" s="170">
        <v>1727.0</v>
      </c>
      <c r="J125" s="154" t="s">
        <v>424</v>
      </c>
      <c r="K125" s="154">
        <v>0.0</v>
      </c>
      <c r="L125" s="100">
        <v>0.0</v>
      </c>
      <c r="M125" s="143"/>
      <c r="N125" s="143"/>
      <c r="O125" s="143"/>
      <c r="P125" s="143"/>
      <c r="Q125" s="143"/>
      <c r="R125" s="143"/>
      <c r="S125" s="155"/>
      <c r="T125" s="155"/>
      <c r="U125" s="143"/>
      <c r="V125" s="143"/>
      <c r="W125" s="143"/>
      <c r="X125" s="143"/>
      <c r="Y125" s="143"/>
      <c r="Z125" s="143"/>
      <c r="AA125" s="143"/>
      <c r="AB125" s="143"/>
      <c r="AC125" s="143"/>
      <c r="AD125" s="143"/>
      <c r="AE125" s="143"/>
      <c r="AF125" s="143"/>
      <c r="AG125" s="156"/>
      <c r="AH125" s="143"/>
      <c r="AI125" s="143"/>
      <c r="AJ125" s="143"/>
      <c r="AK125" s="143"/>
      <c r="AL125" s="143"/>
      <c r="AM125" s="143"/>
      <c r="AN125" s="143"/>
      <c r="AO125" s="143"/>
      <c r="AP125" s="143"/>
      <c r="AQ125" s="143"/>
      <c r="AR125" s="143"/>
      <c r="AS125" s="143"/>
      <c r="AT125" s="156"/>
      <c r="AU125" s="143"/>
      <c r="AV125" s="143"/>
      <c r="AW125" s="143"/>
      <c r="AX125" s="143"/>
      <c r="AY125" s="143"/>
      <c r="AZ125" s="143"/>
      <c r="BA125" s="143"/>
      <c r="BB125" s="143"/>
      <c r="BC125" s="143"/>
      <c r="BD125" s="143"/>
      <c r="BE125" s="143"/>
      <c r="BF125" s="143"/>
      <c r="BG125" s="143"/>
      <c r="BH125" s="143"/>
      <c r="BI125" s="149"/>
      <c r="BK125" s="22"/>
      <c r="BM125" s="140" t="s">
        <v>809</v>
      </c>
      <c r="BN125" s="6"/>
      <c r="BO125" s="6"/>
      <c r="BP125" s="6"/>
      <c r="BQ125" s="6"/>
      <c r="BR125" s="140">
        <v>1.0</v>
      </c>
      <c r="BS125" s="6"/>
      <c r="BT125" s="6"/>
      <c r="BU125" s="6"/>
      <c r="BV125" s="6"/>
      <c r="BW125" s="6"/>
      <c r="BX125" s="6"/>
      <c r="BY125" s="6"/>
      <c r="BZ125" s="140">
        <v>1.0</v>
      </c>
      <c r="CB125" s="140" t="s">
        <v>311</v>
      </c>
      <c r="CC125" s="6">
        <v>1.0</v>
      </c>
      <c r="CD125" s="6">
        <v>1.0</v>
      </c>
      <c r="CJ125" s="140" t="s">
        <v>311</v>
      </c>
      <c r="CK125" s="140">
        <v>8192.0</v>
      </c>
      <c r="CL125" s="140">
        <v>8192.0</v>
      </c>
    </row>
    <row r="126">
      <c r="B126" s="135"/>
      <c r="C126" s="136"/>
      <c r="D126" s="137"/>
      <c r="E126" s="137"/>
      <c r="F126" s="137"/>
      <c r="G126" s="138"/>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8"/>
      <c r="AH126" s="137"/>
      <c r="AI126" s="137"/>
      <c r="AJ126" s="137"/>
      <c r="AK126" s="137"/>
      <c r="AL126" s="137"/>
      <c r="AM126" s="137"/>
      <c r="AN126" s="137"/>
      <c r="AO126" s="137"/>
      <c r="AP126" s="137"/>
      <c r="AQ126" s="137"/>
      <c r="AR126" s="137"/>
      <c r="AS126" s="137"/>
      <c r="AT126" s="138"/>
      <c r="AU126" s="137"/>
      <c r="AV126" s="137"/>
      <c r="AW126" s="137"/>
      <c r="AX126" s="137"/>
      <c r="AY126" s="137"/>
      <c r="AZ126" s="137"/>
      <c r="BA126" s="137"/>
      <c r="BB126" s="137"/>
      <c r="BC126" s="137"/>
      <c r="BD126" s="137"/>
      <c r="BE126" s="137"/>
      <c r="BF126" s="137"/>
      <c r="BG126" s="137"/>
      <c r="BH126" s="137"/>
      <c r="BI126" s="139"/>
      <c r="BK126" s="22"/>
      <c r="BM126" s="6" t="s">
        <v>810</v>
      </c>
      <c r="BN126" s="6"/>
      <c r="BO126" s="6"/>
      <c r="BP126" s="6"/>
      <c r="BQ126" s="6"/>
      <c r="BR126" s="6"/>
      <c r="BS126" s="6"/>
      <c r="BT126" s="6"/>
      <c r="BU126" s="6"/>
      <c r="BV126" s="6"/>
      <c r="BW126" s="6"/>
      <c r="BX126" s="6">
        <v>1.0</v>
      </c>
      <c r="BY126" s="6"/>
      <c r="BZ126" s="6">
        <v>1.0</v>
      </c>
      <c r="CB126" s="140" t="s">
        <v>379</v>
      </c>
      <c r="CC126" s="6">
        <v>3.0</v>
      </c>
      <c r="CD126" s="6">
        <v>3.0</v>
      </c>
      <c r="CJ126" s="140" t="s">
        <v>379</v>
      </c>
      <c r="CK126" s="140">
        <v>24576.0</v>
      </c>
      <c r="CL126" s="140">
        <v>24576.0</v>
      </c>
    </row>
    <row r="127">
      <c r="B127" s="141" t="s">
        <v>809</v>
      </c>
      <c r="C127" s="142"/>
      <c r="D127" s="143"/>
      <c r="E127" s="143"/>
      <c r="F127" s="144"/>
      <c r="G127" s="145"/>
      <c r="H127" s="167" t="s">
        <v>292</v>
      </c>
      <c r="I127" s="147" t="str">
        <f>VLOOKUP(H127,'Machine List'!$A$1:$I$300,9,FALSE)</f>
        <v>1T</v>
      </c>
      <c r="J127" s="147">
        <f>IF(VLOOKUP(H127,'Machine List'!$A$1:$I$300,5,FALSE)="Multi",IF(VLOOKUP(H127,'Machine List'!$A$1:$I$300,6,FALSE)="Yes",AI127*3*10^AB127,AI127*(2*3)*10^(AB127-1)),0)</f>
        <v>0</v>
      </c>
      <c r="K127" s="147">
        <f>J127+IF(ISNUMBER(I127),I127,
  SWITCH(
      I127,
      "1T",1*10^AB127,
      "2T",2*10^AB127,
      "3T",3*10^AB127,
      "4T",4*10^AB127,
      "4000+500(7O-5)",4000+500*(7*I128-5),
      "13500 + 16C",13500+16*VLOOKUP(J129,'Machine Helper Sheet'!$G$1:$K$16,5,FALSE),
      1
  )
)</f>
        <v>1000</v>
      </c>
      <c r="L127" s="147">
        <f>IF(VLOOKUP(H127,'Machine List'!$A$1:$I$300,5,FALSE)="Multi",IF(VLOOKUP(H127,'Machine List'!$A$1:$I$300,6,FALSE)="Yes",AW127*3*10^AV127,AW127*(2*3)*10^(AV127-1)),0)</f>
        <v>0</v>
      </c>
      <c r="M127" s="147">
        <f>L127+IF(ISNUMBER(I127),I127,
  SWITCH(
      I127,
      "1T",1*10^AV127,
      "2T",2*10^AV127,
      "3T",3*10^AV127,
      "4T",4*10^AV127,
      "4000+500(7O-5)",4000+500*(7*I128-5),
      1
  )
)</f>
        <v>100000</v>
      </c>
      <c r="N127" s="147" t="str">
        <f>VLOOKUP(H127,'Machine List'!$A$1:$I$300,8,FALSE)</f>
        <v>Tier</v>
      </c>
      <c r="O127" s="147">
        <f>IF(ISNUMBER(N127),N127,10^AB127)</f>
        <v>1000</v>
      </c>
      <c r="P127" s="147">
        <f>IF(ISNUMBER(N127),N127,10^AV127)</f>
        <v>100000</v>
      </c>
      <c r="Q127" s="147">
        <f>VLOOKUP(H127,'Machine List'!$A$1:$B$138,2,FALSE)</f>
        <v>1</v>
      </c>
      <c r="R127" s="147" t="s">
        <v>277</v>
      </c>
      <c r="S127" s="143">
        <f>IF(ISNUMBER(Q127),Q127,
  SWITCH(
      Q127,
      "1",1,
      "2T",AB127*2,
      "4T",AB127*4,
      "6T",AB127*6,
      "8T",AB127*8,
      "10T",AB127*10,
      "12T",AB127*12,
      "14T",AB127*14,
      "16T",AB127*16,
      "24T",AB127*24,
      "2(T+1)",2*(AB127+1),
      "1T*C",AB127*J129,
      "2*P",L129*2,
      1
  )
)</f>
        <v>1</v>
      </c>
      <c r="T127" s="38" t="s">
        <v>277</v>
      </c>
      <c r="U127" s="147">
        <f>IF(OR(T127="No",T127=""),S127,T127)</f>
        <v>1</v>
      </c>
      <c r="V127" s="147">
        <f>IF(ISNUMBER(Q127),Q127,
  SWITCH(
      Q127,
      "1",1,
      "2T",AV127*2,
      "4T",AV127*4,
      "6T",AV127*6,
      "8T",AV127*8,
      "10T",AV127*10,
      "12T",AV127*12,
      "14T",AV127*14,
      "16T",AV127*16,
      "24T",AV127*24,
      "2(T+1)",2*(AV127+1),
      "1T*C",AV127*J129,
      "2*P",L129*2,
      1
  )
)</f>
        <v>1</v>
      </c>
      <c r="W127" s="147" t="str">
        <f>T127</f>
        <v>No</v>
      </c>
      <c r="X127" s="147">
        <f>IF(OR(W127="No",W127=""),V127,W127)</f>
        <v>1</v>
      </c>
      <c r="Y127" s="38">
        <f>VLOOKUP(H127,'Machine List'!$A$1:$C$138,3,FALSE)</f>
        <v>1</v>
      </c>
      <c r="Z127" s="38">
        <f>VLOOKUP(H127,'Machine List'!$A$1:$D$138,4,FALSE)</f>
        <v>1</v>
      </c>
      <c r="AA127" s="168" t="s">
        <v>397</v>
      </c>
      <c r="AB127" s="147">
        <f>VLOOKUP(AA127,'Item Helper Sheet'!$A$2:$B$16,2,FALSE)</f>
        <v>3</v>
      </c>
      <c r="AC127" s="168">
        <v>384.0</v>
      </c>
      <c r="AD127" s="147">
        <f>24*20</f>
        <v>480</v>
      </c>
      <c r="AE127" s="147">
        <f>AD127*I129</f>
        <v>743040</v>
      </c>
      <c r="AF127" s="147">
        <f>AC127*AE127</f>
        <v>285327360</v>
      </c>
      <c r="AG127" s="148"/>
      <c r="AH127" s="147" t="str">
        <f>AA127</f>
        <v>03 - HV</v>
      </c>
      <c r="AI127" s="147">
        <v>1.0</v>
      </c>
      <c r="AJ127" s="147">
        <v>1.0</v>
      </c>
      <c r="AK127" s="147">
        <f>AJ127*8*4^AB127</f>
        <v>512</v>
      </c>
      <c r="AL127" s="147">
        <f>MIN(ROUNDDOWN(AK127/AN127,0),U127)</f>
        <v>1</v>
      </c>
      <c r="AM127" s="147">
        <f>IF(OR(T127="No",T127=""),AI127*S127,AI127*T127)</f>
        <v>1</v>
      </c>
      <c r="AN127" s="147">
        <f>ROUNDUP(AC127*VLOOKUP(H127,'Machine List'!$A$2:$D$219,4,FALSE),0)</f>
        <v>384</v>
      </c>
      <c r="AO127" s="147">
        <f>AN127*AM127</f>
        <v>384</v>
      </c>
      <c r="AP127" s="147">
        <f>ROUNDUP(AD127*I129,0)</f>
        <v>743040</v>
      </c>
      <c r="AQ127" s="38">
        <f>IF(ISNUMBER(Y127),ROUNDUP(AP127/Y127,0),
  SWITCH(
      Y127,
      "1+0.5C",ROUNDUP(AP127/(1+0.5*VLOOKUP(J129,'Machine Helper Sheet'!$G$1:$K$16,2,FALSE)),0),
      ROUNDUP(AP127/1,0)
  )
)</f>
        <v>743040</v>
      </c>
      <c r="AR127" s="147">
        <f>ROUNDUP(AQ127/AM127,0)</f>
        <v>743040</v>
      </c>
      <c r="AS127" s="147">
        <f>AO127*AR127</f>
        <v>285327360</v>
      </c>
      <c r="AT127" s="148"/>
      <c r="AU127" s="168" t="s">
        <v>405</v>
      </c>
      <c r="AV127" s="147">
        <f>VLOOKUP(AU127,'Item Helper Sheet'!$A$2:$B$16,2,FALSE)</f>
        <v>5</v>
      </c>
      <c r="AW127" s="147">
        <f>AI127</f>
        <v>1</v>
      </c>
      <c r="AX127" s="147">
        <v>1.0</v>
      </c>
      <c r="AY127" s="147">
        <f>AX127*8*4^AV127</f>
        <v>8192</v>
      </c>
      <c r="AZ127" s="147">
        <f>MIN(ROUNDDOWN(AY127/AN127,0),X127)</f>
        <v>1</v>
      </c>
      <c r="BA127" s="147">
        <f>AZ127*AW127</f>
        <v>1</v>
      </c>
      <c r="BB127" s="147">
        <f>AN127</f>
        <v>384</v>
      </c>
      <c r="BC127" s="147">
        <f>MIN(AV127-AB127,IF(AY127&gt;=BB128*4,
IF(AY127&gt;=BB128*4^2,
IF(AY127&gt;=BB128*4^3,
IF(AY127&gt;=BB128*4^4,
IF(AY127&gt;=BB128*4^5,
IF(AY127&gt;=BB128*4^6,
IF(AY127&gt;=BB128*4^7,
IF(AY127&gt;=BB128*4^8,
IF(AY127&gt;=BB128*4^9,
IF(AY127&gt;=BB128*4^10,
9),
8),
7),
6),
5),
4),
3),
2),
1),
0))</f>
        <v>2</v>
      </c>
      <c r="BD127" s="147">
        <f>BB127*AZ127*4^BC127</f>
        <v>6144</v>
      </c>
      <c r="BE127" s="147">
        <f>BD127*AW127</f>
        <v>6144</v>
      </c>
      <c r="BF127" s="143">
        <f>ROUNDUP(IF(R127="Yes",AP127/(2^((BC127)*2)),AP127/(2^(BC127))),0)</f>
        <v>185760</v>
      </c>
      <c r="BG127" s="45">
        <f>IF(ISNUMBER(Y127),ROUNDUP(BF127/Y127,0),
  SWITCH(
      Y127,
      "1+0.5C",ROUNDUP(BF127/(1+0.5*VLOOKUP(J129,'Machine Helper Sheet'!$G$1:$K$16,2,FALSE)),0),
      ROUNDUP(BF127/1,0)
  )
)</f>
        <v>185760</v>
      </c>
      <c r="BH127" s="143">
        <f>ROUNDUP(BG127/BA127,0)</f>
        <v>185760</v>
      </c>
      <c r="BI127" s="149">
        <f>BH127*BE127</f>
        <v>1141309440</v>
      </c>
      <c r="BK127" s="22"/>
      <c r="BM127" s="6" t="s">
        <v>811</v>
      </c>
      <c r="BN127" s="6"/>
      <c r="BO127" s="6"/>
      <c r="BP127" s="6"/>
      <c r="BQ127" s="6"/>
      <c r="BR127" s="6"/>
      <c r="BS127" s="6"/>
      <c r="BT127" s="6"/>
      <c r="BU127" s="6"/>
      <c r="BV127" s="6"/>
      <c r="BW127" s="6"/>
      <c r="BX127" s="6">
        <v>1.0</v>
      </c>
      <c r="BY127" s="6"/>
      <c r="BZ127" s="6">
        <v>1.0</v>
      </c>
      <c r="CB127" s="6" t="s">
        <v>349</v>
      </c>
      <c r="CC127" s="6">
        <v>4.0</v>
      </c>
      <c r="CD127" s="6">
        <v>4.0</v>
      </c>
      <c r="CJ127" s="6" t="s">
        <v>349</v>
      </c>
      <c r="CK127" s="6">
        <v>32768.0</v>
      </c>
      <c r="CL127" s="6">
        <v>32768.0</v>
      </c>
    </row>
    <row r="128">
      <c r="B128" s="150"/>
      <c r="C128" s="169" t="s">
        <v>178</v>
      </c>
      <c r="D128" s="147">
        <f>1*I129</f>
        <v>1548</v>
      </c>
      <c r="E128" s="168" t="s">
        <v>66</v>
      </c>
      <c r="F128" s="152">
        <f>1*I129</f>
        <v>1548</v>
      </c>
      <c r="G128" s="138"/>
      <c r="H128" s="153" t="s">
        <v>584</v>
      </c>
      <c r="I128" s="45">
        <f t="array" ref="I128">match(TRUE,ISBLANK(F128:F143),0)-1</f>
        <v>1</v>
      </c>
      <c r="J128" s="154" t="s">
        <v>420</v>
      </c>
      <c r="K128" s="154" t="s">
        <v>585</v>
      </c>
      <c r="L128" s="100" t="s">
        <v>704</v>
      </c>
      <c r="M128" s="147"/>
      <c r="N128" s="147"/>
      <c r="O128" s="147"/>
      <c r="P128" s="147"/>
      <c r="Q128" s="147"/>
      <c r="R128" s="155"/>
      <c r="S128" s="155"/>
      <c r="T128" s="155"/>
      <c r="U128" s="143"/>
      <c r="V128" s="143"/>
      <c r="W128" s="143"/>
      <c r="X128" s="143"/>
      <c r="Y128" s="143"/>
      <c r="Z128" s="143"/>
      <c r="AA128" s="143"/>
      <c r="AB128" s="143"/>
      <c r="AC128" s="143"/>
      <c r="AD128" s="143"/>
      <c r="AE128" s="143"/>
      <c r="AF128" s="143"/>
      <c r="AG128" s="156"/>
      <c r="AH128" s="143"/>
      <c r="AI128" s="143"/>
      <c r="AJ128" s="143"/>
      <c r="AK128" s="143"/>
      <c r="AL128" s="143"/>
      <c r="AM128" s="143"/>
      <c r="AN128" s="143"/>
      <c r="AO128" s="143"/>
      <c r="AP128" s="143"/>
      <c r="AQ128" s="143"/>
      <c r="AR128" s="143"/>
      <c r="AS128" s="143"/>
      <c r="AT128" s="156"/>
      <c r="AU128" s="143"/>
      <c r="AV128" s="143"/>
      <c r="AW128" s="143"/>
      <c r="AX128" s="143"/>
      <c r="AY128" s="143"/>
      <c r="AZ128" s="143"/>
      <c r="BA128" s="143"/>
      <c r="BB128" s="143">
        <f>BB127*AZ127</f>
        <v>384</v>
      </c>
      <c r="BC128" s="143"/>
      <c r="BD128" s="143"/>
      <c r="BE128" s="143"/>
      <c r="BF128" s="143"/>
      <c r="BG128" s="143"/>
      <c r="BH128" s="143"/>
      <c r="BI128" s="149"/>
      <c r="BK128" s="22"/>
      <c r="BM128" s="140" t="s">
        <v>812</v>
      </c>
      <c r="BN128" s="6"/>
      <c r="BO128" s="6"/>
      <c r="BP128" s="140">
        <v>1.0</v>
      </c>
      <c r="BQ128" s="6"/>
      <c r="BR128" s="6"/>
      <c r="BS128" s="6"/>
      <c r="BT128" s="6"/>
      <c r="BU128" s="6"/>
      <c r="BV128" s="6"/>
      <c r="BW128" s="6"/>
      <c r="BX128" s="6"/>
      <c r="BY128" s="6"/>
      <c r="BZ128" s="140">
        <v>1.0</v>
      </c>
      <c r="CB128" s="140" t="s">
        <v>374</v>
      </c>
      <c r="CC128" s="6">
        <v>3.0</v>
      </c>
      <c r="CD128" s="6">
        <v>3.0</v>
      </c>
      <c r="CJ128" s="140" t="s">
        <v>374</v>
      </c>
      <c r="CK128" s="140">
        <v>24576.0</v>
      </c>
      <c r="CL128" s="140">
        <v>24576.0</v>
      </c>
    </row>
    <row r="129">
      <c r="B129" s="150"/>
      <c r="C129" s="169" t="s">
        <v>60</v>
      </c>
      <c r="D129" s="147">
        <f>144*I129</f>
        <v>222912</v>
      </c>
      <c r="E129" s="147"/>
      <c r="F129" s="152"/>
      <c r="G129" s="138"/>
      <c r="H129" s="157" t="s">
        <v>502</v>
      </c>
      <c r="I129" s="170">
        <v>1548.0</v>
      </c>
      <c r="J129" s="154" t="s">
        <v>424</v>
      </c>
      <c r="K129" s="154">
        <v>0.0</v>
      </c>
      <c r="L129" s="100">
        <v>0.0</v>
      </c>
      <c r="M129" s="143"/>
      <c r="N129" s="143"/>
      <c r="O129" s="143"/>
      <c r="P129" s="143"/>
      <c r="Q129" s="143"/>
      <c r="R129" s="143"/>
      <c r="S129" s="155"/>
      <c r="T129" s="155"/>
      <c r="U129" s="143"/>
      <c r="V129" s="143"/>
      <c r="W129" s="143"/>
      <c r="X129" s="143"/>
      <c r="Y129" s="143"/>
      <c r="Z129" s="143"/>
      <c r="AA129" s="143"/>
      <c r="AB129" s="143"/>
      <c r="AC129" s="143"/>
      <c r="AD129" s="143"/>
      <c r="AE129" s="143"/>
      <c r="AF129" s="143"/>
      <c r="AG129" s="156"/>
      <c r="AH129" s="143"/>
      <c r="AI129" s="143"/>
      <c r="AJ129" s="143"/>
      <c r="AK129" s="143"/>
      <c r="AL129" s="143"/>
      <c r="AM129" s="143"/>
      <c r="AN129" s="143"/>
      <c r="AO129" s="143"/>
      <c r="AP129" s="143"/>
      <c r="AQ129" s="143"/>
      <c r="AR129" s="143"/>
      <c r="AS129" s="143"/>
      <c r="AT129" s="156"/>
      <c r="AU129" s="143"/>
      <c r="AV129" s="143"/>
      <c r="AW129" s="143"/>
      <c r="AX129" s="143"/>
      <c r="AY129" s="143"/>
      <c r="AZ129" s="143"/>
      <c r="BA129" s="143"/>
      <c r="BB129" s="143"/>
      <c r="BC129" s="143"/>
      <c r="BD129" s="143"/>
      <c r="BE129" s="143"/>
      <c r="BF129" s="143"/>
      <c r="BG129" s="143"/>
      <c r="BH129" s="143"/>
      <c r="BI129" s="149"/>
      <c r="BK129" s="22"/>
      <c r="BM129" s="140" t="s">
        <v>813</v>
      </c>
      <c r="BN129" s="6"/>
      <c r="BO129" s="6"/>
      <c r="BP129" s="6"/>
      <c r="BQ129" s="6"/>
      <c r="BR129" s="6"/>
      <c r="BS129" s="6"/>
      <c r="BT129" s="6"/>
      <c r="BU129" s="6"/>
      <c r="BV129" s="6"/>
      <c r="BW129" s="140">
        <v>1.0</v>
      </c>
      <c r="BX129" s="6"/>
      <c r="BY129" s="6"/>
      <c r="BZ129" s="140">
        <v>1.0</v>
      </c>
      <c r="CB129" s="6" t="s">
        <v>487</v>
      </c>
      <c r="CC129" s="6">
        <v>33.0</v>
      </c>
      <c r="CD129" s="6">
        <v>33.0</v>
      </c>
      <c r="CJ129" s="6" t="s">
        <v>487</v>
      </c>
      <c r="CK129" s="6">
        <v>270336.0</v>
      </c>
      <c r="CL129" s="6">
        <v>270336.0</v>
      </c>
    </row>
    <row r="130">
      <c r="B130" s="135"/>
      <c r="C130" s="136"/>
      <c r="D130" s="137"/>
      <c r="E130" s="137"/>
      <c r="F130" s="137"/>
      <c r="G130" s="138"/>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8"/>
      <c r="AH130" s="137"/>
      <c r="AI130" s="137"/>
      <c r="AJ130" s="137"/>
      <c r="AK130" s="137"/>
      <c r="AL130" s="137"/>
      <c r="AM130" s="137"/>
      <c r="AN130" s="137"/>
      <c r="AO130" s="137"/>
      <c r="AP130" s="137"/>
      <c r="AQ130" s="137"/>
      <c r="AR130" s="137"/>
      <c r="AS130" s="137"/>
      <c r="AT130" s="138"/>
      <c r="AU130" s="137"/>
      <c r="AV130" s="137"/>
      <c r="AW130" s="137"/>
      <c r="AX130" s="137"/>
      <c r="AY130" s="137"/>
      <c r="AZ130" s="137"/>
      <c r="BA130" s="137"/>
      <c r="BB130" s="137"/>
      <c r="BC130" s="137"/>
      <c r="BD130" s="137"/>
      <c r="BE130" s="137"/>
      <c r="BF130" s="137"/>
      <c r="BG130" s="137"/>
      <c r="BH130" s="137"/>
      <c r="BI130" s="139"/>
      <c r="BK130" s="22"/>
      <c r="BM130" s="140" t="s">
        <v>814</v>
      </c>
      <c r="BN130" s="6"/>
      <c r="BO130" s="6"/>
      <c r="BP130" s="6"/>
      <c r="BQ130" s="6"/>
      <c r="BR130" s="6"/>
      <c r="BS130" s="6"/>
      <c r="BT130" s="140">
        <v>1.0</v>
      </c>
      <c r="BU130" s="6"/>
      <c r="BV130" s="6"/>
      <c r="BW130" s="6"/>
      <c r="BX130" s="6"/>
      <c r="BY130" s="6"/>
      <c r="BZ130" s="140">
        <v>1.0</v>
      </c>
    </row>
    <row r="131">
      <c r="B131" s="31" t="s">
        <v>810</v>
      </c>
      <c r="C131" s="54"/>
      <c r="D131" s="45"/>
      <c r="E131" s="45"/>
      <c r="F131" s="47"/>
      <c r="G131" s="35"/>
      <c r="H131" s="163" t="s">
        <v>349</v>
      </c>
      <c r="I131" s="38">
        <f>VLOOKUP(H131,'Machine List'!$A$1:$I$300,9,FALSE)</f>
        <v>4000</v>
      </c>
      <c r="J131" s="38">
        <f>IF(VLOOKUP(H131,'Machine List'!$A$1:$I$300,5,FALSE)="Multi",IF(VLOOKUP(H131,'Machine List'!$A$1:$I$300,6,FALSE)="Yes",AI131*3*10^AB131,AI131*(2*3)*10^(AB131-1)),0)</f>
        <v>6</v>
      </c>
      <c r="K131" s="38">
        <f>J131+IF(ISNUMBER(I131),I131,
  SWITCH(
      I131,
      "1T",1*10^AB131,
      "2T",2*10^AB131,
      "3T",3*10^AB131,
      "4T",4*10^AB131,
      "4000+500(7O-5)",4000+500*(7*I132-5),
      "13500 + 16C",13500+16*VLOOKUP(J133,'Machine Helper Sheet'!$G$1:$K$16,5,FALSE),
      1
  )
)</f>
        <v>4006</v>
      </c>
      <c r="L131" s="38">
        <f>IF(VLOOKUP(H131,'Machine List'!$A$1:$I$300,5,FALSE)="Multi",IF(VLOOKUP(H131,'Machine List'!$A$1:$I$300,6,FALSE)="Yes",AW131*3*10^AV131,AW131*(2*3)*10^(AV131-1)),0)</f>
        <v>60000</v>
      </c>
      <c r="M131" s="38">
        <f>L131+IF(ISNUMBER(I131),I131,
  SWITCH(
      I131,
      "1T",1*10^AV131,
      "2T",2*10^AV131,
      "3T",3*10^AV131,
      "4T",4*10^AV131,
      "4000+500(7O-5)",4000+500*(7*I132-5),
      1
  )
)</f>
        <v>64000</v>
      </c>
      <c r="N131" s="38" t="str">
        <f>VLOOKUP(H131,'Machine List'!$A$1:$I$300,8,FALSE)</f>
        <v>Tier</v>
      </c>
      <c r="O131" s="38">
        <f>IF(ISNUMBER(N131),N131,10^AB131)</f>
        <v>10</v>
      </c>
      <c r="P131" s="38">
        <f>IF(ISNUMBER(N131),N131,10^AV131)</f>
        <v>100000</v>
      </c>
      <c r="Q131" s="38">
        <f>VLOOKUP(H131,'Machine List'!$A$1:$B$138,2,FALSE)</f>
        <v>1</v>
      </c>
      <c r="R131" s="38" t="s">
        <v>594</v>
      </c>
      <c r="S131" s="45">
        <f>IF(ISNUMBER(Q131),Q131,
  SWITCH(
      Q131,
      "1",1,
      "2T",AB131*2,
      "4T",AB131*4,
      "6T",AB131*6,
      "8T",AB131*8,
      "10T",AB131*10,
      "12T",AB131*12,
      "14T",AB131*14,
      "16T",AB131*16,
      "24T",AB131*24,
      "2(T+1)",2*(AB131+1),
      "1T*C",AB131*J133,
      "2*P",L133*2,
      1
  )
)</f>
        <v>1</v>
      </c>
      <c r="T131" s="38" t="s">
        <v>277</v>
      </c>
      <c r="U131" s="38">
        <f>IF(OR(T131="No",T131=""),S131,T131)</f>
        <v>1</v>
      </c>
      <c r="V131" s="38">
        <f>IF(ISNUMBER(Q131),Q131,
  SWITCH(
      Q131,
      "1",1,
      "2T",AV131*2,
      "4T",AV131*4,
      "6T",AV131*6,
      "8T",AV131*8,
      "10T",AV131*10,
      "12T",AV131*12,
      "14T",AV131*14,
      "16T",AV131*16,
      "24T",AV131*24,
      "2(T+1)",2*(AV131+1),
      "1T*C",AV131*J133,
      "2*P",L133*2,
      1
  )
)</f>
        <v>1</v>
      </c>
      <c r="W131" s="38" t="str">
        <f>T131</f>
        <v>No</v>
      </c>
      <c r="X131" s="38">
        <f>IF(OR(W131="No",W131=""),V131,W131)</f>
        <v>1</v>
      </c>
      <c r="Y131" s="38">
        <f>VLOOKUP(H131,'Machine List'!$A$1:$C$138,3,FALSE)</f>
        <v>1</v>
      </c>
      <c r="Z131" s="38">
        <f>VLOOKUP(H131,'Machine List'!$A$1:$D$138,4,FALSE)</f>
        <v>1</v>
      </c>
      <c r="AA131" s="164" t="s">
        <v>390</v>
      </c>
      <c r="AB131" s="38">
        <f>VLOOKUP(AA131,'Item Helper Sheet'!$A$2:$B$16,2,FALSE)</f>
        <v>1</v>
      </c>
      <c r="AC131" s="164">
        <v>10.0</v>
      </c>
      <c r="AD131" s="38">
        <f>25*20</f>
        <v>500</v>
      </c>
      <c r="AE131" s="38">
        <f>AD131*I133</f>
        <v>774000</v>
      </c>
      <c r="AF131" s="38">
        <f>AC131*AE131</f>
        <v>7740000</v>
      </c>
      <c r="AG131" s="75"/>
      <c r="AH131" s="38" t="str">
        <f>AA131</f>
        <v>01 - LV</v>
      </c>
      <c r="AI131" s="38">
        <v>1.0</v>
      </c>
      <c r="AJ131" s="38">
        <v>1.0</v>
      </c>
      <c r="AK131" s="38">
        <f>AJ131*8*4^AB131</f>
        <v>32</v>
      </c>
      <c r="AL131" s="38">
        <f>MIN(ROUNDDOWN(AK131/AN131,0),U131)</f>
        <v>1</v>
      </c>
      <c r="AM131" s="38">
        <f>IF(OR(T131="No",T131=""),AI131*S131,AI131*T131)</f>
        <v>1</v>
      </c>
      <c r="AN131" s="38">
        <f>ROUNDUP(AC131*VLOOKUP(H131,'Machine List'!$A$2:$D$219,4,FALSE),0)</f>
        <v>10</v>
      </c>
      <c r="AO131" s="38">
        <f>AN131*AM131</f>
        <v>10</v>
      </c>
      <c r="AP131" s="38">
        <f>ROUNDUP(AD131*I133,0)</f>
        <v>774000</v>
      </c>
      <c r="AQ131" s="38">
        <f>IF(ISNUMBER(Y131),ROUNDUP(AP131/Y131,0),
  SWITCH(
      Y131,
      "1+0.5C",ROUNDUP(AP131/(1+0.5*VLOOKUP(J133,'Machine Helper Sheet'!$G$1:$K$16,2,FALSE)),0),
      ROUNDUP(AP131/1,0)
  )
)</f>
        <v>774000</v>
      </c>
      <c r="AR131" s="38">
        <f>ROUNDUP(AQ131/AM131,0)</f>
        <v>774000</v>
      </c>
      <c r="AS131" s="38">
        <f>AO131*AR131</f>
        <v>7740000</v>
      </c>
      <c r="AT131" s="75"/>
      <c r="AU131" s="164" t="s">
        <v>405</v>
      </c>
      <c r="AV131" s="38">
        <f>VLOOKUP(AU131,'Item Helper Sheet'!$A$2:$B$16,2,FALSE)</f>
        <v>5</v>
      </c>
      <c r="AW131" s="38">
        <f>AI131</f>
        <v>1</v>
      </c>
      <c r="AX131" s="38">
        <v>1.0</v>
      </c>
      <c r="AY131" s="38">
        <f>AX131*8*4^AV131</f>
        <v>8192</v>
      </c>
      <c r="AZ131" s="38">
        <f>MIN(ROUNDDOWN(AY131/AN131,0),X131)</f>
        <v>1</v>
      </c>
      <c r="BA131" s="38">
        <f>AZ131*AW131</f>
        <v>1</v>
      </c>
      <c r="BB131" s="38">
        <f>AN131</f>
        <v>10</v>
      </c>
      <c r="BC131" s="38">
        <f>MIN(AV131-AB131,IF(AY131&gt;=BB132*4,
IF(AY131&gt;=BB132*4^2,
IF(AY131&gt;=BB132*4^3,
IF(AY131&gt;=BB132*4^4,
IF(AY131&gt;=BB132*4^5,
IF(AY131&gt;=BB132*4^6,
IF(AY131&gt;=BB132*4^7,
IF(AY131&gt;=BB132*4^8,
IF(AY131&gt;=BB132*4^9,
IF(AY131&gt;=BB132*4^10,
9),
8),
7),
6),
5),
4),
3),
2),
1),
0))</f>
        <v>4</v>
      </c>
      <c r="BD131" s="38">
        <f>BB131*AZ131*4^BC131</f>
        <v>2560</v>
      </c>
      <c r="BE131" s="38">
        <f>BD131*AW131</f>
        <v>2560</v>
      </c>
      <c r="BF131" s="45">
        <f>ROUNDUP(IF(R131="Yes",AP131/(2^((BC131)*2)),AP131/(2^(BC131))),0)</f>
        <v>3024</v>
      </c>
      <c r="BG131" s="45">
        <f>IF(ISNUMBER(Y131),ROUNDUP(BF131/Y131,0),
  SWITCH(
      Y131,
      "1+0.5C",ROUNDUP(BF131/(1+0.5*VLOOKUP(J133,'Machine Helper Sheet'!$G$1:$K$16,2,FALSE)),0),
      ROUNDUP(BF131/1,0)
  )
)</f>
        <v>3024</v>
      </c>
      <c r="BH131" s="45">
        <f>ROUNDUP(BG131/BA131,0)</f>
        <v>3024</v>
      </c>
      <c r="BI131" s="46">
        <f>BH131*BE131</f>
        <v>7741440</v>
      </c>
      <c r="BK131" s="22"/>
      <c r="BM131" s="140" t="s">
        <v>815</v>
      </c>
      <c r="BN131" s="6"/>
      <c r="BO131" s="6"/>
      <c r="BP131" s="6"/>
      <c r="BQ131" s="6"/>
      <c r="BR131" s="6"/>
      <c r="BS131" s="6"/>
      <c r="BT131" s="6"/>
      <c r="BU131" s="6"/>
      <c r="BV131" s="6"/>
      <c r="BW131" s="140">
        <v>1.0</v>
      </c>
      <c r="BX131" s="6"/>
      <c r="BY131" s="6"/>
      <c r="BZ131" s="140">
        <v>1.0</v>
      </c>
    </row>
    <row r="132">
      <c r="B132" s="40"/>
      <c r="C132" s="165" t="s">
        <v>66</v>
      </c>
      <c r="D132" s="38">
        <f>1*I133</f>
        <v>1548</v>
      </c>
      <c r="E132" s="164" t="s">
        <v>65</v>
      </c>
      <c r="F132" s="42">
        <f>1*I133</f>
        <v>1548</v>
      </c>
      <c r="G132" s="43"/>
      <c r="H132" s="99" t="s">
        <v>584</v>
      </c>
      <c r="I132" s="45">
        <f t="array" ref="I132">match(TRUE,ISBLANK(F132:F147),0)-1</f>
        <v>1</v>
      </c>
      <c r="J132" s="100" t="s">
        <v>420</v>
      </c>
      <c r="K132" s="100" t="s">
        <v>585</v>
      </c>
      <c r="L132" s="100" t="s">
        <v>704</v>
      </c>
      <c r="M132" s="38"/>
      <c r="N132" s="38"/>
      <c r="O132" s="38"/>
      <c r="P132" s="38"/>
      <c r="Q132" s="38"/>
      <c r="R132" s="101"/>
      <c r="S132" s="101"/>
      <c r="T132" s="101"/>
      <c r="U132" s="45"/>
      <c r="V132" s="45"/>
      <c r="W132" s="45"/>
      <c r="X132" s="45"/>
      <c r="Y132" s="45"/>
      <c r="Z132" s="45"/>
      <c r="AA132" s="45"/>
      <c r="AB132" s="45"/>
      <c r="AC132" s="45"/>
      <c r="AD132" s="45"/>
      <c r="AE132" s="45"/>
      <c r="AF132" s="45"/>
      <c r="AG132" s="79"/>
      <c r="AH132" s="45"/>
      <c r="AI132" s="45"/>
      <c r="AJ132" s="45"/>
      <c r="AK132" s="45"/>
      <c r="AL132" s="45"/>
      <c r="AM132" s="45"/>
      <c r="AN132" s="45"/>
      <c r="AO132" s="45"/>
      <c r="AP132" s="45"/>
      <c r="AQ132" s="45"/>
      <c r="AR132" s="45"/>
      <c r="AS132" s="45"/>
      <c r="AT132" s="79"/>
      <c r="AU132" s="45"/>
      <c r="AV132" s="45"/>
      <c r="AW132" s="45"/>
      <c r="AX132" s="45"/>
      <c r="AY132" s="45"/>
      <c r="AZ132" s="45"/>
      <c r="BA132" s="45"/>
      <c r="BB132" s="45">
        <f>BB131*AZ131</f>
        <v>10</v>
      </c>
      <c r="BC132" s="45"/>
      <c r="BD132" s="45"/>
      <c r="BE132" s="45"/>
      <c r="BF132" s="45"/>
      <c r="BG132" s="45"/>
      <c r="BH132" s="45"/>
      <c r="BI132" s="46"/>
      <c r="BK132" s="22"/>
      <c r="BM132" s="140" t="s">
        <v>816</v>
      </c>
      <c r="BN132" s="6"/>
      <c r="BO132" s="6"/>
      <c r="BP132" s="6"/>
      <c r="BQ132" s="6"/>
      <c r="BR132" s="6"/>
      <c r="BS132" s="6"/>
      <c r="BT132" s="140">
        <v>1.0</v>
      </c>
      <c r="BU132" s="6"/>
      <c r="BV132" s="6"/>
      <c r="BW132" s="6"/>
      <c r="BX132" s="6"/>
      <c r="BY132" s="6"/>
      <c r="BZ132" s="140">
        <v>1.0</v>
      </c>
    </row>
    <row r="133">
      <c r="B133" s="40"/>
      <c r="C133" s="165" t="s">
        <v>18</v>
      </c>
      <c r="D133" s="38">
        <f>12*I133</f>
        <v>18576</v>
      </c>
      <c r="E133" s="38"/>
      <c r="F133" s="42"/>
      <c r="G133" s="43"/>
      <c r="H133" s="56" t="s">
        <v>502</v>
      </c>
      <c r="I133" s="166">
        <v>1548.0</v>
      </c>
      <c r="J133" s="100" t="s">
        <v>424</v>
      </c>
      <c r="K133" s="100">
        <v>0.0</v>
      </c>
      <c r="L133" s="100">
        <v>0.0</v>
      </c>
      <c r="M133" s="45"/>
      <c r="N133" s="45"/>
      <c r="O133" s="45"/>
      <c r="P133" s="45"/>
      <c r="Q133" s="45"/>
      <c r="R133" s="45"/>
      <c r="S133" s="101"/>
      <c r="T133" s="101"/>
      <c r="U133" s="45"/>
      <c r="V133" s="45"/>
      <c r="W133" s="45"/>
      <c r="X133" s="45"/>
      <c r="Y133" s="45"/>
      <c r="Z133" s="45"/>
      <c r="AA133" s="45"/>
      <c r="AB133" s="45"/>
      <c r="AC133" s="45"/>
      <c r="AD133" s="45"/>
      <c r="AE133" s="45"/>
      <c r="AF133" s="45"/>
      <c r="AG133" s="79"/>
      <c r="AH133" s="45"/>
      <c r="AI133" s="45"/>
      <c r="AJ133" s="45"/>
      <c r="AK133" s="45"/>
      <c r="AL133" s="45"/>
      <c r="AM133" s="45"/>
      <c r="AN133" s="45"/>
      <c r="AO133" s="45"/>
      <c r="AP133" s="45"/>
      <c r="AQ133" s="45"/>
      <c r="AR133" s="45"/>
      <c r="AS133" s="45"/>
      <c r="AT133" s="79"/>
      <c r="AU133" s="45"/>
      <c r="AV133" s="45"/>
      <c r="AW133" s="45"/>
      <c r="AX133" s="45"/>
      <c r="AY133" s="45"/>
      <c r="AZ133" s="45"/>
      <c r="BA133" s="45"/>
      <c r="BB133" s="45"/>
      <c r="BC133" s="45"/>
      <c r="BD133" s="45"/>
      <c r="BE133" s="45"/>
      <c r="BF133" s="45"/>
      <c r="BG133" s="45"/>
      <c r="BH133" s="45"/>
      <c r="BI133" s="46"/>
      <c r="BK133" s="22"/>
      <c r="BM133" s="140" t="s">
        <v>817</v>
      </c>
      <c r="BN133" s="6"/>
      <c r="BO133" s="6"/>
      <c r="BP133" s="6"/>
      <c r="BQ133" s="6"/>
      <c r="BR133" s="6"/>
      <c r="BS133" s="6"/>
      <c r="BT133" s="6"/>
      <c r="BU133" s="6"/>
      <c r="BV133" s="6"/>
      <c r="BW133" s="6"/>
      <c r="BX133" s="6"/>
      <c r="BY133" s="140">
        <v>1.0</v>
      </c>
      <c r="BZ133" s="140">
        <v>1.0</v>
      </c>
    </row>
    <row r="134">
      <c r="B134" s="40"/>
      <c r="C134" s="165" t="s">
        <v>227</v>
      </c>
      <c r="D134" s="38">
        <f>500*I133</f>
        <v>774000</v>
      </c>
      <c r="E134" s="38"/>
      <c r="F134" s="42"/>
      <c r="G134" s="43"/>
      <c r="H134" s="44"/>
      <c r="I134" s="45"/>
      <c r="J134" s="45"/>
      <c r="K134" s="45"/>
      <c r="L134" s="45"/>
      <c r="M134" s="45"/>
      <c r="N134" s="45"/>
      <c r="O134" s="45"/>
      <c r="P134" s="45"/>
      <c r="Q134" s="45"/>
      <c r="R134" s="45"/>
      <c r="S134" s="101"/>
      <c r="T134" s="101"/>
      <c r="U134" s="45"/>
      <c r="V134" s="45"/>
      <c r="W134" s="45"/>
      <c r="X134" s="45"/>
      <c r="Y134" s="45"/>
      <c r="Z134" s="45"/>
      <c r="AA134" s="45"/>
      <c r="AB134" s="45"/>
      <c r="AC134" s="45"/>
      <c r="AD134" s="45"/>
      <c r="AE134" s="45"/>
      <c r="AF134" s="45"/>
      <c r="AG134" s="79"/>
      <c r="AH134" s="45"/>
      <c r="AI134" s="45"/>
      <c r="AJ134" s="45"/>
      <c r="AK134" s="45"/>
      <c r="AL134" s="45"/>
      <c r="AM134" s="45"/>
      <c r="AN134" s="45"/>
      <c r="AO134" s="45"/>
      <c r="AP134" s="45"/>
      <c r="AQ134" s="45"/>
      <c r="AR134" s="45"/>
      <c r="AS134" s="45"/>
      <c r="AT134" s="79"/>
      <c r="AU134" s="45"/>
      <c r="AV134" s="45"/>
      <c r="AW134" s="45"/>
      <c r="AX134" s="45"/>
      <c r="AY134" s="45"/>
      <c r="AZ134" s="45"/>
      <c r="BA134" s="45"/>
      <c r="BB134" s="45"/>
      <c r="BC134" s="45"/>
      <c r="BD134" s="45"/>
      <c r="BE134" s="45"/>
      <c r="BF134" s="45"/>
      <c r="BG134" s="45"/>
      <c r="BH134" s="45"/>
      <c r="BI134" s="46"/>
      <c r="BK134" s="22"/>
      <c r="BM134" s="6" t="s">
        <v>487</v>
      </c>
      <c r="BN134" s="140">
        <v>5.0</v>
      </c>
      <c r="BO134" s="140">
        <v>1.0</v>
      </c>
      <c r="BP134" s="140">
        <v>4.0</v>
      </c>
      <c r="BQ134" s="140">
        <v>1.0</v>
      </c>
      <c r="BR134" s="140">
        <v>2.0</v>
      </c>
      <c r="BS134" s="6">
        <v>4.0</v>
      </c>
      <c r="BT134" s="140">
        <v>4.0</v>
      </c>
      <c r="BU134" s="140">
        <v>1.0</v>
      </c>
      <c r="BV134" s="140">
        <v>1.0</v>
      </c>
      <c r="BW134" s="140">
        <v>3.0</v>
      </c>
      <c r="BX134" s="6">
        <v>4.0</v>
      </c>
      <c r="BY134" s="140">
        <v>3.0</v>
      </c>
      <c r="BZ134" s="6">
        <v>33.0</v>
      </c>
    </row>
    <row r="135">
      <c r="B135" s="135"/>
      <c r="C135" s="136"/>
      <c r="D135" s="137"/>
      <c r="E135" s="137"/>
      <c r="F135" s="137"/>
      <c r="G135" s="138"/>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8"/>
      <c r="AH135" s="137"/>
      <c r="AI135" s="137"/>
      <c r="AJ135" s="137"/>
      <c r="AK135" s="137"/>
      <c r="AL135" s="137"/>
      <c r="AM135" s="137"/>
      <c r="AN135" s="137"/>
      <c r="AO135" s="137"/>
      <c r="AP135" s="137"/>
      <c r="AQ135" s="137"/>
      <c r="AR135" s="137"/>
      <c r="AS135" s="137"/>
      <c r="AT135" s="138"/>
      <c r="AU135" s="137"/>
      <c r="AV135" s="137"/>
      <c r="AW135" s="137"/>
      <c r="AX135" s="137"/>
      <c r="AY135" s="137"/>
      <c r="AZ135" s="137"/>
      <c r="BA135" s="137"/>
      <c r="BB135" s="137"/>
      <c r="BC135" s="137"/>
      <c r="BD135" s="137"/>
      <c r="BE135" s="137"/>
      <c r="BF135" s="137"/>
      <c r="BG135" s="137"/>
      <c r="BH135" s="137"/>
      <c r="BI135" s="139"/>
      <c r="BK135" s="22"/>
    </row>
    <row r="136">
      <c r="B136" s="31" t="s">
        <v>811</v>
      </c>
      <c r="C136" s="54"/>
      <c r="D136" s="45"/>
      <c r="E136" s="45"/>
      <c r="F136" s="47"/>
      <c r="G136" s="35"/>
      <c r="H136" s="163" t="s">
        <v>349</v>
      </c>
      <c r="I136" s="38">
        <f>VLOOKUP(H136,'Machine List'!$A$1:$I$300,9,FALSE)</f>
        <v>4000</v>
      </c>
      <c r="J136" s="38">
        <f>IF(VLOOKUP(H136,'Machine List'!$A$1:$I$300,5,FALSE)="Multi",IF(VLOOKUP(H136,'Machine List'!$A$1:$I$300,6,FALSE)="Yes",AI136*3*10^AB136,AI136*(2*3)*10^(AB136-1)),0)</f>
        <v>6</v>
      </c>
      <c r="K136" s="38">
        <f>J136+IF(ISNUMBER(I136),I136,
  SWITCH(
      I136,
      "1T",1*10^AB136,
      "2T",2*10^AB136,
      "3T",3*10^AB136,
      "4T",4*10^AB136,
      "4000+500(7O-5)",4000+500*(7*I137-5),
      "13500 + 16C",13500+16*VLOOKUP(J138,'Machine Helper Sheet'!$G$1:$K$16,5,FALSE),
      1
  )
)</f>
        <v>4006</v>
      </c>
      <c r="L136" s="38">
        <f>IF(VLOOKUP(H136,'Machine List'!$A$1:$I$300,5,FALSE)="Multi",IF(VLOOKUP(H136,'Machine List'!$A$1:$I$300,6,FALSE)="Yes",AW136*3*10^AV136,AW136*(2*3)*10^(AV136-1)),0)</f>
        <v>60000</v>
      </c>
      <c r="M136" s="38">
        <f>L136+IF(ISNUMBER(I136),I136,
  SWITCH(
      I136,
      "1T",1*10^AV136,
      "2T",2*10^AV136,
      "3T",3*10^AV136,
      "4T",4*10^AV136,
      "4000+500(7O-5)",4000+500*(7*I137-5),
      1
  )
)</f>
        <v>64000</v>
      </c>
      <c r="N136" s="38" t="str">
        <f>VLOOKUP(H136,'Machine List'!$A$1:$I$300,8,FALSE)</f>
        <v>Tier</v>
      </c>
      <c r="O136" s="38">
        <f>IF(ISNUMBER(N136),N136,10^AB136)</f>
        <v>10</v>
      </c>
      <c r="P136" s="38">
        <f>IF(ISNUMBER(N136),N136,10^AV136)</f>
        <v>100000</v>
      </c>
      <c r="Q136" s="38">
        <f>VLOOKUP(H136,'Machine List'!$A$1:$B$138,2,FALSE)</f>
        <v>1</v>
      </c>
      <c r="R136" s="38" t="s">
        <v>594</v>
      </c>
      <c r="S136" s="45">
        <f>IF(ISNUMBER(Q136),Q136,
  SWITCH(
      Q136,
      "1",1,
      "2T",AB136*2,
      "4T",AB136*4,
      "6T",AB136*6,
      "8T",AB136*8,
      "10T",AB136*10,
      "12T",AB136*12,
      "14T",AB136*14,
      "16T",AB136*16,
      "24T",AB136*24,
      "2(T+1)",2*(AB136+1),
      "1T*C",AB136*J138,
      "2*P",L138*2,
      1
  )
)</f>
        <v>1</v>
      </c>
      <c r="T136" s="38" t="s">
        <v>277</v>
      </c>
      <c r="U136" s="38">
        <f>IF(OR(T136="No",T136=""),S136,T136)</f>
        <v>1</v>
      </c>
      <c r="V136" s="38">
        <f>IF(ISNUMBER(Q136),Q136,
  SWITCH(
      Q136,
      "1",1,
      "2T",AV136*2,
      "4T",AV136*4,
      "6T",AV136*6,
      "8T",AV136*8,
      "10T",AV136*10,
      "12T",AV136*12,
      "14T",AV136*14,
      "16T",AV136*16,
      "24T",AV136*24,
      "2(T+1)",2*(AV136+1),
      "1T*C",AV136*J138,
      "2*P",L138*2,
      1
  )
)</f>
        <v>1</v>
      </c>
      <c r="W136" s="38" t="str">
        <f>T136</f>
        <v>No</v>
      </c>
      <c r="X136" s="38">
        <f>IF(OR(W136="No",W136=""),V136,W136)</f>
        <v>1</v>
      </c>
      <c r="Y136" s="38">
        <f>VLOOKUP(H136,'Machine List'!$A$1:$C$138,3,FALSE)</f>
        <v>1</v>
      </c>
      <c r="Z136" s="38">
        <f>VLOOKUP(H136,'Machine List'!$A$1:$D$138,4,FALSE)</f>
        <v>1</v>
      </c>
      <c r="AA136" s="164" t="s">
        <v>390</v>
      </c>
      <c r="AB136" s="38">
        <f>VLOOKUP(AA136,'Item Helper Sheet'!$A$2:$B$16,2,FALSE)</f>
        <v>1</v>
      </c>
      <c r="AC136" s="164">
        <v>30.0</v>
      </c>
      <c r="AD136" s="38">
        <f>90*20</f>
        <v>1800</v>
      </c>
      <c r="AE136" s="38">
        <f>AD136*I138</f>
        <v>2786400</v>
      </c>
      <c r="AF136" s="38">
        <f>AC136*AE136</f>
        <v>83592000</v>
      </c>
      <c r="AG136" s="75"/>
      <c r="AH136" s="38" t="str">
        <f>AA136</f>
        <v>01 - LV</v>
      </c>
      <c r="AI136" s="38">
        <v>1.0</v>
      </c>
      <c r="AJ136" s="38">
        <v>1.0</v>
      </c>
      <c r="AK136" s="38">
        <f>AJ136*8*4^AB136</f>
        <v>32</v>
      </c>
      <c r="AL136" s="38">
        <f>MIN(ROUNDDOWN(AK136/AN136,0),U136)</f>
        <v>1</v>
      </c>
      <c r="AM136" s="38">
        <f>IF(OR(T136="No",T136=""),AI136*S136,AI136*T136)</f>
        <v>1</v>
      </c>
      <c r="AN136" s="38">
        <f>ROUNDUP(AC136*VLOOKUP(H136,'Machine List'!$A$2:$D$219,4,FALSE),0)</f>
        <v>30</v>
      </c>
      <c r="AO136" s="38">
        <f>AN136*AM136</f>
        <v>30</v>
      </c>
      <c r="AP136" s="38">
        <f>ROUNDUP(AD136*I138,0)</f>
        <v>2786400</v>
      </c>
      <c r="AQ136" s="38">
        <f>IF(ISNUMBER(Y136),ROUNDUP(AP136/Y136,0),
  SWITCH(
      Y136,
      "1+0.5C",ROUNDUP(AP136/(1+0.5*VLOOKUP(J138,'Machine Helper Sheet'!$G$1:$K$16,2,FALSE)),0),
      ROUNDUP(AP136/1,0)
  )
)</f>
        <v>2786400</v>
      </c>
      <c r="AR136" s="38">
        <f>ROUNDUP(AQ136/AM136,0)</f>
        <v>2786400</v>
      </c>
      <c r="AS136" s="38">
        <f>AO136*AR136</f>
        <v>83592000</v>
      </c>
      <c r="AT136" s="75"/>
      <c r="AU136" s="164" t="s">
        <v>405</v>
      </c>
      <c r="AV136" s="38">
        <f>VLOOKUP(AU136,'Item Helper Sheet'!$A$2:$B$16,2,FALSE)</f>
        <v>5</v>
      </c>
      <c r="AW136" s="38">
        <f>AI136</f>
        <v>1</v>
      </c>
      <c r="AX136" s="38">
        <v>1.0</v>
      </c>
      <c r="AY136" s="38">
        <f>AX136*8*4^AV136</f>
        <v>8192</v>
      </c>
      <c r="AZ136" s="38">
        <f>MIN(ROUNDDOWN(AY136/AN136,0),X136)</f>
        <v>1</v>
      </c>
      <c r="BA136" s="38">
        <f>AZ136*AW136</f>
        <v>1</v>
      </c>
      <c r="BB136" s="38">
        <f>AN136</f>
        <v>30</v>
      </c>
      <c r="BC136" s="38">
        <f>MIN(AV136-AB136,IF(AY136&gt;=BB137*4,
IF(AY136&gt;=BB137*4^2,
IF(AY136&gt;=BB137*4^3,
IF(AY136&gt;=BB137*4^4,
IF(AY136&gt;=BB137*4^5,
IF(AY136&gt;=BB137*4^6,
IF(AY136&gt;=BB137*4^7,
IF(AY136&gt;=BB137*4^8,
IF(AY136&gt;=BB137*4^9,
IF(AY136&gt;=BB137*4^10,
9),
8),
7),
6),
5),
4),
3),
2),
1),
0))</f>
        <v>4</v>
      </c>
      <c r="BD136" s="38">
        <f>BB136*AZ136*4^BC136</f>
        <v>7680</v>
      </c>
      <c r="BE136" s="38">
        <f>BD136*AW136</f>
        <v>7680</v>
      </c>
      <c r="BF136" s="45">
        <f>ROUNDUP(IF(R136="Yes",AP136/(2^((BC136)*2)),AP136/(2^(BC136))),0)</f>
        <v>10885</v>
      </c>
      <c r="BG136" s="45">
        <f>IF(ISNUMBER(Y136),ROUNDUP(BF136/Y136,0),
  SWITCH(
      Y136,
      "1+0.5C",ROUNDUP(BF136/(1+0.5*VLOOKUP(J138,'Machine Helper Sheet'!$G$1:$K$16,2,FALSE)),0),
      ROUNDUP(BF136/1,0)
  )
)</f>
        <v>10885</v>
      </c>
      <c r="BH136" s="45">
        <f>ROUNDUP(BG136/BA136,0)</f>
        <v>10885</v>
      </c>
      <c r="BI136" s="46">
        <f>BH136*BE136</f>
        <v>83596800</v>
      </c>
      <c r="BK136" s="22"/>
      <c r="BM136" s="6" t="s">
        <v>622</v>
      </c>
      <c r="BN136" s="6" t="s">
        <v>462</v>
      </c>
      <c r="BO136" s="6"/>
      <c r="BP136" s="6"/>
      <c r="BQ136" s="6"/>
      <c r="BR136" s="6"/>
      <c r="BS136" s="6"/>
      <c r="BT136" s="6"/>
      <c r="BU136" s="6"/>
      <c r="BV136" s="6"/>
      <c r="BW136" s="6"/>
      <c r="BX136" s="6"/>
      <c r="BY136" s="6"/>
      <c r="BZ136" s="6"/>
    </row>
    <row r="137">
      <c r="B137" s="40"/>
      <c r="C137" s="165" t="s">
        <v>65</v>
      </c>
      <c r="D137" s="38">
        <f>1*I138</f>
        <v>1548</v>
      </c>
      <c r="E137" s="164" t="s">
        <v>120</v>
      </c>
      <c r="F137" s="42">
        <f>1*I138</f>
        <v>1548</v>
      </c>
      <c r="G137" s="43"/>
      <c r="H137" s="99" t="s">
        <v>584</v>
      </c>
      <c r="I137" s="45">
        <f t="array" ref="I137">match(TRUE,ISBLANK(F137:F152),0)-1</f>
        <v>1</v>
      </c>
      <c r="J137" s="100" t="s">
        <v>420</v>
      </c>
      <c r="K137" s="100" t="s">
        <v>585</v>
      </c>
      <c r="L137" s="100" t="s">
        <v>704</v>
      </c>
      <c r="M137" s="38"/>
      <c r="N137" s="38"/>
      <c r="O137" s="38"/>
      <c r="P137" s="38"/>
      <c r="Q137" s="38"/>
      <c r="R137" s="101"/>
      <c r="S137" s="101"/>
      <c r="T137" s="101"/>
      <c r="U137" s="45"/>
      <c r="V137" s="45"/>
      <c r="W137" s="45"/>
      <c r="X137" s="45"/>
      <c r="Y137" s="45"/>
      <c r="Z137" s="45"/>
      <c r="AA137" s="45"/>
      <c r="AB137" s="45"/>
      <c r="AC137" s="45"/>
      <c r="AD137" s="45"/>
      <c r="AE137" s="45"/>
      <c r="AF137" s="45"/>
      <c r="AG137" s="79"/>
      <c r="AH137" s="45"/>
      <c r="AI137" s="45"/>
      <c r="AJ137" s="45"/>
      <c r="AK137" s="45"/>
      <c r="AL137" s="45"/>
      <c r="AM137" s="45"/>
      <c r="AN137" s="45"/>
      <c r="AO137" s="45"/>
      <c r="AP137" s="45"/>
      <c r="AQ137" s="45"/>
      <c r="AR137" s="45"/>
      <c r="AS137" s="45"/>
      <c r="AT137" s="79"/>
      <c r="AU137" s="45"/>
      <c r="AV137" s="45"/>
      <c r="AW137" s="45"/>
      <c r="AX137" s="45"/>
      <c r="AY137" s="45"/>
      <c r="AZ137" s="45"/>
      <c r="BA137" s="45"/>
      <c r="BB137" s="45">
        <f>BB136*AZ136</f>
        <v>30</v>
      </c>
      <c r="BC137" s="45"/>
      <c r="BD137" s="45"/>
      <c r="BE137" s="45"/>
      <c r="BF137" s="45"/>
      <c r="BG137" s="45"/>
      <c r="BH137" s="45"/>
      <c r="BI137" s="46"/>
      <c r="BK137" s="22"/>
      <c r="BM137" s="6" t="s">
        <v>457</v>
      </c>
      <c r="BN137" s="140" t="s">
        <v>285</v>
      </c>
      <c r="BO137" s="140" t="s">
        <v>287</v>
      </c>
      <c r="BP137" s="140" t="s">
        <v>288</v>
      </c>
      <c r="BQ137" s="140" t="s">
        <v>290</v>
      </c>
      <c r="BR137" s="140" t="s">
        <v>292</v>
      </c>
      <c r="BS137" s="6" t="s">
        <v>380</v>
      </c>
      <c r="BT137" s="140" t="s">
        <v>295</v>
      </c>
      <c r="BU137" s="140" t="s">
        <v>306</v>
      </c>
      <c r="BV137" s="140" t="s">
        <v>311</v>
      </c>
      <c r="BW137" s="140" t="s">
        <v>379</v>
      </c>
      <c r="BX137" s="6" t="s">
        <v>349</v>
      </c>
      <c r="BY137" s="140" t="s">
        <v>374</v>
      </c>
      <c r="BZ137" s="6" t="s">
        <v>487</v>
      </c>
    </row>
    <row r="138">
      <c r="B138" s="40"/>
      <c r="C138" s="165" t="s">
        <v>58</v>
      </c>
      <c r="D138" s="38">
        <f>12*I138</f>
        <v>18576</v>
      </c>
      <c r="E138" s="38"/>
      <c r="F138" s="42"/>
      <c r="G138" s="43"/>
      <c r="H138" s="56" t="s">
        <v>502</v>
      </c>
      <c r="I138" s="166">
        <v>1548.0</v>
      </c>
      <c r="J138" s="100" t="s">
        <v>424</v>
      </c>
      <c r="K138" s="100">
        <v>0.0</v>
      </c>
      <c r="L138" s="100">
        <v>0.0</v>
      </c>
      <c r="M138" s="45"/>
      <c r="N138" s="45"/>
      <c r="O138" s="45"/>
      <c r="P138" s="45"/>
      <c r="Q138" s="45"/>
      <c r="R138" s="45"/>
      <c r="S138" s="101"/>
      <c r="T138" s="101"/>
      <c r="U138" s="45"/>
      <c r="V138" s="45"/>
      <c r="W138" s="45"/>
      <c r="X138" s="45"/>
      <c r="Y138" s="45"/>
      <c r="Z138" s="45"/>
      <c r="AA138" s="45"/>
      <c r="AB138" s="45"/>
      <c r="AC138" s="45"/>
      <c r="AD138" s="45"/>
      <c r="AE138" s="45"/>
      <c r="AF138" s="45"/>
      <c r="AG138" s="79"/>
      <c r="AH138" s="45"/>
      <c r="AI138" s="45"/>
      <c r="AJ138" s="45"/>
      <c r="AK138" s="45"/>
      <c r="AL138" s="45"/>
      <c r="AM138" s="45"/>
      <c r="AN138" s="45"/>
      <c r="AO138" s="45"/>
      <c r="AP138" s="45"/>
      <c r="AQ138" s="45"/>
      <c r="AR138" s="45"/>
      <c r="AS138" s="45"/>
      <c r="AT138" s="79"/>
      <c r="AU138" s="45"/>
      <c r="AV138" s="45"/>
      <c r="AW138" s="45"/>
      <c r="AX138" s="45"/>
      <c r="AY138" s="45"/>
      <c r="AZ138" s="45"/>
      <c r="BA138" s="45"/>
      <c r="BB138" s="45"/>
      <c r="BC138" s="45"/>
      <c r="BD138" s="45"/>
      <c r="BE138" s="45"/>
      <c r="BF138" s="45"/>
      <c r="BG138" s="45"/>
      <c r="BH138" s="45"/>
      <c r="BI138" s="46"/>
      <c r="BK138" s="22"/>
      <c r="BM138" s="6" t="s">
        <v>785</v>
      </c>
      <c r="BN138" s="6"/>
      <c r="BO138" s="6"/>
      <c r="BP138" s="6"/>
      <c r="BQ138" s="6"/>
      <c r="BR138" s="6"/>
      <c r="BS138" s="6">
        <v>1.0</v>
      </c>
      <c r="BT138" s="6"/>
      <c r="BU138" s="6"/>
      <c r="BV138" s="6"/>
      <c r="BW138" s="6"/>
      <c r="BX138" s="6"/>
      <c r="BY138" s="6"/>
      <c r="BZ138" s="6">
        <v>1.0</v>
      </c>
    </row>
    <row r="139">
      <c r="B139" s="40"/>
      <c r="C139" s="165" t="s">
        <v>97</v>
      </c>
      <c r="D139" s="38">
        <f>1000*I138</f>
        <v>1548000</v>
      </c>
      <c r="E139" s="38"/>
      <c r="F139" s="42"/>
      <c r="G139" s="43"/>
      <c r="H139" s="44"/>
      <c r="I139" s="45"/>
      <c r="J139" s="45"/>
      <c r="K139" s="45"/>
      <c r="L139" s="45"/>
      <c r="M139" s="45"/>
      <c r="N139" s="45"/>
      <c r="O139" s="45"/>
      <c r="P139" s="45"/>
      <c r="Q139" s="45"/>
      <c r="R139" s="45"/>
      <c r="S139" s="101"/>
      <c r="T139" s="101"/>
      <c r="U139" s="45"/>
      <c r="V139" s="45"/>
      <c r="W139" s="45"/>
      <c r="X139" s="45"/>
      <c r="Y139" s="45"/>
      <c r="Z139" s="45"/>
      <c r="AA139" s="45"/>
      <c r="AB139" s="45"/>
      <c r="AC139" s="45"/>
      <c r="AD139" s="45"/>
      <c r="AE139" s="45"/>
      <c r="AF139" s="45"/>
      <c r="AG139" s="79"/>
      <c r="AH139" s="45"/>
      <c r="AI139" s="45"/>
      <c r="AJ139" s="45"/>
      <c r="AK139" s="45"/>
      <c r="AL139" s="45"/>
      <c r="AM139" s="45"/>
      <c r="AN139" s="45"/>
      <c r="AO139" s="45"/>
      <c r="AP139" s="45"/>
      <c r="AQ139" s="45"/>
      <c r="AR139" s="45"/>
      <c r="AS139" s="45"/>
      <c r="AT139" s="79"/>
      <c r="AU139" s="45"/>
      <c r="AV139" s="45"/>
      <c r="AW139" s="45"/>
      <c r="AX139" s="45"/>
      <c r="AY139" s="45"/>
      <c r="AZ139" s="45"/>
      <c r="BA139" s="45"/>
      <c r="BB139" s="45"/>
      <c r="BC139" s="45"/>
      <c r="BD139" s="45"/>
      <c r="BE139" s="45"/>
      <c r="BF139" s="45"/>
      <c r="BG139" s="45"/>
      <c r="BH139" s="45"/>
      <c r="BI139" s="46"/>
      <c r="BK139" s="22"/>
      <c r="BM139" s="6" t="s">
        <v>786</v>
      </c>
      <c r="BN139" s="6"/>
      <c r="BO139" s="6"/>
      <c r="BP139" s="6"/>
      <c r="BQ139" s="6"/>
      <c r="BR139" s="6"/>
      <c r="BS139" s="6">
        <v>1.0</v>
      </c>
      <c r="BT139" s="6"/>
      <c r="BU139" s="6"/>
      <c r="BV139" s="6"/>
      <c r="BW139" s="6"/>
      <c r="BX139" s="6"/>
      <c r="BY139" s="6"/>
      <c r="BZ139" s="6">
        <v>1.0</v>
      </c>
    </row>
    <row r="140">
      <c r="B140" s="135"/>
      <c r="C140" s="136"/>
      <c r="D140" s="137"/>
      <c r="E140" s="137"/>
      <c r="F140" s="137"/>
      <c r="G140" s="138"/>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8"/>
      <c r="AH140" s="137"/>
      <c r="AI140" s="137"/>
      <c r="AJ140" s="137"/>
      <c r="AK140" s="137"/>
      <c r="AL140" s="137"/>
      <c r="AM140" s="137"/>
      <c r="AN140" s="137"/>
      <c r="AO140" s="137"/>
      <c r="AP140" s="137"/>
      <c r="AQ140" s="137"/>
      <c r="AR140" s="137"/>
      <c r="AS140" s="137"/>
      <c r="AT140" s="138"/>
      <c r="AU140" s="137"/>
      <c r="AV140" s="137"/>
      <c r="AW140" s="137"/>
      <c r="AX140" s="137"/>
      <c r="AY140" s="137"/>
      <c r="AZ140" s="137"/>
      <c r="BA140" s="137"/>
      <c r="BB140" s="137"/>
      <c r="BC140" s="137"/>
      <c r="BD140" s="137"/>
      <c r="BE140" s="137"/>
      <c r="BF140" s="137"/>
      <c r="BG140" s="137"/>
      <c r="BH140" s="137"/>
      <c r="BI140" s="139"/>
      <c r="BK140" s="22"/>
      <c r="BM140" s="6" t="s">
        <v>787</v>
      </c>
      <c r="BN140" s="6"/>
      <c r="BO140" s="6"/>
      <c r="BP140" s="6"/>
      <c r="BQ140" s="6"/>
      <c r="BR140" s="6"/>
      <c r="BS140" s="6">
        <v>1.0</v>
      </c>
      <c r="BT140" s="6"/>
      <c r="BU140" s="6"/>
      <c r="BV140" s="6"/>
      <c r="BW140" s="6"/>
      <c r="BX140" s="6"/>
      <c r="BY140" s="6"/>
      <c r="BZ140" s="6">
        <v>1.0</v>
      </c>
    </row>
    <row r="141">
      <c r="B141" s="141" t="s">
        <v>812</v>
      </c>
      <c r="C141" s="142"/>
      <c r="D141" s="143"/>
      <c r="E141" s="143"/>
      <c r="F141" s="144"/>
      <c r="G141" s="145"/>
      <c r="H141" s="167" t="s">
        <v>288</v>
      </c>
      <c r="I141" s="147" t="str">
        <f>VLOOKUP(H141,'Machine List'!$A$1:$I$300,9,FALSE)</f>
        <v>1T</v>
      </c>
      <c r="J141" s="147">
        <f>IF(VLOOKUP(H141,'Machine List'!$A$1:$I$300,5,FALSE)="Multi",IF(VLOOKUP(H141,'Machine List'!$A$1:$I$300,6,FALSE)="Yes",AI141*3*10^AB141,AI141*(2*3)*10^(AB141-1)),0)</f>
        <v>0</v>
      </c>
      <c r="K141" s="147">
        <f>J141+IF(ISNUMBER(I141),I141,
  SWITCH(
      I141,
      "1T",1*10^AB141,
      "2T",2*10^AB141,
      "3T",3*10^AB141,
      "4T",4*10^AB141,
      "4000+500(7O-5)",4000+500*(7*I142-5),
      "13500 + 16C",13500+16*VLOOKUP(J143,'Machine Helper Sheet'!$G$1:$K$16,5,FALSE),
      1
  )
)</f>
        <v>10</v>
      </c>
      <c r="L141" s="147">
        <f>IF(VLOOKUP(H141,'Machine List'!$A$1:$I$300,5,FALSE)="Multi",IF(VLOOKUP(H141,'Machine List'!$A$1:$I$300,6,FALSE)="Yes",AW141*3*10^AV141,AW141*(2*3)*10^(AV141-1)),0)</f>
        <v>0</v>
      </c>
      <c r="M141" s="147">
        <f>L141+IF(ISNUMBER(I141),I141,
  SWITCH(
      I141,
      "1T",1*10^AV141,
      "2T",2*10^AV141,
      "3T",3*10^AV141,
      "4T",4*10^AV141,
      "4000+500(7O-5)",4000+500*(7*I142-5),
      1
  )
)</f>
        <v>100000</v>
      </c>
      <c r="N141" s="147" t="str">
        <f>VLOOKUP(H141,'Machine List'!$A$1:$I$300,8,FALSE)</f>
        <v>Tier</v>
      </c>
      <c r="O141" s="147">
        <f>IF(ISNUMBER(N141),N141,10^AB141)</f>
        <v>10</v>
      </c>
      <c r="P141" s="147">
        <f>IF(ISNUMBER(N141),N141,10^AV141)</f>
        <v>100000</v>
      </c>
      <c r="Q141" s="147">
        <f>VLOOKUP(H141,'Machine List'!$A$1:$B$138,2,FALSE)</f>
        <v>1</v>
      </c>
      <c r="R141" s="147" t="s">
        <v>277</v>
      </c>
      <c r="S141" s="143">
        <f>IF(ISNUMBER(Q141),Q141,
  SWITCH(
      Q141,
      "1",1,
      "2T",AB141*2,
      "4T",AB141*4,
      "6T",AB141*6,
      "8T",AB141*8,
      "10T",AB141*10,
      "12T",AB141*12,
      "14T",AB141*14,
      "16T",AB141*16,
      "24T",AB141*24,
      "2(T+1)",2*(AB141+1),
      "1T*C",AB141*J143,
      "2*P",L143*2,
      1
  )
)</f>
        <v>1</v>
      </c>
      <c r="T141" s="38" t="s">
        <v>277</v>
      </c>
      <c r="U141" s="147">
        <f>IF(OR(T141="No",T141=""),S141,T141)</f>
        <v>1</v>
      </c>
      <c r="V141" s="147">
        <f>IF(ISNUMBER(Q141),Q141,
  SWITCH(
      Q141,
      "1",1,
      "2T",AV141*2,
      "4T",AV141*4,
      "6T",AV141*6,
      "8T",AV141*8,
      "10T",AV141*10,
      "12T",AV141*12,
      "14T",AV141*14,
      "16T",AV141*16,
      "24T",AV141*24,
      "2(T+1)",2*(AV141+1),
      "1T*C",AV141*J143,
      "2*P",L143*2,
      1
  )
)</f>
        <v>1</v>
      </c>
      <c r="W141" s="147" t="str">
        <f>T141</f>
        <v>No</v>
      </c>
      <c r="X141" s="147">
        <f>IF(OR(W141="No",W141=""),V141,W141)</f>
        <v>1</v>
      </c>
      <c r="Y141" s="38">
        <f>VLOOKUP(H141,'Machine List'!$A$1:$C$138,3,FALSE)</f>
        <v>1</v>
      </c>
      <c r="Z141" s="38">
        <f>VLOOKUP(H141,'Machine List'!$A$1:$D$138,4,FALSE)</f>
        <v>1</v>
      </c>
      <c r="AA141" s="168" t="s">
        <v>390</v>
      </c>
      <c r="AB141" s="147">
        <f>VLOOKUP(AA141,'Item Helper Sheet'!$A$2:$B$16,2,FALSE)</f>
        <v>1</v>
      </c>
      <c r="AC141" s="147">
        <v>24.0</v>
      </c>
      <c r="AD141" s="147">
        <f>10.9*20</f>
        <v>218</v>
      </c>
      <c r="AE141" s="147">
        <f>AD141*I143</f>
        <v>1012392</v>
      </c>
      <c r="AF141" s="147">
        <f>AC141*AE141</f>
        <v>24297408</v>
      </c>
      <c r="AG141" s="148"/>
      <c r="AH141" s="147" t="str">
        <f>AA141</f>
        <v>01 - LV</v>
      </c>
      <c r="AI141" s="147">
        <v>1.0</v>
      </c>
      <c r="AJ141" s="147">
        <v>1.0</v>
      </c>
      <c r="AK141" s="147">
        <f>AJ141*8*4^AB141</f>
        <v>32</v>
      </c>
      <c r="AL141" s="147">
        <f>MIN(ROUNDDOWN(AK141/AN141,0),U141)</f>
        <v>1</v>
      </c>
      <c r="AM141" s="147">
        <f>IF(OR(T141="No",T141=""),AI141*S141,AI141*T141)</f>
        <v>1</v>
      </c>
      <c r="AN141" s="147">
        <f>ROUNDUP(AC141*VLOOKUP(H141,'Machine List'!$A$2:$D$219,4,FALSE),0)</f>
        <v>24</v>
      </c>
      <c r="AO141" s="147">
        <f>AN141*AM141</f>
        <v>24</v>
      </c>
      <c r="AP141" s="147">
        <f>ROUNDUP(AD141*I143,0)</f>
        <v>1012392</v>
      </c>
      <c r="AQ141" s="38">
        <f>IF(ISNUMBER(Y141),ROUNDUP(AP141/Y141,0),
  SWITCH(
      Y141,
      "1+0.5C",ROUNDUP(AP141/(1+0.5*VLOOKUP(J143,'Machine Helper Sheet'!$G$1:$K$16,2,FALSE)),0),
      ROUNDUP(AP141/1,0)
  )
)</f>
        <v>1012392</v>
      </c>
      <c r="AR141" s="147">
        <f>ROUNDUP(AQ141/AM141,0)</f>
        <v>1012392</v>
      </c>
      <c r="AS141" s="147">
        <f>AO141*AR141</f>
        <v>24297408</v>
      </c>
      <c r="AT141" s="148"/>
      <c r="AU141" s="168" t="s">
        <v>405</v>
      </c>
      <c r="AV141" s="147">
        <f>VLOOKUP(AU141,'Item Helper Sheet'!$A$2:$B$16,2,FALSE)</f>
        <v>5</v>
      </c>
      <c r="AW141" s="147">
        <f>AI141</f>
        <v>1</v>
      </c>
      <c r="AX141" s="147">
        <v>1.0</v>
      </c>
      <c r="AY141" s="147">
        <f>AX141*8*4^AV141</f>
        <v>8192</v>
      </c>
      <c r="AZ141" s="147">
        <f>MIN(ROUNDDOWN(AY141/AN141,0),X141)</f>
        <v>1</v>
      </c>
      <c r="BA141" s="147">
        <f>AZ141*AW141</f>
        <v>1</v>
      </c>
      <c r="BB141" s="147">
        <f>AN141</f>
        <v>24</v>
      </c>
      <c r="BC141" s="147">
        <f>MIN(AV141-AB141,IF(AY141&gt;=BB142*4,
IF(AY141&gt;=BB142*4^2,
IF(AY141&gt;=BB142*4^3,
IF(AY141&gt;=BB142*4^4,
IF(AY141&gt;=BB142*4^5,
IF(AY141&gt;=BB142*4^6,
IF(AY141&gt;=BB142*4^7,
IF(AY141&gt;=BB142*4^8,
IF(AY141&gt;=BB142*4^9,
IF(AY141&gt;=BB142*4^10,
9),
8),
7),
6),
5),
4),
3),
2),
1),
0))</f>
        <v>4</v>
      </c>
      <c r="BD141" s="147">
        <f>BB141*AZ141*4^BC141</f>
        <v>6144</v>
      </c>
      <c r="BE141" s="147">
        <f>BD141*AW141</f>
        <v>6144</v>
      </c>
      <c r="BF141" s="143">
        <f>ROUNDUP(IF(R141="Yes",AP141/(2^((BC141)*2)),AP141/(2^(BC141))),0)</f>
        <v>63275</v>
      </c>
      <c r="BG141" s="45">
        <f>IF(ISNUMBER(Y141),ROUNDUP(BF141/Y141,0),
  SWITCH(
      Y141,
      "1+0.5C",ROUNDUP(BF141/(1+0.5*VLOOKUP(J143,'Machine Helper Sheet'!$G$1:$K$16,2,FALSE)),0),
      ROUNDUP(BF141/1,0)
  )
)</f>
        <v>63275</v>
      </c>
      <c r="BH141" s="143">
        <f>ROUNDUP(BG141/BA141,0)</f>
        <v>63275</v>
      </c>
      <c r="BI141" s="149">
        <f>BH141*BE141</f>
        <v>388761600</v>
      </c>
      <c r="BK141" s="22"/>
      <c r="BM141" s="6" t="s">
        <v>788</v>
      </c>
      <c r="BN141" s="6"/>
      <c r="BO141" s="6"/>
      <c r="BP141" s="6"/>
      <c r="BQ141" s="6"/>
      <c r="BR141" s="6"/>
      <c r="BS141" s="6">
        <v>1.0</v>
      </c>
      <c r="BT141" s="6"/>
      <c r="BU141" s="6"/>
      <c r="BV141" s="6"/>
      <c r="BW141" s="6"/>
      <c r="BX141" s="6"/>
      <c r="BY141" s="6"/>
      <c r="BZ141" s="6">
        <v>1.0</v>
      </c>
    </row>
    <row r="142">
      <c r="B142" s="150"/>
      <c r="C142" s="169" t="s">
        <v>59</v>
      </c>
      <c r="D142" s="147">
        <f>1*I143</f>
        <v>4644</v>
      </c>
      <c r="E142" s="168" t="s">
        <v>58</v>
      </c>
      <c r="F142" s="152">
        <f>4*I143</f>
        <v>18576</v>
      </c>
      <c r="G142" s="138"/>
      <c r="H142" s="153" t="s">
        <v>584</v>
      </c>
      <c r="I142" s="45">
        <f t="array" ref="I142">match(TRUE,ISBLANK(F142:F157),0)-1</f>
        <v>1</v>
      </c>
      <c r="J142" s="154" t="s">
        <v>420</v>
      </c>
      <c r="K142" s="154" t="s">
        <v>585</v>
      </c>
      <c r="L142" s="100" t="s">
        <v>704</v>
      </c>
      <c r="M142" s="147"/>
      <c r="N142" s="147"/>
      <c r="O142" s="147"/>
      <c r="P142" s="147"/>
      <c r="Q142" s="147"/>
      <c r="R142" s="155"/>
      <c r="S142" s="155"/>
      <c r="T142" s="155"/>
      <c r="U142" s="143"/>
      <c r="V142" s="143"/>
      <c r="W142" s="143"/>
      <c r="X142" s="143"/>
      <c r="Y142" s="143"/>
      <c r="Z142" s="143"/>
      <c r="AA142" s="143"/>
      <c r="AB142" s="143"/>
      <c r="AC142" s="143"/>
      <c r="AD142" s="143"/>
      <c r="AE142" s="143"/>
      <c r="AF142" s="143"/>
      <c r="AG142" s="156"/>
      <c r="AH142" s="143"/>
      <c r="AI142" s="143"/>
      <c r="AJ142" s="143"/>
      <c r="AK142" s="143"/>
      <c r="AL142" s="143"/>
      <c r="AM142" s="143"/>
      <c r="AN142" s="143"/>
      <c r="AO142" s="143"/>
      <c r="AP142" s="143"/>
      <c r="AQ142" s="143"/>
      <c r="AR142" s="143"/>
      <c r="AS142" s="143"/>
      <c r="AT142" s="156"/>
      <c r="AU142" s="143"/>
      <c r="AV142" s="143"/>
      <c r="AW142" s="143"/>
      <c r="AX142" s="143"/>
      <c r="AY142" s="143"/>
      <c r="AZ142" s="143"/>
      <c r="BA142" s="143"/>
      <c r="BB142" s="143">
        <f>BB141*AZ141</f>
        <v>24</v>
      </c>
      <c r="BC142" s="143"/>
      <c r="BD142" s="143"/>
      <c r="BE142" s="143"/>
      <c r="BF142" s="143"/>
      <c r="BG142" s="143"/>
      <c r="BH142" s="143"/>
      <c r="BI142" s="149"/>
      <c r="BK142" s="22"/>
      <c r="BM142" s="140" t="s">
        <v>789</v>
      </c>
      <c r="BN142" s="6"/>
      <c r="BO142" s="6"/>
      <c r="BP142" s="6"/>
      <c r="BQ142" s="6"/>
      <c r="BR142" s="6"/>
      <c r="BS142" s="6"/>
      <c r="BT142" s="6"/>
      <c r="BU142" s="6"/>
      <c r="BV142" s="140">
        <v>1.0</v>
      </c>
      <c r="BW142" s="6"/>
      <c r="BX142" s="6"/>
      <c r="BY142" s="6"/>
      <c r="BZ142" s="140">
        <v>1.0</v>
      </c>
    </row>
    <row r="143">
      <c r="B143" s="150"/>
      <c r="C143" s="151"/>
      <c r="D143" s="147"/>
      <c r="E143" s="147"/>
      <c r="F143" s="152"/>
      <c r="G143" s="138"/>
      <c r="H143" s="157" t="s">
        <v>502</v>
      </c>
      <c r="I143" s="170">
        <v>4644.0</v>
      </c>
      <c r="J143" s="154" t="s">
        <v>424</v>
      </c>
      <c r="K143" s="154">
        <v>0.0</v>
      </c>
      <c r="L143" s="100">
        <v>0.0</v>
      </c>
      <c r="M143" s="143"/>
      <c r="N143" s="143"/>
      <c r="O143" s="143"/>
      <c r="P143" s="143"/>
      <c r="Q143" s="143"/>
      <c r="R143" s="143"/>
      <c r="S143" s="155"/>
      <c r="T143" s="155"/>
      <c r="U143" s="143"/>
      <c r="V143" s="143"/>
      <c r="W143" s="143"/>
      <c r="X143" s="143"/>
      <c r="Y143" s="143"/>
      <c r="Z143" s="143"/>
      <c r="AA143" s="143"/>
      <c r="AB143" s="143"/>
      <c r="AC143" s="143"/>
      <c r="AD143" s="143"/>
      <c r="AE143" s="143"/>
      <c r="AF143" s="143"/>
      <c r="AG143" s="156"/>
      <c r="AH143" s="143"/>
      <c r="AI143" s="143"/>
      <c r="AJ143" s="143"/>
      <c r="AK143" s="143"/>
      <c r="AL143" s="143"/>
      <c r="AM143" s="143"/>
      <c r="AN143" s="143"/>
      <c r="AO143" s="143"/>
      <c r="AP143" s="143"/>
      <c r="AQ143" s="143"/>
      <c r="AR143" s="143"/>
      <c r="AS143" s="143"/>
      <c r="AT143" s="156"/>
      <c r="AU143" s="143"/>
      <c r="AV143" s="143"/>
      <c r="AW143" s="143"/>
      <c r="AX143" s="143"/>
      <c r="AY143" s="143"/>
      <c r="AZ143" s="143"/>
      <c r="BA143" s="143"/>
      <c r="BB143" s="143"/>
      <c r="BC143" s="143"/>
      <c r="BD143" s="143"/>
      <c r="BE143" s="143"/>
      <c r="BF143" s="143"/>
      <c r="BG143" s="143"/>
      <c r="BH143" s="143"/>
      <c r="BI143" s="149"/>
      <c r="BK143" s="22"/>
      <c r="BM143" s="140" t="s">
        <v>790</v>
      </c>
      <c r="BN143" s="6"/>
      <c r="BO143" s="6"/>
      <c r="BP143" s="140">
        <v>1.0</v>
      </c>
      <c r="BQ143" s="6"/>
      <c r="BR143" s="6"/>
      <c r="BS143" s="6"/>
      <c r="BT143" s="6"/>
      <c r="BU143" s="6"/>
      <c r="BV143" s="6"/>
      <c r="BW143" s="6"/>
      <c r="BX143" s="6"/>
      <c r="BY143" s="6"/>
      <c r="BZ143" s="140">
        <v>1.0</v>
      </c>
    </row>
    <row r="144">
      <c r="B144" s="135"/>
      <c r="C144" s="136"/>
      <c r="D144" s="137"/>
      <c r="E144" s="137"/>
      <c r="F144" s="137"/>
      <c r="G144" s="138"/>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8"/>
      <c r="AH144" s="137"/>
      <c r="AI144" s="137"/>
      <c r="AJ144" s="137"/>
      <c r="AK144" s="137"/>
      <c r="AL144" s="137"/>
      <c r="AM144" s="137"/>
      <c r="AN144" s="137"/>
      <c r="AO144" s="137"/>
      <c r="AP144" s="137"/>
      <c r="AQ144" s="137"/>
      <c r="AR144" s="137"/>
      <c r="AS144" s="137"/>
      <c r="AT144" s="138"/>
      <c r="AU144" s="137"/>
      <c r="AV144" s="137"/>
      <c r="AW144" s="137"/>
      <c r="AX144" s="137"/>
      <c r="AY144" s="137"/>
      <c r="AZ144" s="137"/>
      <c r="BA144" s="137"/>
      <c r="BB144" s="137"/>
      <c r="BC144" s="137"/>
      <c r="BD144" s="137"/>
      <c r="BE144" s="137"/>
      <c r="BF144" s="137"/>
      <c r="BG144" s="137"/>
      <c r="BH144" s="137"/>
      <c r="BI144" s="139"/>
      <c r="BK144" s="22"/>
      <c r="BM144" s="140" t="s">
        <v>791</v>
      </c>
      <c r="BN144" s="6"/>
      <c r="BO144" s="6"/>
      <c r="BP144" s="140">
        <v>1.0</v>
      </c>
      <c r="BQ144" s="6"/>
      <c r="BR144" s="6"/>
      <c r="BS144" s="6"/>
      <c r="BT144" s="6"/>
      <c r="BU144" s="6"/>
      <c r="BV144" s="6"/>
      <c r="BW144" s="6"/>
      <c r="BX144" s="6"/>
      <c r="BY144" s="6"/>
      <c r="BZ144" s="140">
        <v>1.0</v>
      </c>
    </row>
    <row r="145">
      <c r="B145" s="141" t="s">
        <v>813</v>
      </c>
      <c r="C145" s="142"/>
      <c r="D145" s="143"/>
      <c r="E145" s="143"/>
      <c r="F145" s="144"/>
      <c r="G145" s="145"/>
      <c r="H145" s="167" t="s">
        <v>379</v>
      </c>
      <c r="I145" s="147" t="str">
        <f>VLOOKUP(H145,'Machine List'!$A$1:$I$300,9,FALSE)</f>
        <v>1T</v>
      </c>
      <c r="J145" s="147">
        <f>IF(VLOOKUP(H145,'Machine List'!$A$1:$I$300,5,FALSE)="Multi",IF(VLOOKUP(H145,'Machine List'!$A$1:$I$300,6,FALSE)="Yes",AI145*3*10^AB145,AI145*(2*3)*10^(AB145-1)),0)</f>
        <v>0</v>
      </c>
      <c r="K145" s="147">
        <f>J145+IF(ISNUMBER(I145),I145,
  SWITCH(
      I145,
      "1T",1*10^AB145,
      "2T",2*10^AB145,
      "3T",3*10^AB145,
      "4T",4*10^AB145,
      "4000+500(7O-5)",4000+500*(7*I146-5),
      "13500 + 16C",13500+16*VLOOKUP(J147,'Machine Helper Sheet'!$G$1:$K$16,5,FALSE),
      1
  )
)</f>
        <v>100</v>
      </c>
      <c r="L145" s="147">
        <f>IF(VLOOKUP(H145,'Machine List'!$A$1:$I$300,5,FALSE)="Multi",IF(VLOOKUP(H145,'Machine List'!$A$1:$I$300,6,FALSE)="Yes",AW145*3*10^AV145,AW145*(2*3)*10^(AV145-1)),0)</f>
        <v>0</v>
      </c>
      <c r="M145" s="147">
        <f>L145+IF(ISNUMBER(I145),I145,
  SWITCH(
      I145,
      "1T",1*10^AV145,
      "2T",2*10^AV145,
      "3T",3*10^AV145,
      "4T",4*10^AV145,
      "4000+500(7O-5)",4000+500*(7*I146-5),
      1
  )
)</f>
        <v>100000</v>
      </c>
      <c r="N145" s="147" t="str">
        <f>VLOOKUP(H145,'Machine List'!$A$1:$I$300,8,FALSE)</f>
        <v>Tier</v>
      </c>
      <c r="O145" s="147">
        <f>IF(ISNUMBER(N145),N145,10^AB145)</f>
        <v>100</v>
      </c>
      <c r="P145" s="147">
        <f>IF(ISNUMBER(N145),N145,10^AV145)</f>
        <v>100000</v>
      </c>
      <c r="Q145" s="147">
        <f>VLOOKUP(H145,'Machine List'!$A$1:$B$138,2,FALSE)</f>
        <v>1</v>
      </c>
      <c r="R145" s="147" t="s">
        <v>277</v>
      </c>
      <c r="S145" s="143">
        <f>IF(ISNUMBER(Q145),Q145,
  SWITCH(
      Q145,
      "1",1,
      "2T",AB145*2,
      "4T",AB145*4,
      "6T",AB145*6,
      "8T",AB145*8,
      "10T",AB145*10,
      "12T",AB145*12,
      "14T",AB145*14,
      "16T",AB145*16,
      "24T",AB145*24,
      "2(T+1)",2*(AB145+1),
      "1T*C",AB145*J147,
      "2*P",L147*2,
      1
  )
)</f>
        <v>1</v>
      </c>
      <c r="T145" s="38" t="s">
        <v>277</v>
      </c>
      <c r="U145" s="147">
        <f>IF(OR(T145="No",T145=""),S145,T145)</f>
        <v>1</v>
      </c>
      <c r="V145" s="147">
        <f>IF(ISNUMBER(Q145),Q145,
  SWITCH(
      Q145,
      "1",1,
      "2T",AV145*2,
      "4T",AV145*4,
      "6T",AV145*6,
      "8T",AV145*8,
      "10T",AV145*10,
      "12T",AV145*12,
      "14T",AV145*14,
      "16T",AV145*16,
      "24T",AV145*24,
      "2(T+1)",2*(AV145+1),
      "1T*C",AV145*J147,
      "2*P",L147*2,
      1
  )
)</f>
        <v>1</v>
      </c>
      <c r="W145" s="147" t="str">
        <f>T145</f>
        <v>No</v>
      </c>
      <c r="X145" s="147">
        <f>IF(OR(W145="No",W145=""),V145,W145)</f>
        <v>1</v>
      </c>
      <c r="Y145" s="38">
        <f>VLOOKUP(H145,'Machine List'!$A$1:$C$138,3,FALSE)</f>
        <v>1</v>
      </c>
      <c r="Z145" s="38">
        <f>VLOOKUP(H145,'Machine List'!$A$1:$D$138,4,FALSE)</f>
        <v>1</v>
      </c>
      <c r="AA145" s="168" t="s">
        <v>393</v>
      </c>
      <c r="AB145" s="147">
        <f>VLOOKUP(AA145,'Item Helper Sheet'!$A$2:$B$16,2,FALSE)</f>
        <v>2</v>
      </c>
      <c r="AC145" s="147">
        <v>120.0</v>
      </c>
      <c r="AD145" s="147">
        <f>60*20</f>
        <v>1200</v>
      </c>
      <c r="AE145" s="147">
        <f>AD145*I147</f>
        <v>72000</v>
      </c>
      <c r="AF145" s="147">
        <f>AC145*AE145</f>
        <v>8640000</v>
      </c>
      <c r="AG145" s="148"/>
      <c r="AH145" s="147" t="str">
        <f>AA145</f>
        <v>02 - MV</v>
      </c>
      <c r="AI145" s="147">
        <v>1.0</v>
      </c>
      <c r="AJ145" s="147">
        <v>1.0</v>
      </c>
      <c r="AK145" s="147">
        <f>AJ145*8*4^AB145</f>
        <v>128</v>
      </c>
      <c r="AL145" s="147">
        <f>MIN(ROUNDDOWN(AK145/AN145,0),U145)</f>
        <v>1</v>
      </c>
      <c r="AM145" s="147">
        <f>IF(OR(T145="No",T145=""),AI145*S145,AI145*T145)</f>
        <v>1</v>
      </c>
      <c r="AN145" s="147">
        <f>ROUNDUP(AC145*VLOOKUP(H145,'Machine List'!$A$2:$D$219,4,FALSE),0)</f>
        <v>120</v>
      </c>
      <c r="AO145" s="147">
        <f>AN145*AM145</f>
        <v>120</v>
      </c>
      <c r="AP145" s="147">
        <f>ROUNDUP(AD145*I147,0)</f>
        <v>72000</v>
      </c>
      <c r="AQ145" s="38">
        <f>IF(ISNUMBER(Y145),ROUNDUP(AP145/Y145,0),
  SWITCH(
      Y145,
      "1+0.5C",ROUNDUP(AP145/(1+0.5*VLOOKUP(J147,'Machine Helper Sheet'!$G$1:$K$16,2,FALSE)),0),
      ROUNDUP(AP145/1,0)
  )
)</f>
        <v>72000</v>
      </c>
      <c r="AR145" s="147">
        <f>ROUNDUP(AQ145/AM145,0)</f>
        <v>72000</v>
      </c>
      <c r="AS145" s="147">
        <f>AO145*AR145</f>
        <v>8640000</v>
      </c>
      <c r="AT145" s="148"/>
      <c r="AU145" s="168" t="s">
        <v>405</v>
      </c>
      <c r="AV145" s="147">
        <f>VLOOKUP(AU145,'Item Helper Sheet'!$A$2:$B$16,2,FALSE)</f>
        <v>5</v>
      </c>
      <c r="AW145" s="147">
        <f>AI145</f>
        <v>1</v>
      </c>
      <c r="AX145" s="147">
        <v>1.0</v>
      </c>
      <c r="AY145" s="147">
        <f>AX145*8*4^AV145</f>
        <v>8192</v>
      </c>
      <c r="AZ145" s="147">
        <f>MIN(ROUNDDOWN(AY145/AN145,0),X145)</f>
        <v>1</v>
      </c>
      <c r="BA145" s="147">
        <f>AZ145*AW145</f>
        <v>1</v>
      </c>
      <c r="BB145" s="147">
        <f>AN145</f>
        <v>120</v>
      </c>
      <c r="BC145" s="147">
        <f>MIN(AV145-AB145,IF(AY145&gt;=BB146*4,
IF(AY145&gt;=BB146*4^2,
IF(AY145&gt;=BB146*4^3,
IF(AY145&gt;=BB146*4^4,
IF(AY145&gt;=BB146*4^5,
IF(AY145&gt;=BB146*4^6,
IF(AY145&gt;=BB146*4^7,
IF(AY145&gt;=BB146*4^8,
IF(AY145&gt;=BB146*4^9,
IF(AY145&gt;=BB146*4^10,
9),
8),
7),
6),
5),
4),
3),
2),
1),
0))</f>
        <v>3</v>
      </c>
      <c r="BD145" s="147">
        <f>BB145*AZ145*4^BC145</f>
        <v>7680</v>
      </c>
      <c r="BE145" s="147">
        <f>BD145*AW145</f>
        <v>7680</v>
      </c>
      <c r="BF145" s="143">
        <f>ROUNDUP(IF(R145="Yes",AP145/(2^((BC145)*2)),AP145/(2^(BC145))),0)</f>
        <v>9000</v>
      </c>
      <c r="BG145" s="45">
        <f>IF(ISNUMBER(Y145),ROUNDUP(BF145/Y145,0),
  SWITCH(
      Y145,
      "1+0.5C",ROUNDUP(BF145/(1+0.5*VLOOKUP(J147,'Machine Helper Sheet'!$G$1:$K$16,2,FALSE)),0),
      ROUNDUP(BF145/1,0)
  )
)</f>
        <v>9000</v>
      </c>
      <c r="BH145" s="143">
        <f>ROUNDUP(BG145/BA145,0)</f>
        <v>9000</v>
      </c>
      <c r="BI145" s="149">
        <f>BH145*BE145</f>
        <v>69120000</v>
      </c>
      <c r="BK145" s="22"/>
      <c r="BM145" s="140" t="s">
        <v>792</v>
      </c>
      <c r="BN145" s="6"/>
      <c r="BO145" s="6"/>
      <c r="BP145" s="140">
        <v>1.0</v>
      </c>
      <c r="BQ145" s="6"/>
      <c r="BR145" s="6"/>
      <c r="BS145" s="6"/>
      <c r="BT145" s="6"/>
      <c r="BU145" s="6"/>
      <c r="BV145" s="6"/>
      <c r="BW145" s="6"/>
      <c r="BX145" s="6"/>
      <c r="BY145" s="6"/>
      <c r="BZ145" s="140">
        <v>1.0</v>
      </c>
    </row>
    <row r="146">
      <c r="B146" s="150"/>
      <c r="C146" s="169" t="s">
        <v>151</v>
      </c>
      <c r="D146" s="147">
        <f>1*I147</f>
        <v>60</v>
      </c>
      <c r="E146" s="168" t="s">
        <v>176</v>
      </c>
      <c r="F146" s="152">
        <f>4*I147</f>
        <v>240</v>
      </c>
      <c r="G146" s="138"/>
      <c r="H146" s="153" t="s">
        <v>584</v>
      </c>
      <c r="I146" s="45">
        <f t="array" ref="I146">match(TRUE,ISBLANK(F146:F161),0)-1</f>
        <v>1</v>
      </c>
      <c r="J146" s="154" t="s">
        <v>420</v>
      </c>
      <c r="K146" s="154" t="s">
        <v>585</v>
      </c>
      <c r="L146" s="100" t="s">
        <v>704</v>
      </c>
      <c r="M146" s="147"/>
      <c r="N146" s="147"/>
      <c r="O146" s="147"/>
      <c r="P146" s="147"/>
      <c r="Q146" s="147"/>
      <c r="R146" s="155"/>
      <c r="S146" s="155"/>
      <c r="T146" s="155"/>
      <c r="U146" s="143"/>
      <c r="V146" s="143"/>
      <c r="W146" s="143"/>
      <c r="X146" s="143"/>
      <c r="Y146" s="143"/>
      <c r="Z146" s="143"/>
      <c r="AA146" s="143"/>
      <c r="AB146" s="143"/>
      <c r="AC146" s="143"/>
      <c r="AD146" s="143"/>
      <c r="AE146" s="143"/>
      <c r="AF146" s="143"/>
      <c r="AG146" s="156"/>
      <c r="AH146" s="143"/>
      <c r="AI146" s="143"/>
      <c r="AJ146" s="143"/>
      <c r="AK146" s="143"/>
      <c r="AL146" s="143"/>
      <c r="AM146" s="143"/>
      <c r="AN146" s="143"/>
      <c r="AO146" s="143"/>
      <c r="AP146" s="143"/>
      <c r="AQ146" s="143"/>
      <c r="AR146" s="143"/>
      <c r="AS146" s="143"/>
      <c r="AT146" s="156"/>
      <c r="AU146" s="143"/>
      <c r="AV146" s="143"/>
      <c r="AW146" s="143"/>
      <c r="AX146" s="143"/>
      <c r="AY146" s="143"/>
      <c r="AZ146" s="143"/>
      <c r="BA146" s="143"/>
      <c r="BB146" s="143">
        <f>BB145*AZ145</f>
        <v>120</v>
      </c>
      <c r="BC146" s="143"/>
      <c r="BD146" s="143"/>
      <c r="BE146" s="143"/>
      <c r="BF146" s="143"/>
      <c r="BG146" s="143"/>
      <c r="BH146" s="143"/>
      <c r="BI146" s="149"/>
      <c r="BK146" s="22"/>
      <c r="BM146" s="140" t="s">
        <v>793</v>
      </c>
      <c r="BN146" s="6"/>
      <c r="BO146" s="6"/>
      <c r="BP146" s="6"/>
      <c r="BQ146" s="6"/>
      <c r="BR146" s="6"/>
      <c r="BS146" s="6"/>
      <c r="BT146" s="6"/>
      <c r="BU146" s="6"/>
      <c r="BV146" s="6"/>
      <c r="BW146" s="6"/>
      <c r="BX146" s="6"/>
      <c r="BY146" s="140">
        <v>1.0</v>
      </c>
      <c r="BZ146" s="140">
        <v>1.0</v>
      </c>
    </row>
    <row r="147">
      <c r="B147" s="150"/>
      <c r="C147" s="151"/>
      <c r="D147" s="147"/>
      <c r="E147" s="147"/>
      <c r="F147" s="152"/>
      <c r="G147" s="138"/>
      <c r="H147" s="157" t="s">
        <v>502</v>
      </c>
      <c r="I147" s="170">
        <v>60.0</v>
      </c>
      <c r="J147" s="154" t="s">
        <v>424</v>
      </c>
      <c r="K147" s="154">
        <v>0.0</v>
      </c>
      <c r="L147" s="100">
        <v>0.0</v>
      </c>
      <c r="M147" s="143"/>
      <c r="N147" s="143"/>
      <c r="O147" s="143"/>
      <c r="P147" s="143"/>
      <c r="Q147" s="143"/>
      <c r="R147" s="143"/>
      <c r="S147" s="155"/>
      <c r="T147" s="155"/>
      <c r="U147" s="143"/>
      <c r="V147" s="143"/>
      <c r="W147" s="143"/>
      <c r="X147" s="143"/>
      <c r="Y147" s="143"/>
      <c r="Z147" s="143"/>
      <c r="AA147" s="143"/>
      <c r="AB147" s="143"/>
      <c r="AC147" s="143"/>
      <c r="AD147" s="143"/>
      <c r="AE147" s="143"/>
      <c r="AF147" s="143"/>
      <c r="AG147" s="156"/>
      <c r="AH147" s="143"/>
      <c r="AI147" s="143"/>
      <c r="AJ147" s="143"/>
      <c r="AK147" s="143"/>
      <c r="AL147" s="143"/>
      <c r="AM147" s="143"/>
      <c r="AN147" s="143"/>
      <c r="AO147" s="143"/>
      <c r="AP147" s="143"/>
      <c r="AQ147" s="143"/>
      <c r="AR147" s="143"/>
      <c r="AS147" s="143"/>
      <c r="AT147" s="156"/>
      <c r="AU147" s="143"/>
      <c r="AV147" s="143"/>
      <c r="AW147" s="143"/>
      <c r="AX147" s="143"/>
      <c r="AY147" s="143"/>
      <c r="AZ147" s="143"/>
      <c r="BA147" s="143"/>
      <c r="BB147" s="143"/>
      <c r="BC147" s="143"/>
      <c r="BD147" s="143"/>
      <c r="BE147" s="143"/>
      <c r="BF147" s="143"/>
      <c r="BG147" s="143"/>
      <c r="BH147" s="143"/>
      <c r="BI147" s="149"/>
      <c r="BK147" s="22"/>
      <c r="BM147" s="140" t="s">
        <v>794</v>
      </c>
      <c r="BN147" s="6"/>
      <c r="BO147" s="6"/>
      <c r="BP147" s="6"/>
      <c r="BQ147" s="6"/>
      <c r="BR147" s="6"/>
      <c r="BS147" s="6"/>
      <c r="BT147" s="6"/>
      <c r="BU147" s="6"/>
      <c r="BV147" s="6"/>
      <c r="BW147" s="6"/>
      <c r="BX147" s="6"/>
      <c r="BY147" s="140">
        <v>1.0</v>
      </c>
      <c r="BZ147" s="140">
        <v>1.0</v>
      </c>
    </row>
    <row r="148">
      <c r="B148" s="135"/>
      <c r="C148" s="136"/>
      <c r="D148" s="137"/>
      <c r="E148" s="137"/>
      <c r="F148" s="137"/>
      <c r="G148" s="138"/>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8"/>
      <c r="AH148" s="137"/>
      <c r="AI148" s="137"/>
      <c r="AJ148" s="137"/>
      <c r="AK148" s="137"/>
      <c r="AL148" s="137"/>
      <c r="AM148" s="137"/>
      <c r="AN148" s="137"/>
      <c r="AO148" s="137"/>
      <c r="AP148" s="137"/>
      <c r="AQ148" s="137"/>
      <c r="AR148" s="137"/>
      <c r="AS148" s="137"/>
      <c r="AT148" s="138"/>
      <c r="AU148" s="137"/>
      <c r="AV148" s="137"/>
      <c r="AW148" s="137"/>
      <c r="AX148" s="137"/>
      <c r="AY148" s="137"/>
      <c r="AZ148" s="137"/>
      <c r="BA148" s="137"/>
      <c r="BB148" s="137"/>
      <c r="BC148" s="137"/>
      <c r="BD148" s="137"/>
      <c r="BE148" s="137"/>
      <c r="BF148" s="137"/>
      <c r="BG148" s="137"/>
      <c r="BH148" s="137"/>
      <c r="BI148" s="139"/>
      <c r="BK148" s="22"/>
      <c r="BM148" s="140" t="s">
        <v>795</v>
      </c>
      <c r="BN148" s="140">
        <v>1.0</v>
      </c>
      <c r="BO148" s="6"/>
      <c r="BP148" s="6"/>
      <c r="BQ148" s="6"/>
      <c r="BR148" s="6"/>
      <c r="BS148" s="6"/>
      <c r="BT148" s="6"/>
      <c r="BU148" s="6"/>
      <c r="BV148" s="6"/>
      <c r="BW148" s="6"/>
      <c r="BX148" s="6"/>
      <c r="BY148" s="6"/>
      <c r="BZ148" s="140">
        <v>1.0</v>
      </c>
    </row>
    <row r="149">
      <c r="B149" s="141" t="s">
        <v>814</v>
      </c>
      <c r="C149" s="142"/>
      <c r="D149" s="143"/>
      <c r="E149" s="143"/>
      <c r="F149" s="144"/>
      <c r="G149" s="145"/>
      <c r="H149" s="167" t="s">
        <v>295</v>
      </c>
      <c r="I149" s="147" t="str">
        <f>VLOOKUP(H149,'Machine List'!$A$1:$I$300,9,FALSE)</f>
        <v>1T</v>
      </c>
      <c r="J149" s="147">
        <f>IF(VLOOKUP(H149,'Machine List'!$A$1:$I$300,5,FALSE)="Multi",IF(VLOOKUP(H149,'Machine List'!$A$1:$I$300,6,FALSE)="Yes",AI149*3*10^AB149,AI149*(2*3)*10^(AB149-1)),0)</f>
        <v>0</v>
      </c>
      <c r="K149" s="147">
        <f>J149+IF(ISNUMBER(I149),I149,
  SWITCH(
      I149,
      "1T",1*10^AB149,
      "2T",2*10^AB149,
      "3T",3*10^AB149,
      "4T",4*10^AB149,
      "4000+500(7O-5)",4000+500*(7*I150-5),
      "13500 + 16C",13500+16*VLOOKUP(J151,'Machine Helper Sheet'!$G$1:$K$16,5,FALSE),
      1
  )
)</f>
        <v>100</v>
      </c>
      <c r="L149" s="147">
        <f>IF(VLOOKUP(H149,'Machine List'!$A$1:$I$300,5,FALSE)="Multi",IF(VLOOKUP(H149,'Machine List'!$A$1:$I$300,6,FALSE)="Yes",AW149*3*10^AV149,AW149*(2*3)*10^(AV149-1)),0)</f>
        <v>0</v>
      </c>
      <c r="M149" s="147">
        <f>L149+IF(ISNUMBER(I149),I149,
  SWITCH(
      I149,
      "1T",1*10^AV149,
      "2T",2*10^AV149,
      "3T",3*10^AV149,
      "4T",4*10^AV149,
      "4000+500(7O-5)",4000+500*(7*I150-5),
      1
  )
)</f>
        <v>100000</v>
      </c>
      <c r="N149" s="147" t="str">
        <f>VLOOKUP(H149,'Machine List'!$A$1:$I$300,8,FALSE)</f>
        <v>Tier</v>
      </c>
      <c r="O149" s="147">
        <f>IF(ISNUMBER(N149),N149,10^AB149)</f>
        <v>100</v>
      </c>
      <c r="P149" s="147">
        <f>IF(ISNUMBER(N149),N149,10^AV149)</f>
        <v>100000</v>
      </c>
      <c r="Q149" s="147">
        <f>VLOOKUP(H149,'Machine List'!$A$1:$B$138,2,FALSE)</f>
        <v>1</v>
      </c>
      <c r="R149" s="147" t="s">
        <v>277</v>
      </c>
      <c r="S149" s="143">
        <f>IF(ISNUMBER(Q149),Q149,
  SWITCH(
      Q149,
      "1",1,
      "2T",AB149*2,
      "4T",AB149*4,
      "6T",AB149*6,
      "8T",AB149*8,
      "10T",AB149*10,
      "12T",AB149*12,
      "14T",AB149*14,
      "16T",AB149*16,
      "24T",AB149*24,
      "2(T+1)",2*(AB149+1),
      "1T*C",AB149*J151,
      "2*P",L151*2,
      1
  )
)</f>
        <v>1</v>
      </c>
      <c r="T149" s="38" t="s">
        <v>277</v>
      </c>
      <c r="U149" s="147">
        <f>IF(OR(T149="No",T149=""),S149,T149)</f>
        <v>1</v>
      </c>
      <c r="V149" s="147">
        <f>IF(ISNUMBER(Q149),Q149,
  SWITCH(
      Q149,
      "1",1,
      "2T",AV149*2,
      "4T",AV149*4,
      "6T",AV149*6,
      "8T",AV149*8,
      "10T",AV149*10,
      "12T",AV149*12,
      "14T",AV149*14,
      "16T",AV149*16,
      "24T",AV149*24,
      "2(T+1)",2*(AV149+1),
      "1T*C",AV149*J151,
      "2*P",L151*2,
      1
  )
)</f>
        <v>1</v>
      </c>
      <c r="W149" s="147" t="str">
        <f>T149</f>
        <v>No</v>
      </c>
      <c r="X149" s="147">
        <f>IF(OR(W149="No",W149=""),V149,W149)</f>
        <v>1</v>
      </c>
      <c r="Y149" s="38">
        <f>VLOOKUP(H149,'Machine List'!$A$1:$C$138,3,FALSE)</f>
        <v>1</v>
      </c>
      <c r="Z149" s="38">
        <f>VLOOKUP(H149,'Machine List'!$A$1:$D$138,4,FALSE)</f>
        <v>1</v>
      </c>
      <c r="AA149" s="168" t="s">
        <v>393</v>
      </c>
      <c r="AB149" s="147">
        <f>VLOOKUP(AA149,'Item Helper Sheet'!$A$2:$B$16,2,FALSE)</f>
        <v>2</v>
      </c>
      <c r="AC149" s="147">
        <v>96.0</v>
      </c>
      <c r="AD149" s="147">
        <f>45*20</f>
        <v>900</v>
      </c>
      <c r="AE149" s="147">
        <f>AD149*I151</f>
        <v>216000</v>
      </c>
      <c r="AF149" s="147">
        <f>AC149*AE149</f>
        <v>20736000</v>
      </c>
      <c r="AG149" s="148"/>
      <c r="AH149" s="147" t="str">
        <f>AA149</f>
        <v>02 - MV</v>
      </c>
      <c r="AI149" s="147">
        <v>1.0</v>
      </c>
      <c r="AJ149" s="147">
        <v>1.0</v>
      </c>
      <c r="AK149" s="147">
        <f>AJ149*8*4^AB149</f>
        <v>128</v>
      </c>
      <c r="AL149" s="147">
        <f>MIN(ROUNDDOWN(AK149/AN149,0),U149)</f>
        <v>1</v>
      </c>
      <c r="AM149" s="147">
        <f>IF(OR(T149="No",T149=""),AI149*S149,AI149*T149)</f>
        <v>1</v>
      </c>
      <c r="AN149" s="147">
        <f>ROUNDUP(AC149*VLOOKUP(H149,'Machine List'!$A$2:$D$219,4,FALSE),0)</f>
        <v>96</v>
      </c>
      <c r="AO149" s="147">
        <f>AN149*AM149</f>
        <v>96</v>
      </c>
      <c r="AP149" s="147">
        <f>ROUNDUP(AD149*I151,0)</f>
        <v>216000</v>
      </c>
      <c r="AQ149" s="38">
        <f>IF(ISNUMBER(Y149),ROUNDUP(AP149/Y149,0),
  SWITCH(
      Y149,
      "1+0.5C",ROUNDUP(AP149/(1+0.5*VLOOKUP(J151,'Machine Helper Sheet'!$G$1:$K$16,2,FALSE)),0),
      ROUNDUP(AP149/1,0)
  )
)</f>
        <v>216000</v>
      </c>
      <c r="AR149" s="147">
        <f>ROUNDUP(AQ149/AM149,0)</f>
        <v>216000</v>
      </c>
      <c r="AS149" s="147">
        <f>AO149*AR149</f>
        <v>20736000</v>
      </c>
      <c r="AT149" s="148"/>
      <c r="AU149" s="168" t="s">
        <v>405</v>
      </c>
      <c r="AV149" s="147">
        <f>VLOOKUP(AU149,'Item Helper Sheet'!$A$2:$B$16,2,FALSE)</f>
        <v>5</v>
      </c>
      <c r="AW149" s="147">
        <f>AI149</f>
        <v>1</v>
      </c>
      <c r="AX149" s="147">
        <v>1.0</v>
      </c>
      <c r="AY149" s="147">
        <f>AX149*8*4^AV149</f>
        <v>8192</v>
      </c>
      <c r="AZ149" s="147">
        <f>MIN(ROUNDDOWN(AY149/AN149,0),X149)</f>
        <v>1</v>
      </c>
      <c r="BA149" s="147">
        <f>AZ149*AW149</f>
        <v>1</v>
      </c>
      <c r="BB149" s="147">
        <f>AN149</f>
        <v>96</v>
      </c>
      <c r="BC149" s="147">
        <f>MIN(AV149-AB149,IF(AY149&gt;=BB150*4,
IF(AY149&gt;=BB150*4^2,
IF(AY149&gt;=BB150*4^3,
IF(AY149&gt;=BB150*4^4,
IF(AY149&gt;=BB150*4^5,
IF(AY149&gt;=BB150*4^6,
IF(AY149&gt;=BB150*4^7,
IF(AY149&gt;=BB150*4^8,
IF(AY149&gt;=BB150*4^9,
IF(AY149&gt;=BB150*4^10,
9),
8),
7),
6),
5),
4),
3),
2),
1),
0))</f>
        <v>3</v>
      </c>
      <c r="BD149" s="147">
        <f>BB149*AZ149*4^BC149</f>
        <v>6144</v>
      </c>
      <c r="BE149" s="147">
        <f>BD149*AW149</f>
        <v>6144</v>
      </c>
      <c r="BF149" s="143">
        <f>ROUNDUP(IF(R149="Yes",AP149/(2^((BC149)*2)),AP149/(2^(BC149))),0)</f>
        <v>27000</v>
      </c>
      <c r="BG149" s="45">
        <f>IF(ISNUMBER(Y149),ROUNDUP(BF149/Y149,0),
  SWITCH(
      Y149,
      "1+0.5C",ROUNDUP(BF149/(1+0.5*VLOOKUP(J151,'Machine Helper Sheet'!$G$1:$K$16,2,FALSE)),0),
      ROUNDUP(BF149/1,0)
  )
)</f>
        <v>27000</v>
      </c>
      <c r="BH149" s="143">
        <f>ROUNDUP(BG149/BA149,0)</f>
        <v>27000</v>
      </c>
      <c r="BI149" s="149">
        <f>BH149*BE149</f>
        <v>165888000</v>
      </c>
      <c r="BK149" s="22"/>
      <c r="BM149" s="140" t="s">
        <v>796</v>
      </c>
      <c r="BN149" s="6"/>
      <c r="BO149" s="6"/>
      <c r="BP149" s="6"/>
      <c r="BQ149" s="6"/>
      <c r="BR149" s="6"/>
      <c r="BS149" s="6"/>
      <c r="BT149" s="6"/>
      <c r="BU149" s="140">
        <v>1.0</v>
      </c>
      <c r="BV149" s="6"/>
      <c r="BW149" s="6"/>
      <c r="BX149" s="6"/>
      <c r="BY149" s="6"/>
      <c r="BZ149" s="140">
        <v>1.0</v>
      </c>
    </row>
    <row r="150" ht="16.5" customHeight="1">
      <c r="B150" s="150"/>
      <c r="C150" s="169" t="s">
        <v>176</v>
      </c>
      <c r="D150" s="147">
        <f>1*I151</f>
        <v>240</v>
      </c>
      <c r="E150" s="168" t="s">
        <v>175</v>
      </c>
      <c r="F150" s="152">
        <f>32*I151</f>
        <v>7680</v>
      </c>
      <c r="G150" s="138"/>
      <c r="H150" s="153" t="s">
        <v>584</v>
      </c>
      <c r="I150" s="45">
        <f t="array" ref="I150">match(TRUE,ISBLANK(F150:F165),0)-1</f>
        <v>1</v>
      </c>
      <c r="J150" s="154" t="s">
        <v>420</v>
      </c>
      <c r="K150" s="154" t="s">
        <v>585</v>
      </c>
      <c r="L150" s="100" t="s">
        <v>704</v>
      </c>
      <c r="M150" s="147"/>
      <c r="N150" s="147"/>
      <c r="O150" s="147"/>
      <c r="P150" s="147"/>
      <c r="Q150" s="147"/>
      <c r="R150" s="155"/>
      <c r="S150" s="155"/>
      <c r="T150" s="155"/>
      <c r="U150" s="143"/>
      <c r="V150" s="143"/>
      <c r="W150" s="143"/>
      <c r="X150" s="143"/>
      <c r="Y150" s="143"/>
      <c r="Z150" s="143"/>
      <c r="AA150" s="143"/>
      <c r="AB150" s="143"/>
      <c r="AC150" s="143"/>
      <c r="AD150" s="143"/>
      <c r="AE150" s="143"/>
      <c r="AF150" s="143"/>
      <c r="AG150" s="156"/>
      <c r="AH150" s="143"/>
      <c r="AI150" s="143"/>
      <c r="AJ150" s="143"/>
      <c r="AK150" s="143"/>
      <c r="AL150" s="143"/>
      <c r="AM150" s="143"/>
      <c r="AN150" s="143"/>
      <c r="AO150" s="143"/>
      <c r="AP150" s="143"/>
      <c r="AQ150" s="143"/>
      <c r="AR150" s="143"/>
      <c r="AS150" s="143"/>
      <c r="AT150" s="156"/>
      <c r="AU150" s="143"/>
      <c r="AV150" s="143"/>
      <c r="AW150" s="143"/>
      <c r="AX150" s="143"/>
      <c r="AY150" s="143"/>
      <c r="AZ150" s="143"/>
      <c r="BA150" s="143"/>
      <c r="BB150" s="143">
        <f>BB149*AZ149</f>
        <v>96</v>
      </c>
      <c r="BC150" s="143"/>
      <c r="BD150" s="143"/>
      <c r="BE150" s="143"/>
      <c r="BF150" s="143"/>
      <c r="BG150" s="143"/>
      <c r="BH150" s="143"/>
      <c r="BI150" s="149"/>
      <c r="BK150" s="22"/>
      <c r="BM150" s="6" t="s">
        <v>797</v>
      </c>
      <c r="BN150" s="6">
        <v>1.0</v>
      </c>
      <c r="BO150" s="6"/>
      <c r="BP150" s="6"/>
      <c r="BQ150" s="6"/>
      <c r="BR150" s="6"/>
      <c r="BS150" s="6"/>
      <c r="BT150" s="6"/>
      <c r="BU150" s="6"/>
      <c r="BV150" s="6"/>
      <c r="BW150" s="6"/>
      <c r="BX150" s="6"/>
      <c r="BY150" s="6"/>
      <c r="BZ150" s="6">
        <v>1.0</v>
      </c>
    </row>
    <row r="151">
      <c r="B151" s="150"/>
      <c r="C151" s="169" t="s">
        <v>115</v>
      </c>
      <c r="D151" s="147">
        <f>67*I151</f>
        <v>16080</v>
      </c>
      <c r="E151" s="147"/>
      <c r="F151" s="152"/>
      <c r="G151" s="138"/>
      <c r="H151" s="157" t="s">
        <v>502</v>
      </c>
      <c r="I151" s="170">
        <v>240.0</v>
      </c>
      <c r="J151" s="154" t="s">
        <v>424</v>
      </c>
      <c r="K151" s="154">
        <v>0.0</v>
      </c>
      <c r="L151" s="100">
        <v>0.0</v>
      </c>
      <c r="M151" s="143"/>
      <c r="N151" s="143"/>
      <c r="O151" s="143"/>
      <c r="P151" s="143"/>
      <c r="Q151" s="143"/>
      <c r="R151" s="143"/>
      <c r="S151" s="155"/>
      <c r="T151" s="155"/>
      <c r="U151" s="143"/>
      <c r="V151" s="143"/>
      <c r="W151" s="143"/>
      <c r="X151" s="143"/>
      <c r="Y151" s="143"/>
      <c r="Z151" s="143"/>
      <c r="AA151" s="143"/>
      <c r="AB151" s="143"/>
      <c r="AC151" s="143"/>
      <c r="AD151" s="143"/>
      <c r="AE151" s="143"/>
      <c r="AF151" s="143"/>
      <c r="AG151" s="156"/>
      <c r="AH151" s="143"/>
      <c r="AI151" s="143"/>
      <c r="AJ151" s="143"/>
      <c r="AK151" s="143"/>
      <c r="AL151" s="143"/>
      <c r="AM151" s="143"/>
      <c r="AN151" s="143"/>
      <c r="AO151" s="143"/>
      <c r="AP151" s="143"/>
      <c r="AQ151" s="143"/>
      <c r="AR151" s="143"/>
      <c r="AS151" s="143"/>
      <c r="AT151" s="156"/>
      <c r="AU151" s="143"/>
      <c r="AV151" s="143"/>
      <c r="AW151" s="143"/>
      <c r="AX151" s="143"/>
      <c r="AY151" s="143"/>
      <c r="AZ151" s="143"/>
      <c r="BA151" s="143"/>
      <c r="BB151" s="143"/>
      <c r="BC151" s="143"/>
      <c r="BD151" s="143"/>
      <c r="BE151" s="143"/>
      <c r="BF151" s="143"/>
      <c r="BG151" s="143"/>
      <c r="BH151" s="143"/>
      <c r="BI151" s="149"/>
      <c r="BK151" s="22"/>
      <c r="BM151" s="6" t="s">
        <v>798</v>
      </c>
      <c r="BN151" s="6">
        <v>1.0</v>
      </c>
      <c r="BO151" s="6"/>
      <c r="BP151" s="6"/>
      <c r="BQ151" s="6"/>
      <c r="BR151" s="6"/>
      <c r="BS151" s="6"/>
      <c r="BT151" s="6"/>
      <c r="BU151" s="6"/>
      <c r="BV151" s="6"/>
      <c r="BW151" s="6"/>
      <c r="BX151" s="6"/>
      <c r="BY151" s="6"/>
      <c r="BZ151" s="6">
        <v>1.0</v>
      </c>
    </row>
    <row r="152">
      <c r="B152" s="135"/>
      <c r="C152" s="136"/>
      <c r="D152" s="137"/>
      <c r="E152" s="137"/>
      <c r="F152" s="137"/>
      <c r="G152" s="138"/>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8"/>
      <c r="AH152" s="137"/>
      <c r="AI152" s="137"/>
      <c r="AJ152" s="137"/>
      <c r="AK152" s="137"/>
      <c r="AL152" s="137"/>
      <c r="AM152" s="137"/>
      <c r="AN152" s="137"/>
      <c r="AO152" s="137"/>
      <c r="AP152" s="137"/>
      <c r="AQ152" s="137"/>
      <c r="AR152" s="137"/>
      <c r="AS152" s="137"/>
      <c r="AT152" s="138"/>
      <c r="AU152" s="137"/>
      <c r="AV152" s="137"/>
      <c r="AW152" s="137"/>
      <c r="AX152" s="137"/>
      <c r="AY152" s="137"/>
      <c r="AZ152" s="137"/>
      <c r="BA152" s="137"/>
      <c r="BB152" s="137"/>
      <c r="BC152" s="137"/>
      <c r="BD152" s="137"/>
      <c r="BE152" s="137"/>
      <c r="BF152" s="137"/>
      <c r="BG152" s="137"/>
      <c r="BH152" s="137"/>
      <c r="BI152" s="139"/>
      <c r="BK152" s="22"/>
      <c r="BM152" s="6" t="s">
        <v>799</v>
      </c>
      <c r="BN152" s="6">
        <v>1.0</v>
      </c>
      <c r="BO152" s="6"/>
      <c r="BP152" s="6"/>
      <c r="BQ152" s="6"/>
      <c r="BR152" s="6"/>
      <c r="BS152" s="6"/>
      <c r="BT152" s="6"/>
      <c r="BU152" s="6"/>
      <c r="BV152" s="6"/>
      <c r="BW152" s="6"/>
      <c r="BX152" s="6"/>
      <c r="BY152" s="6"/>
      <c r="BZ152" s="6">
        <v>1.0</v>
      </c>
    </row>
    <row r="153">
      <c r="B153" s="141" t="s">
        <v>815</v>
      </c>
      <c r="C153" s="142"/>
      <c r="D153" s="143"/>
      <c r="E153" s="143"/>
      <c r="F153" s="144"/>
      <c r="G153" s="145"/>
      <c r="H153" s="167" t="s">
        <v>379</v>
      </c>
      <c r="I153" s="147" t="str">
        <f>VLOOKUP(H153,'Machine List'!$A$1:$I$300,9,FALSE)</f>
        <v>1T</v>
      </c>
      <c r="J153" s="147">
        <f>IF(VLOOKUP(H153,'Machine List'!$A$1:$I$300,5,FALSE)="Multi",IF(VLOOKUP(H153,'Machine List'!$A$1:$I$300,6,FALSE)="Yes",AI153*3*10^AB153,AI153*(2*3)*10^(AB153-1)),0)</f>
        <v>0</v>
      </c>
      <c r="K153" s="147">
        <f>J153+IF(ISNUMBER(I153),I153,
  SWITCH(
      I153,
      "1T",1*10^AB153,
      "2T",2*10^AB153,
      "3T",3*10^AB153,
      "4T",4*10^AB153,
      "4000+500(7O-5)",4000+500*(7*I154-5),
      "13500 + 16C",13500+16*VLOOKUP(J155,'Machine Helper Sheet'!$G$1:$K$16,5,FALSE),
      1
  )
)</f>
        <v>1000</v>
      </c>
      <c r="L153" s="147">
        <f>IF(VLOOKUP(H153,'Machine List'!$A$1:$I$300,5,FALSE)="Multi",IF(VLOOKUP(H153,'Machine List'!$A$1:$I$300,6,FALSE)="Yes",AW153*3*10^AV153,AW153*(2*3)*10^(AV153-1)),0)</f>
        <v>0</v>
      </c>
      <c r="M153" s="147">
        <f>L153+IF(ISNUMBER(I153),I153,
  SWITCH(
      I153,
      "1T",1*10^AV153,
      "2T",2*10^AV153,
      "3T",3*10^AV153,
      "4T",4*10^AV153,
      "4000+500(7O-5)",4000+500*(7*I154-5),
      1
  )
)</f>
        <v>100000</v>
      </c>
      <c r="N153" s="147" t="str">
        <f>VLOOKUP(H153,'Machine List'!$A$1:$I$300,8,FALSE)</f>
        <v>Tier</v>
      </c>
      <c r="O153" s="147">
        <f>IF(ISNUMBER(N153),N153,10^AB153)</f>
        <v>1000</v>
      </c>
      <c r="P153" s="147">
        <f>IF(ISNUMBER(N153),N153,10^AV153)</f>
        <v>100000</v>
      </c>
      <c r="Q153" s="147">
        <f>VLOOKUP(H153,'Machine List'!$A$1:$B$138,2,FALSE)</f>
        <v>1</v>
      </c>
      <c r="R153" s="147" t="s">
        <v>277</v>
      </c>
      <c r="S153" s="143">
        <f>IF(ISNUMBER(Q153),Q153,
  SWITCH(
      Q153,
      "1",1,
      "2T",AB153*2,
      "4T",AB153*4,
      "6T",AB153*6,
      "8T",AB153*8,
      "10T",AB153*10,
      "12T",AB153*12,
      "14T",AB153*14,
      "16T",AB153*16,
      "24T",AB153*24,
      "2(T+1)",2*(AB153+1),
      "1T*C",AB153*J155,
      "2*P",L155*2,
      1
  )
)</f>
        <v>1</v>
      </c>
      <c r="T153" s="38" t="s">
        <v>277</v>
      </c>
      <c r="U153" s="147">
        <f>IF(OR(T153="No",T153=""),S153,T153)</f>
        <v>1</v>
      </c>
      <c r="V153" s="147">
        <f>IF(ISNUMBER(Q153),Q153,
  SWITCH(
      Q153,
      "1",1,
      "2T",AV153*2,
      "4T",AV153*4,
      "6T",AV153*6,
      "8T",AV153*8,
      "10T",AV153*10,
      "12T",AV153*12,
      "14T",AV153*14,
      "16T",AV153*16,
      "24T",AV153*24,
      "2(T+1)",2*(AV153+1),
      "1T*C",AV153*J155,
      "2*P",L155*2,
      1
  )
)</f>
        <v>1</v>
      </c>
      <c r="W153" s="147" t="str">
        <f>T153</f>
        <v>No</v>
      </c>
      <c r="X153" s="147">
        <f>IF(OR(W153="No",W153=""),V153,W153)</f>
        <v>1</v>
      </c>
      <c r="Y153" s="38">
        <f>VLOOKUP(H153,'Machine List'!$A$1:$C$138,3,FALSE)</f>
        <v>1</v>
      </c>
      <c r="Z153" s="38">
        <f>VLOOKUP(H153,'Machine List'!$A$1:$D$138,4,FALSE)</f>
        <v>1</v>
      </c>
      <c r="AA153" s="168" t="s">
        <v>397</v>
      </c>
      <c r="AB153" s="147">
        <f>VLOOKUP(AA153,'Item Helper Sheet'!$A$2:$B$16,2,FALSE)</f>
        <v>3</v>
      </c>
      <c r="AC153" s="147">
        <v>480.0</v>
      </c>
      <c r="AD153" s="147">
        <f>45*20</f>
        <v>900</v>
      </c>
      <c r="AE153" s="147">
        <f>AD153*I155</f>
        <v>47700</v>
      </c>
      <c r="AF153" s="147">
        <f>AC153*AE153</f>
        <v>22896000</v>
      </c>
      <c r="AG153" s="148"/>
      <c r="AH153" s="147" t="str">
        <f>AA153</f>
        <v>03 - HV</v>
      </c>
      <c r="AI153" s="147">
        <v>1.0</v>
      </c>
      <c r="AJ153" s="147">
        <v>1.0</v>
      </c>
      <c r="AK153" s="147">
        <f>AJ153*8*4^AB153</f>
        <v>512</v>
      </c>
      <c r="AL153" s="147">
        <f>MIN(ROUNDDOWN(AK153/AN153,0),U153)</f>
        <v>1</v>
      </c>
      <c r="AM153" s="147">
        <f>IF(OR(T153="No",T153=""),AI153*S153,AI153*T153)</f>
        <v>1</v>
      </c>
      <c r="AN153" s="147">
        <f>ROUNDUP(AC153*VLOOKUP(H153,'Machine List'!$A$2:$D$219,4,FALSE),0)</f>
        <v>480</v>
      </c>
      <c r="AO153" s="147">
        <f>AN153*AM153</f>
        <v>480</v>
      </c>
      <c r="AP153" s="147">
        <f>ROUNDUP(AD153*I155,0)</f>
        <v>47700</v>
      </c>
      <c r="AQ153" s="38">
        <f>IF(ISNUMBER(Y153),ROUNDUP(AP153/Y153,0),
  SWITCH(
      Y153,
      "1+0.5C",ROUNDUP(AP153/(1+0.5*VLOOKUP(J155,'Machine Helper Sheet'!$G$1:$K$16,2,FALSE)),0),
      ROUNDUP(AP153/1,0)
  )
)</f>
        <v>47700</v>
      </c>
      <c r="AR153" s="147">
        <f>ROUNDUP(AQ153/AM153,0)</f>
        <v>47700</v>
      </c>
      <c r="AS153" s="147">
        <f>AO153*AR153</f>
        <v>22896000</v>
      </c>
      <c r="AT153" s="148"/>
      <c r="AU153" s="168" t="s">
        <v>405</v>
      </c>
      <c r="AV153" s="147">
        <f>VLOOKUP(AU153,'Item Helper Sheet'!$A$2:$B$16,2,FALSE)</f>
        <v>5</v>
      </c>
      <c r="AW153" s="147">
        <f>AI153</f>
        <v>1</v>
      </c>
      <c r="AX153" s="147">
        <v>1.0</v>
      </c>
      <c r="AY153" s="147">
        <f>AX153*8*4^AV153</f>
        <v>8192</v>
      </c>
      <c r="AZ153" s="147">
        <f>MIN(ROUNDDOWN(AY153/AN153,0),X153)</f>
        <v>1</v>
      </c>
      <c r="BA153" s="147">
        <f>AZ153*AW153</f>
        <v>1</v>
      </c>
      <c r="BB153" s="147">
        <f>AN153</f>
        <v>480</v>
      </c>
      <c r="BC153" s="147">
        <f>MIN(AV153-AB153,IF(AY153&gt;=BB154*4,
IF(AY153&gt;=BB154*4^2,
IF(AY153&gt;=BB154*4^3,
IF(AY153&gt;=BB154*4^4,
IF(AY153&gt;=BB154*4^5,
IF(AY153&gt;=BB154*4^6,
IF(AY153&gt;=BB154*4^7,
IF(AY153&gt;=BB154*4^8,
IF(AY153&gt;=BB154*4^9,
IF(AY153&gt;=BB154*4^10,
9),
8),
7),
6),
5),
4),
3),
2),
1),
0))</f>
        <v>2</v>
      </c>
      <c r="BD153" s="147">
        <f>BB153*AZ153*4^BC153</f>
        <v>7680</v>
      </c>
      <c r="BE153" s="147">
        <f>BD153*AW153</f>
        <v>7680</v>
      </c>
      <c r="BF153" s="143">
        <f>ROUNDUP(IF(R153="Yes",AP153/(2^((BC153)*2)),AP153/(2^(BC153))),0)</f>
        <v>11925</v>
      </c>
      <c r="BG153" s="45">
        <f>IF(ISNUMBER(Y153),ROUNDUP(BF153/Y153,0),
  SWITCH(
      Y153,
      "1+0.5C",ROUNDUP(BF153/(1+0.5*VLOOKUP(J155,'Machine Helper Sheet'!$G$1:$K$16,2,FALSE)),0),
      ROUNDUP(BF153/1,0)
  )
)</f>
        <v>11925</v>
      </c>
      <c r="BH153" s="143">
        <f>ROUNDUP(BG153/BA153,0)</f>
        <v>11925</v>
      </c>
      <c r="BI153" s="149">
        <f>BH153*BE153</f>
        <v>91584000</v>
      </c>
      <c r="BK153" s="22"/>
      <c r="BM153" s="6" t="s">
        <v>800</v>
      </c>
      <c r="BN153" s="6">
        <v>1.0</v>
      </c>
      <c r="BO153" s="6"/>
      <c r="BP153" s="6"/>
      <c r="BQ153" s="6"/>
      <c r="BR153" s="6"/>
      <c r="BS153" s="6"/>
      <c r="BT153" s="6"/>
      <c r="BU153" s="6"/>
      <c r="BV153" s="6"/>
      <c r="BW153" s="6"/>
      <c r="BX153" s="6"/>
      <c r="BY153" s="6"/>
      <c r="BZ153" s="6">
        <v>1.0</v>
      </c>
    </row>
    <row r="154">
      <c r="B154" s="150"/>
      <c r="C154" s="169" t="s">
        <v>151</v>
      </c>
      <c r="D154" s="147">
        <f>1*I155</f>
        <v>53</v>
      </c>
      <c r="E154" s="168" t="s">
        <v>136</v>
      </c>
      <c r="F154" s="152">
        <f>1*I155</f>
        <v>53</v>
      </c>
      <c r="G154" s="138"/>
      <c r="H154" s="153" t="s">
        <v>584</v>
      </c>
      <c r="I154" s="45">
        <f t="array" ref="I154">match(TRUE,ISBLANK(F154:F169),0)-1</f>
        <v>1</v>
      </c>
      <c r="J154" s="154" t="s">
        <v>420</v>
      </c>
      <c r="K154" s="154" t="s">
        <v>585</v>
      </c>
      <c r="L154" s="100" t="s">
        <v>704</v>
      </c>
      <c r="M154" s="147"/>
      <c r="N154" s="147"/>
      <c r="O154" s="147"/>
      <c r="P154" s="147"/>
      <c r="Q154" s="147"/>
      <c r="R154" s="155"/>
      <c r="S154" s="155"/>
      <c r="T154" s="155"/>
      <c r="U154" s="143"/>
      <c r="V154" s="143"/>
      <c r="W154" s="143"/>
      <c r="X154" s="143"/>
      <c r="Y154" s="143"/>
      <c r="Z154" s="143"/>
      <c r="AA154" s="143"/>
      <c r="AB154" s="143"/>
      <c r="AC154" s="143"/>
      <c r="AD154" s="143"/>
      <c r="AE154" s="143"/>
      <c r="AF154" s="143"/>
      <c r="AG154" s="156"/>
      <c r="AH154" s="143"/>
      <c r="AI154" s="143"/>
      <c r="AJ154" s="143"/>
      <c r="AK154" s="143"/>
      <c r="AL154" s="143"/>
      <c r="AM154" s="143"/>
      <c r="AN154" s="143"/>
      <c r="AO154" s="143"/>
      <c r="AP154" s="143"/>
      <c r="AQ154" s="143"/>
      <c r="AR154" s="143"/>
      <c r="AS154" s="143"/>
      <c r="AT154" s="156"/>
      <c r="AU154" s="143"/>
      <c r="AV154" s="143"/>
      <c r="AW154" s="143"/>
      <c r="AX154" s="143"/>
      <c r="AY154" s="143"/>
      <c r="AZ154" s="143"/>
      <c r="BA154" s="143"/>
      <c r="BB154" s="143">
        <f>BB153*AZ153</f>
        <v>480</v>
      </c>
      <c r="BC154" s="143"/>
      <c r="BD154" s="143"/>
      <c r="BE154" s="143"/>
      <c r="BF154" s="143"/>
      <c r="BG154" s="143"/>
      <c r="BH154" s="143"/>
      <c r="BI154" s="149"/>
      <c r="BK154" s="22"/>
      <c r="BM154" s="140" t="s">
        <v>801</v>
      </c>
      <c r="BN154" s="6"/>
      <c r="BO154" s="6"/>
      <c r="BP154" s="6"/>
      <c r="BQ154" s="6"/>
      <c r="BR154" s="6"/>
      <c r="BS154" s="6"/>
      <c r="BT154" s="140">
        <v>1.0</v>
      </c>
      <c r="BU154" s="6"/>
      <c r="BV154" s="6"/>
      <c r="BW154" s="6"/>
      <c r="BX154" s="6"/>
      <c r="BY154" s="6"/>
      <c r="BZ154" s="140">
        <v>1.0</v>
      </c>
    </row>
    <row r="155">
      <c r="B155" s="150"/>
      <c r="C155" s="151"/>
      <c r="D155" s="147"/>
      <c r="E155" s="147"/>
      <c r="F155" s="152"/>
      <c r="G155" s="138"/>
      <c r="H155" s="157" t="s">
        <v>502</v>
      </c>
      <c r="I155" s="170">
        <v>53.0</v>
      </c>
      <c r="J155" s="154" t="s">
        <v>424</v>
      </c>
      <c r="K155" s="154">
        <v>0.0</v>
      </c>
      <c r="L155" s="100">
        <v>0.0</v>
      </c>
      <c r="M155" s="143"/>
      <c r="N155" s="143"/>
      <c r="O155" s="143"/>
      <c r="P155" s="143"/>
      <c r="Q155" s="143"/>
      <c r="R155" s="143"/>
      <c r="S155" s="155"/>
      <c r="T155" s="155"/>
      <c r="U155" s="143"/>
      <c r="V155" s="143"/>
      <c r="W155" s="143"/>
      <c r="X155" s="143"/>
      <c r="Y155" s="143"/>
      <c r="Z155" s="143"/>
      <c r="AA155" s="143"/>
      <c r="AB155" s="143"/>
      <c r="AC155" s="143"/>
      <c r="AD155" s="143"/>
      <c r="AE155" s="143"/>
      <c r="AF155" s="143"/>
      <c r="AG155" s="156"/>
      <c r="AH155" s="143"/>
      <c r="AI155" s="143"/>
      <c r="AJ155" s="143"/>
      <c r="AK155" s="143"/>
      <c r="AL155" s="143"/>
      <c r="AM155" s="143"/>
      <c r="AN155" s="143"/>
      <c r="AO155" s="143"/>
      <c r="AP155" s="143"/>
      <c r="AQ155" s="143"/>
      <c r="AR155" s="143"/>
      <c r="AS155" s="143"/>
      <c r="AT155" s="156"/>
      <c r="AU155" s="143"/>
      <c r="AV155" s="143"/>
      <c r="AW155" s="143"/>
      <c r="AX155" s="143"/>
      <c r="AY155" s="143"/>
      <c r="AZ155" s="143"/>
      <c r="BA155" s="143"/>
      <c r="BB155" s="143"/>
      <c r="BC155" s="143"/>
      <c r="BD155" s="143"/>
      <c r="BE155" s="143"/>
      <c r="BF155" s="143"/>
      <c r="BG155" s="143"/>
      <c r="BH155" s="143"/>
      <c r="BI155" s="149"/>
      <c r="BK155" s="22"/>
      <c r="BM155" s="140" t="s">
        <v>802</v>
      </c>
      <c r="BN155" s="6"/>
      <c r="BO155" s="6"/>
      <c r="BP155" s="6"/>
      <c r="BQ155" s="6"/>
      <c r="BR155" s="6"/>
      <c r="BS155" s="6"/>
      <c r="BT155" s="6"/>
      <c r="BU155" s="6"/>
      <c r="BV155" s="6"/>
      <c r="BW155" s="140">
        <v>1.0</v>
      </c>
      <c r="BX155" s="6"/>
      <c r="BY155" s="6"/>
      <c r="BZ155" s="140">
        <v>1.0</v>
      </c>
    </row>
    <row r="156">
      <c r="B156" s="135"/>
      <c r="C156" s="136"/>
      <c r="D156" s="137"/>
      <c r="E156" s="137"/>
      <c r="F156" s="137"/>
      <c r="G156" s="138"/>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8"/>
      <c r="AH156" s="137"/>
      <c r="AI156" s="137"/>
      <c r="AJ156" s="137"/>
      <c r="AK156" s="137"/>
      <c r="AL156" s="137"/>
      <c r="AM156" s="137"/>
      <c r="AN156" s="137"/>
      <c r="AO156" s="137"/>
      <c r="AP156" s="137"/>
      <c r="AQ156" s="137"/>
      <c r="AR156" s="137"/>
      <c r="AS156" s="137"/>
      <c r="AT156" s="138"/>
      <c r="AU156" s="137"/>
      <c r="AV156" s="137"/>
      <c r="AW156" s="137"/>
      <c r="AX156" s="137"/>
      <c r="AY156" s="137"/>
      <c r="AZ156" s="137"/>
      <c r="BA156" s="137"/>
      <c r="BB156" s="137"/>
      <c r="BC156" s="137"/>
      <c r="BD156" s="137"/>
      <c r="BE156" s="137"/>
      <c r="BF156" s="137"/>
      <c r="BG156" s="137"/>
      <c r="BH156" s="137"/>
      <c r="BI156" s="139"/>
      <c r="BK156" s="22"/>
      <c r="BM156" s="6" t="s">
        <v>803</v>
      </c>
      <c r="BN156" s="6"/>
      <c r="BO156" s="6"/>
      <c r="BP156" s="6"/>
      <c r="BQ156" s="6"/>
      <c r="BR156" s="6"/>
      <c r="BS156" s="6"/>
      <c r="BT156" s="6"/>
      <c r="BU156" s="6"/>
      <c r="BV156" s="6"/>
      <c r="BW156" s="6"/>
      <c r="BX156" s="6">
        <v>1.0</v>
      </c>
      <c r="BY156" s="6"/>
      <c r="BZ156" s="6">
        <v>1.0</v>
      </c>
    </row>
    <row r="157">
      <c r="B157" s="141" t="s">
        <v>816</v>
      </c>
      <c r="C157" s="142"/>
      <c r="D157" s="143"/>
      <c r="E157" s="143"/>
      <c r="F157" s="144"/>
      <c r="G157" s="145"/>
      <c r="H157" s="167" t="s">
        <v>295</v>
      </c>
      <c r="I157" s="147" t="str">
        <f>VLOOKUP(H157,'Machine List'!$A$1:$I$300,9,FALSE)</f>
        <v>1T</v>
      </c>
      <c r="J157" s="147">
        <f>IF(VLOOKUP(H157,'Machine List'!$A$1:$I$300,5,FALSE)="Multi",IF(VLOOKUP(H157,'Machine List'!$A$1:$I$300,6,FALSE)="Yes",AI157*3*10^AB157,AI157*(2*3)*10^(AB157-1)),0)</f>
        <v>0</v>
      </c>
      <c r="K157" s="147">
        <f>J157+IF(ISNUMBER(I157),I157,
  SWITCH(
      I157,
      "1T",1*10^AB157,
      "2T",2*10^AB157,
      "3T",3*10^AB157,
      "4T",4*10^AB157,
      "4000+500(7O-5)",4000+500*(7*I158-5),
      "13500 + 16C",13500+16*VLOOKUP(J159,'Machine Helper Sheet'!$G$1:$K$16,5,FALSE),
      1
  )
)</f>
        <v>1000</v>
      </c>
      <c r="L157" s="147">
        <f>IF(VLOOKUP(H157,'Machine List'!$A$1:$I$300,5,FALSE)="Multi",IF(VLOOKUP(H157,'Machine List'!$A$1:$I$300,6,FALSE)="Yes",AW157*3*10^AV157,AW157*(2*3)*10^(AV157-1)),0)</f>
        <v>0</v>
      </c>
      <c r="M157" s="147">
        <f>L157+IF(ISNUMBER(I157),I157,
  SWITCH(
      I157,
      "1T",1*10^AV157,
      "2T",2*10^AV157,
      "3T",3*10^AV157,
      "4T",4*10^AV157,
      "4000+500(7O-5)",4000+500*(7*I158-5),
      1
  )
)</f>
        <v>100000</v>
      </c>
      <c r="N157" s="147" t="str">
        <f>VLOOKUP(H157,'Machine List'!$A$1:$I$300,8,FALSE)</f>
        <v>Tier</v>
      </c>
      <c r="O157" s="147">
        <f>IF(ISNUMBER(N157),N157,10^AB157)</f>
        <v>1000</v>
      </c>
      <c r="P157" s="147">
        <f>IF(ISNUMBER(N157),N157,10^AV157)</f>
        <v>100000</v>
      </c>
      <c r="Q157" s="147">
        <f>VLOOKUP(H157,'Machine List'!$A$1:$B$138,2,FALSE)</f>
        <v>1</v>
      </c>
      <c r="R157" s="147" t="s">
        <v>277</v>
      </c>
      <c r="S157" s="143">
        <f>IF(ISNUMBER(Q157),Q157,
  SWITCH(
      Q157,
      "1",1,
      "2T",AB157*2,
      "4T",AB157*4,
      "6T",AB157*6,
      "8T",AB157*8,
      "10T",AB157*10,
      "12T",AB157*12,
      "14T",AB157*14,
      "16T",AB157*16,
      "24T",AB157*24,
      "2(T+1)",2*(AB157+1),
      "1T*C",AB157*J159,
      "2*P",L159*2,
      1
  )
)</f>
        <v>1</v>
      </c>
      <c r="T157" s="38" t="s">
        <v>277</v>
      </c>
      <c r="U157" s="147">
        <f>IF(OR(T157="No",T157=""),S157,T157)</f>
        <v>1</v>
      </c>
      <c r="V157" s="147">
        <f>IF(ISNUMBER(Q157),Q157,
  SWITCH(
      Q157,
      "1",1,
      "2T",AV157*2,
      "4T",AV157*4,
      "6T",AV157*6,
      "8T",AV157*8,
      "10T",AV157*10,
      "12T",AV157*12,
      "14T",AV157*14,
      "16T",AV157*16,
      "24T",AV157*24,
      "2(T+1)",2*(AV157+1),
      "1T*C",AV157*J159,
      "2*P",L159*2,
      1
  )
)</f>
        <v>1</v>
      </c>
      <c r="W157" s="147" t="str">
        <f>T157</f>
        <v>No</v>
      </c>
      <c r="X157" s="147">
        <f>IF(OR(W157="No",W157=""),V157,W157)</f>
        <v>1</v>
      </c>
      <c r="Y157" s="38">
        <f>VLOOKUP(H157,'Machine List'!$A$1:$C$138,3,FALSE)</f>
        <v>1</v>
      </c>
      <c r="Z157" s="38">
        <f>VLOOKUP(H157,'Machine List'!$A$1:$D$138,4,FALSE)</f>
        <v>1</v>
      </c>
      <c r="AA157" s="168" t="s">
        <v>397</v>
      </c>
      <c r="AB157" s="147">
        <f>VLOOKUP(AA157,'Item Helper Sheet'!$A$2:$B$16,2,FALSE)</f>
        <v>3</v>
      </c>
      <c r="AC157" s="147">
        <v>192.0</v>
      </c>
      <c r="AD157" s="147">
        <f>45*20</f>
        <v>900</v>
      </c>
      <c r="AE157" s="147">
        <f>AD157*I159</f>
        <v>47700</v>
      </c>
      <c r="AF157" s="147">
        <f>AC157*AE157</f>
        <v>9158400</v>
      </c>
      <c r="AG157" s="148"/>
      <c r="AH157" s="147" t="str">
        <f>AA157</f>
        <v>03 - HV</v>
      </c>
      <c r="AI157" s="147">
        <v>1.0</v>
      </c>
      <c r="AJ157" s="147">
        <v>1.0</v>
      </c>
      <c r="AK157" s="147">
        <f>AJ157*8*4^AB157</f>
        <v>512</v>
      </c>
      <c r="AL157" s="147">
        <f>MIN(ROUNDDOWN(AK157/AN157,0),U157)</f>
        <v>1</v>
      </c>
      <c r="AM157" s="147">
        <f>IF(OR(T157="No",T157=""),AI157*S157,AI157*T157)</f>
        <v>1</v>
      </c>
      <c r="AN157" s="147">
        <f>ROUNDUP(AC157*VLOOKUP(H157,'Machine List'!$A$2:$D$219,4,FALSE),0)</f>
        <v>192</v>
      </c>
      <c r="AO157" s="147">
        <f>AN157*AM157</f>
        <v>192</v>
      </c>
      <c r="AP157" s="147">
        <f>ROUNDUP(AD157*I159,0)</f>
        <v>47700</v>
      </c>
      <c r="AQ157" s="38">
        <f>IF(ISNUMBER(Y157),ROUNDUP(AP157/Y157,0),
  SWITCH(
      Y157,
      "1+0.5C",ROUNDUP(AP157/(1+0.5*VLOOKUP(J159,'Machine Helper Sheet'!$G$1:$K$16,2,FALSE)),0),
      ROUNDUP(AP157/1,0)
  )
)</f>
        <v>47700</v>
      </c>
      <c r="AR157" s="147">
        <f>ROUNDUP(AQ157/AM157,0)</f>
        <v>47700</v>
      </c>
      <c r="AS157" s="147">
        <f>AO157*AR157</f>
        <v>9158400</v>
      </c>
      <c r="AT157" s="148"/>
      <c r="AU157" s="168" t="s">
        <v>405</v>
      </c>
      <c r="AV157" s="147">
        <f>VLOOKUP(AU157,'Item Helper Sheet'!$A$2:$B$16,2,FALSE)</f>
        <v>5</v>
      </c>
      <c r="AW157" s="147">
        <f>AI157</f>
        <v>1</v>
      </c>
      <c r="AX157" s="147">
        <v>1.0</v>
      </c>
      <c r="AY157" s="147">
        <f>AX157*8*4^AV157</f>
        <v>8192</v>
      </c>
      <c r="AZ157" s="147">
        <f>MIN(ROUNDDOWN(AY157/AN157,0),X157)</f>
        <v>1</v>
      </c>
      <c r="BA157" s="147">
        <f>AZ157*AW157</f>
        <v>1</v>
      </c>
      <c r="BB157" s="147">
        <f>AN157</f>
        <v>192</v>
      </c>
      <c r="BC157" s="147">
        <f>MIN(AV157-AB157,IF(AY157&gt;=BB158*4,
IF(AY157&gt;=BB158*4^2,
IF(AY157&gt;=BB158*4^3,
IF(AY157&gt;=BB158*4^4,
IF(AY157&gt;=BB158*4^5,
IF(AY157&gt;=BB158*4^6,
IF(AY157&gt;=BB158*4^7,
IF(AY157&gt;=BB158*4^8,
IF(AY157&gt;=BB158*4^9,
IF(AY157&gt;=BB158*4^10,
9),
8),
7),
6),
5),
4),
3),
2),
1),
0))</f>
        <v>2</v>
      </c>
      <c r="BD157" s="147">
        <f>BB157*AZ157*4^BC157</f>
        <v>3072</v>
      </c>
      <c r="BE157" s="147">
        <f>BD157*AW157</f>
        <v>3072</v>
      </c>
      <c r="BF157" s="143">
        <f>ROUNDUP(IF(R157="Yes",AP157/(2^((BC157)*2)),AP157/(2^(BC157))),0)</f>
        <v>11925</v>
      </c>
      <c r="BG157" s="45">
        <f>IF(ISNUMBER(Y157),ROUNDUP(BF157/Y157,0),
  SWITCH(
      Y157,
      "1+0.5C",ROUNDUP(BF157/(1+0.5*VLOOKUP(J159,'Machine Helper Sheet'!$G$1:$K$16,2,FALSE)),0),
      ROUNDUP(BF157/1,0)
  )
)</f>
        <v>11925</v>
      </c>
      <c r="BH157" s="143">
        <f>ROUNDUP(BG157/BA157,0)</f>
        <v>11925</v>
      </c>
      <c r="BI157" s="149">
        <f>BH157*BE157</f>
        <v>36633600</v>
      </c>
      <c r="BK157" s="22"/>
      <c r="BM157" s="140" t="s">
        <v>804</v>
      </c>
      <c r="BN157" s="6"/>
      <c r="BO157" s="6"/>
      <c r="BP157" s="6"/>
      <c r="BQ157" s="140">
        <v>1.0</v>
      </c>
      <c r="BR157" s="6"/>
      <c r="BS157" s="6"/>
      <c r="BT157" s="6"/>
      <c r="BU157" s="6"/>
      <c r="BV157" s="6"/>
      <c r="BW157" s="6"/>
      <c r="BX157" s="6"/>
      <c r="BY157" s="6"/>
      <c r="BZ157" s="140">
        <v>1.0</v>
      </c>
    </row>
    <row r="158">
      <c r="B158" s="150"/>
      <c r="C158" s="169" t="s">
        <v>136</v>
      </c>
      <c r="D158" s="147">
        <f>1*I159</f>
        <v>53</v>
      </c>
      <c r="E158" s="168" t="s">
        <v>135</v>
      </c>
      <c r="F158" s="152">
        <f>16*I159</f>
        <v>848</v>
      </c>
      <c r="G158" s="138"/>
      <c r="H158" s="153" t="s">
        <v>584</v>
      </c>
      <c r="I158" s="45">
        <f t="array" ref="I158">match(TRUE,ISBLANK(F158:F173),0)-1</f>
        <v>1</v>
      </c>
      <c r="J158" s="154" t="s">
        <v>420</v>
      </c>
      <c r="K158" s="154" t="s">
        <v>585</v>
      </c>
      <c r="L158" s="100" t="s">
        <v>704</v>
      </c>
      <c r="M158" s="147"/>
      <c r="N158" s="147"/>
      <c r="O158" s="147"/>
      <c r="P158" s="147"/>
      <c r="Q158" s="147"/>
      <c r="R158" s="155"/>
      <c r="S158" s="155"/>
      <c r="T158" s="155"/>
      <c r="U158" s="143"/>
      <c r="V158" s="143"/>
      <c r="W158" s="143"/>
      <c r="X158" s="143"/>
      <c r="Y158" s="143"/>
      <c r="Z158" s="143"/>
      <c r="AA158" s="143"/>
      <c r="AB158" s="143"/>
      <c r="AC158" s="143"/>
      <c r="AD158" s="143"/>
      <c r="AE158" s="143"/>
      <c r="AF158" s="143"/>
      <c r="AG158" s="156"/>
      <c r="AH158" s="143"/>
      <c r="AI158" s="143"/>
      <c r="AJ158" s="143"/>
      <c r="AK158" s="143"/>
      <c r="AL158" s="143"/>
      <c r="AM158" s="143"/>
      <c r="AN158" s="143"/>
      <c r="AO158" s="143"/>
      <c r="AP158" s="143"/>
      <c r="AQ158" s="143"/>
      <c r="AR158" s="143"/>
      <c r="AS158" s="143"/>
      <c r="AT158" s="156"/>
      <c r="AU158" s="143"/>
      <c r="AV158" s="143"/>
      <c r="AW158" s="143"/>
      <c r="AX158" s="143"/>
      <c r="AY158" s="143"/>
      <c r="AZ158" s="143"/>
      <c r="BA158" s="143"/>
      <c r="BB158" s="143">
        <f>BB157*AZ157</f>
        <v>192</v>
      </c>
      <c r="BC158" s="143"/>
      <c r="BD158" s="143"/>
      <c r="BE158" s="143"/>
      <c r="BF158" s="143"/>
      <c r="BG158" s="143"/>
      <c r="BH158" s="143"/>
      <c r="BI158" s="149"/>
      <c r="BK158" s="22"/>
      <c r="BM158" s="6" t="s">
        <v>805</v>
      </c>
      <c r="BN158" s="6"/>
      <c r="BO158" s="6"/>
      <c r="BP158" s="6"/>
      <c r="BQ158" s="6"/>
      <c r="BR158" s="6"/>
      <c r="BS158" s="6"/>
      <c r="BT158" s="6"/>
      <c r="BU158" s="6"/>
      <c r="BV158" s="6"/>
      <c r="BW158" s="6"/>
      <c r="BX158" s="6">
        <v>1.0</v>
      </c>
      <c r="BY158" s="6"/>
      <c r="BZ158" s="6">
        <v>1.0</v>
      </c>
    </row>
    <row r="159">
      <c r="B159" s="150"/>
      <c r="C159" s="169" t="s">
        <v>115</v>
      </c>
      <c r="D159" s="147">
        <f>145*I159</f>
        <v>7685</v>
      </c>
      <c r="E159" s="147"/>
      <c r="F159" s="152"/>
      <c r="G159" s="138"/>
      <c r="H159" s="157" t="s">
        <v>502</v>
      </c>
      <c r="I159" s="170">
        <v>53.0</v>
      </c>
      <c r="J159" s="154" t="s">
        <v>424</v>
      </c>
      <c r="K159" s="154">
        <v>0.0</v>
      </c>
      <c r="L159" s="100">
        <v>0.0</v>
      </c>
      <c r="M159" s="143"/>
      <c r="N159" s="143"/>
      <c r="O159" s="143"/>
      <c r="P159" s="143"/>
      <c r="Q159" s="143"/>
      <c r="R159" s="143"/>
      <c r="S159" s="155"/>
      <c r="T159" s="155"/>
      <c r="U159" s="143"/>
      <c r="V159" s="143"/>
      <c r="W159" s="143"/>
      <c r="X159" s="143"/>
      <c r="Y159" s="143"/>
      <c r="Z159" s="143"/>
      <c r="AA159" s="143"/>
      <c r="AB159" s="143"/>
      <c r="AC159" s="143"/>
      <c r="AD159" s="143"/>
      <c r="AE159" s="143"/>
      <c r="AF159" s="143"/>
      <c r="AG159" s="156"/>
      <c r="AH159" s="143"/>
      <c r="AI159" s="143"/>
      <c r="AJ159" s="143"/>
      <c r="AK159" s="143"/>
      <c r="AL159" s="143"/>
      <c r="AM159" s="143"/>
      <c r="AN159" s="143"/>
      <c r="AO159" s="143"/>
      <c r="AP159" s="143"/>
      <c r="AQ159" s="143"/>
      <c r="AR159" s="143"/>
      <c r="AS159" s="143"/>
      <c r="AT159" s="156"/>
      <c r="AU159" s="143"/>
      <c r="AV159" s="143"/>
      <c r="AW159" s="143"/>
      <c r="AX159" s="143"/>
      <c r="AY159" s="143"/>
      <c r="AZ159" s="143"/>
      <c r="BA159" s="143"/>
      <c r="BB159" s="143"/>
      <c r="BC159" s="143"/>
      <c r="BD159" s="143"/>
      <c r="BE159" s="143"/>
      <c r="BF159" s="143"/>
      <c r="BG159" s="143"/>
      <c r="BH159" s="143"/>
      <c r="BI159" s="149"/>
      <c r="BK159" s="22"/>
      <c r="BM159" s="140" t="s">
        <v>806</v>
      </c>
      <c r="BN159" s="6"/>
      <c r="BO159" s="6"/>
      <c r="BP159" s="6"/>
      <c r="BQ159" s="6"/>
      <c r="BR159" s="6"/>
      <c r="BS159" s="6"/>
      <c r="BT159" s="140">
        <v>1.0</v>
      </c>
      <c r="BU159" s="6"/>
      <c r="BV159" s="6"/>
      <c r="BW159" s="6"/>
      <c r="BX159" s="6"/>
      <c r="BY159" s="6"/>
      <c r="BZ159" s="140">
        <v>1.0</v>
      </c>
    </row>
    <row r="160">
      <c r="B160" s="135"/>
      <c r="C160" s="136"/>
      <c r="D160" s="137"/>
      <c r="E160" s="137"/>
      <c r="F160" s="137"/>
      <c r="G160" s="138"/>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8"/>
      <c r="AH160" s="137"/>
      <c r="AI160" s="137"/>
      <c r="AJ160" s="137"/>
      <c r="AK160" s="137"/>
      <c r="AL160" s="137"/>
      <c r="AM160" s="137"/>
      <c r="AN160" s="137"/>
      <c r="AO160" s="137"/>
      <c r="AP160" s="137"/>
      <c r="AQ160" s="137"/>
      <c r="AR160" s="137"/>
      <c r="AS160" s="137"/>
      <c r="AT160" s="138"/>
      <c r="AU160" s="137"/>
      <c r="AV160" s="137"/>
      <c r="AW160" s="137"/>
      <c r="AX160" s="137"/>
      <c r="AY160" s="137"/>
      <c r="AZ160" s="137"/>
      <c r="BA160" s="137"/>
      <c r="BB160" s="137"/>
      <c r="BC160" s="137"/>
      <c r="BD160" s="137"/>
      <c r="BE160" s="137"/>
      <c r="BF160" s="137"/>
      <c r="BG160" s="137"/>
      <c r="BH160" s="137"/>
      <c r="BI160" s="139"/>
      <c r="BK160" s="22"/>
      <c r="BM160" s="140" t="s">
        <v>807</v>
      </c>
      <c r="BN160" s="6"/>
      <c r="BO160" s="6"/>
      <c r="BP160" s="6"/>
      <c r="BQ160" s="6"/>
      <c r="BR160" s="140">
        <v>1.0</v>
      </c>
      <c r="BS160" s="6"/>
      <c r="BT160" s="6"/>
      <c r="BU160" s="6"/>
      <c r="BV160" s="6"/>
      <c r="BW160" s="6"/>
      <c r="BX160" s="6"/>
      <c r="BY160" s="6"/>
      <c r="BZ160" s="140">
        <v>1.0</v>
      </c>
    </row>
    <row r="161">
      <c r="B161" s="141" t="s">
        <v>817</v>
      </c>
      <c r="C161" s="142"/>
      <c r="D161" s="143"/>
      <c r="E161" s="143"/>
      <c r="F161" s="144"/>
      <c r="G161" s="145"/>
      <c r="H161" s="167" t="s">
        <v>374</v>
      </c>
      <c r="I161" s="147" t="str">
        <f>VLOOKUP(H161,'Machine List'!$A$1:$I$300,9,FALSE)</f>
        <v>1T</v>
      </c>
      <c r="J161" s="147">
        <f>IF(VLOOKUP(H161,'Machine List'!$A$1:$I$300,5,FALSE)="Multi",IF(VLOOKUP(H161,'Machine List'!$A$1:$I$300,6,FALSE)="Yes",AI161*3*10^AB161,AI161*(2*3)*10^(AB161-1)),0)</f>
        <v>0</v>
      </c>
      <c r="K161" s="147">
        <f>J161+IF(ISNUMBER(I161),I161,
  SWITCH(
      I161,
      "1T",1*10^AB161,
      "2T",2*10^AB161,
      "3T",3*10^AB161,
      "4T",4*10^AB161,
      "4000+500(7O-5)",4000+500*(7*I162-5),
      "13500 + 16C",13500+16*VLOOKUP(J163,'Machine Helper Sheet'!$G$1:$K$16,5,FALSE),
      1
  )
)</f>
        <v>10</v>
      </c>
      <c r="L161" s="147">
        <f>IF(VLOOKUP(H161,'Machine List'!$A$1:$I$300,5,FALSE)="Multi",IF(VLOOKUP(H161,'Machine List'!$A$1:$I$300,6,FALSE)="Yes",AW161*3*10^AV161,AW161*(2*3)*10^(AV161-1)),0)</f>
        <v>0</v>
      </c>
      <c r="M161" s="147">
        <f>L161+IF(ISNUMBER(I161),I161,
  SWITCH(
      I161,
      "1T",1*10^AV161,
      "2T",2*10^AV161,
      "3T",3*10^AV161,
      "4T",4*10^AV161,
      "4000+500(7O-5)",4000+500*(7*I162-5),
      1
  )
)</f>
        <v>100000</v>
      </c>
      <c r="N161" s="147" t="str">
        <f>VLOOKUP(H161,'Machine List'!$A$1:$I$300,8,FALSE)</f>
        <v>Tier</v>
      </c>
      <c r="O161" s="147">
        <f>IF(ISNUMBER(N161),N161,10^AB161)</f>
        <v>10</v>
      </c>
      <c r="P161" s="147">
        <f>IF(ISNUMBER(N161),N161,10^AV161)</f>
        <v>100000</v>
      </c>
      <c r="Q161" s="147">
        <f>VLOOKUP(H161,'Machine List'!$A$1:$B$138,2,FALSE)</f>
        <v>1</v>
      </c>
      <c r="R161" s="147" t="s">
        <v>277</v>
      </c>
      <c r="S161" s="143">
        <f>IF(ISNUMBER(Q161),Q161,
  SWITCH(
      Q161,
      "1",1,
      "2T",AB161*2,
      "4T",AB161*4,
      "6T",AB161*6,
      "8T",AB161*8,
      "10T",AB161*10,
      "12T",AB161*12,
      "14T",AB161*14,
      "16T",AB161*16,
      "24T",AB161*24,
      "2(T+1)",2*(AB161+1),
      "1T*C",AB161*J163,
      "2*P",L163*2,
      1
  )
)</f>
        <v>1</v>
      </c>
      <c r="T161" s="38" t="s">
        <v>277</v>
      </c>
      <c r="U161" s="147">
        <f>IF(OR(T161="No",T161=""),S161,T161)</f>
        <v>1</v>
      </c>
      <c r="V161" s="147">
        <f>IF(ISNUMBER(Q161),Q161,
  SWITCH(
      Q161,
      "1",1,
      "2T",AV161*2,
      "4T",AV161*4,
      "6T",AV161*6,
      "8T",AV161*8,
      "10T",AV161*10,
      "12T",AV161*12,
      "14T",AV161*14,
      "16T",AV161*16,
      "24T",AV161*24,
      "2(T+1)",2*(AV161+1),
      "1T*C",AV161*J163,
      "2*P",L163*2,
      1
  )
)</f>
        <v>1</v>
      </c>
      <c r="W161" s="147" t="str">
        <f>T161</f>
        <v>No</v>
      </c>
      <c r="X161" s="147">
        <f>IF(OR(W161="No",W161=""),V161,W161)</f>
        <v>1</v>
      </c>
      <c r="Y161" s="38">
        <f>VLOOKUP(H161,'Machine List'!$A$1:$C$138,3,FALSE)</f>
        <v>1</v>
      </c>
      <c r="Z161" s="38">
        <f>VLOOKUP(H161,'Machine List'!$A$1:$D$138,4,FALSE)</f>
        <v>1</v>
      </c>
      <c r="AA161" s="168" t="s">
        <v>390</v>
      </c>
      <c r="AB161" s="147">
        <f>VLOOKUP(AA161,'Item Helper Sheet'!$A$2:$B$16,2,FALSE)</f>
        <v>1</v>
      </c>
      <c r="AC161" s="147">
        <v>4.0</v>
      </c>
      <c r="AD161" s="147">
        <f>5*20</f>
        <v>100</v>
      </c>
      <c r="AE161" s="147">
        <f>AD161*I163</f>
        <v>252000</v>
      </c>
      <c r="AF161" s="147">
        <f>AC161*AE161</f>
        <v>1008000</v>
      </c>
      <c r="AG161" s="148"/>
      <c r="AH161" s="147" t="str">
        <f>AA161</f>
        <v>01 - LV</v>
      </c>
      <c r="AI161" s="147">
        <v>1.0</v>
      </c>
      <c r="AJ161" s="147">
        <v>1.0</v>
      </c>
      <c r="AK161" s="147">
        <f>AJ161*8*4^AB161</f>
        <v>32</v>
      </c>
      <c r="AL161" s="147">
        <f>MIN(ROUNDDOWN(AK161/AN161,0),U161)</f>
        <v>1</v>
      </c>
      <c r="AM161" s="147">
        <f>IF(OR(T161="No",T161=""),AI161*S161,AI161*T161)</f>
        <v>1</v>
      </c>
      <c r="AN161" s="147">
        <f>ROUNDUP(AC161*VLOOKUP(H161,'Machine List'!$A$2:$D$219,4,FALSE),0)</f>
        <v>4</v>
      </c>
      <c r="AO161" s="147">
        <f>AN161*AM161</f>
        <v>4</v>
      </c>
      <c r="AP161" s="147">
        <f>ROUNDUP(AD161*I163,0)</f>
        <v>252000</v>
      </c>
      <c r="AQ161" s="38">
        <f>IF(ISNUMBER(Y161),ROUNDUP(AP161/Y161,0),
  SWITCH(
      Y161,
      "1+0.5C",ROUNDUP(AP161/(1+0.5*VLOOKUP(J163,'Machine Helper Sheet'!$G$1:$K$16,2,FALSE)),0),
      ROUNDUP(AP161/1,0)
  )
)</f>
        <v>252000</v>
      </c>
      <c r="AR161" s="147">
        <f>ROUNDUP(AQ161/AM161,0)</f>
        <v>252000</v>
      </c>
      <c r="AS161" s="147">
        <f>AO161*AR161</f>
        <v>1008000</v>
      </c>
      <c r="AT161" s="148"/>
      <c r="AU161" s="168" t="s">
        <v>405</v>
      </c>
      <c r="AV161" s="147">
        <f>VLOOKUP(AU161,'Item Helper Sheet'!$A$2:$B$16,2,FALSE)</f>
        <v>5</v>
      </c>
      <c r="AW161" s="147">
        <f>AI161</f>
        <v>1</v>
      </c>
      <c r="AX161" s="147">
        <v>1.0</v>
      </c>
      <c r="AY161" s="147">
        <f>AX161*8*4^AV161</f>
        <v>8192</v>
      </c>
      <c r="AZ161" s="147">
        <f>MIN(ROUNDDOWN(AY161/AN161,0),X161)</f>
        <v>1</v>
      </c>
      <c r="BA161" s="147">
        <f>AZ161*AW161</f>
        <v>1</v>
      </c>
      <c r="BB161" s="147">
        <f>AN161</f>
        <v>4</v>
      </c>
      <c r="BC161" s="147">
        <f>MIN(AV161-AB161,IF(AY161&gt;=BB162*4,
IF(AY161&gt;=BB162*4^2,
IF(AY161&gt;=BB162*4^3,
IF(AY161&gt;=BB162*4^4,
IF(AY161&gt;=BB162*4^5,
IF(AY161&gt;=BB162*4^6,
IF(AY161&gt;=BB162*4^7,
IF(AY161&gt;=BB162*4^8,
IF(AY161&gt;=BB162*4^9,
IF(AY161&gt;=BB162*4^10,
9),
8),
7),
6),
5),
4),
3),
2),
1),
0))</f>
        <v>4</v>
      </c>
      <c r="BD161" s="147">
        <f>BB161*AZ161*4^BC161</f>
        <v>1024</v>
      </c>
      <c r="BE161" s="147">
        <f>BD161*AW161</f>
        <v>1024</v>
      </c>
      <c r="BF161" s="143">
        <f>ROUNDUP(IF(R161="Yes",AP161/(2^((BC161)*2)),AP161/(2^(BC161))),0)</f>
        <v>15750</v>
      </c>
      <c r="BG161" s="45">
        <f>IF(ISNUMBER(Y161),ROUNDUP(BF161/Y161,0),
  SWITCH(
      Y161,
      "1+0.5C",ROUNDUP(BF161/(1+0.5*VLOOKUP(J163,'Machine Helper Sheet'!$G$1:$K$16,2,FALSE)),0),
      ROUNDUP(BF161/1,0)
  )
)</f>
        <v>15750</v>
      </c>
      <c r="BH161" s="143">
        <f>ROUNDUP(BG161/BA161,0)</f>
        <v>15750</v>
      </c>
      <c r="BI161" s="149">
        <f>BH161*BE161</f>
        <v>16128000</v>
      </c>
      <c r="BK161" s="22"/>
      <c r="BM161" s="140" t="s">
        <v>808</v>
      </c>
      <c r="BN161" s="6"/>
      <c r="BO161" s="140">
        <v>1.0</v>
      </c>
      <c r="BP161" s="6"/>
      <c r="BQ161" s="6"/>
      <c r="BR161" s="6"/>
      <c r="BS161" s="6"/>
      <c r="BT161" s="6"/>
      <c r="BU161" s="6"/>
      <c r="BV161" s="6"/>
      <c r="BW161" s="6"/>
      <c r="BX161" s="6"/>
      <c r="BY161" s="6"/>
      <c r="BZ161" s="140">
        <v>1.0</v>
      </c>
    </row>
    <row r="162">
      <c r="B162" s="150"/>
      <c r="C162" s="169" t="s">
        <v>50</v>
      </c>
      <c r="D162" s="147">
        <f>1*I163</f>
        <v>2520</v>
      </c>
      <c r="E162" s="168" t="s">
        <v>25</v>
      </c>
      <c r="F162" s="152">
        <f>2*I163</f>
        <v>5040</v>
      </c>
      <c r="G162" s="138"/>
      <c r="H162" s="153" t="s">
        <v>584</v>
      </c>
      <c r="I162" s="45">
        <f t="array" ref="I162">match(TRUE,ISBLANK(F162:F177),0)-1</f>
        <v>1</v>
      </c>
      <c r="J162" s="154" t="s">
        <v>420</v>
      </c>
      <c r="K162" s="154" t="s">
        <v>585</v>
      </c>
      <c r="L162" s="100" t="s">
        <v>704</v>
      </c>
      <c r="M162" s="147"/>
      <c r="N162" s="147"/>
      <c r="O162" s="147"/>
      <c r="P162" s="147"/>
      <c r="Q162" s="147"/>
      <c r="R162" s="155"/>
      <c r="S162" s="155"/>
      <c r="T162" s="155"/>
      <c r="U162" s="143"/>
      <c r="V162" s="143"/>
      <c r="W162" s="143"/>
      <c r="X162" s="143"/>
      <c r="Y162" s="143"/>
      <c r="Z162" s="143"/>
      <c r="AA162" s="143"/>
      <c r="AB162" s="143"/>
      <c r="AC162" s="143"/>
      <c r="AD162" s="143"/>
      <c r="AE162" s="143"/>
      <c r="AF162" s="143"/>
      <c r="AG162" s="156"/>
      <c r="AH162" s="143"/>
      <c r="AI162" s="143"/>
      <c r="AJ162" s="143"/>
      <c r="AK162" s="143"/>
      <c r="AL162" s="143"/>
      <c r="AM162" s="143"/>
      <c r="AN162" s="143"/>
      <c r="AO162" s="143"/>
      <c r="AP162" s="143"/>
      <c r="AQ162" s="143"/>
      <c r="AR162" s="143"/>
      <c r="AS162" s="143"/>
      <c r="AT162" s="156"/>
      <c r="AU162" s="143"/>
      <c r="AV162" s="143"/>
      <c r="AW162" s="143"/>
      <c r="AX162" s="143"/>
      <c r="AY162" s="143"/>
      <c r="AZ162" s="143"/>
      <c r="BA162" s="143"/>
      <c r="BB162" s="143">
        <f>BB161*AZ161</f>
        <v>4</v>
      </c>
      <c r="BC162" s="143"/>
      <c r="BD162" s="143"/>
      <c r="BE162" s="143"/>
      <c r="BF162" s="143"/>
      <c r="BG162" s="143"/>
      <c r="BH162" s="143"/>
      <c r="BI162" s="149"/>
      <c r="BK162" s="22"/>
      <c r="BM162" s="140" t="s">
        <v>809</v>
      </c>
      <c r="BN162" s="6"/>
      <c r="BO162" s="6"/>
      <c r="BP162" s="6"/>
      <c r="BQ162" s="6"/>
      <c r="BR162" s="140">
        <v>1.0</v>
      </c>
      <c r="BS162" s="6"/>
      <c r="BT162" s="6"/>
      <c r="BU162" s="6"/>
      <c r="BV162" s="6"/>
      <c r="BW162" s="6"/>
      <c r="BX162" s="6"/>
      <c r="BY162" s="6"/>
      <c r="BZ162" s="140">
        <v>1.0</v>
      </c>
    </row>
    <row r="163">
      <c r="B163" s="150"/>
      <c r="C163" s="151"/>
      <c r="D163" s="147"/>
      <c r="E163" s="147"/>
      <c r="F163" s="152"/>
      <c r="G163" s="138"/>
      <c r="H163" s="157" t="s">
        <v>502</v>
      </c>
      <c r="I163" s="170">
        <v>2520.0</v>
      </c>
      <c r="J163" s="154" t="s">
        <v>424</v>
      </c>
      <c r="K163" s="154">
        <v>0.0</v>
      </c>
      <c r="L163" s="100">
        <v>0.0</v>
      </c>
      <c r="M163" s="143"/>
      <c r="N163" s="143"/>
      <c r="O163" s="143"/>
      <c r="P163" s="143"/>
      <c r="Q163" s="143"/>
      <c r="R163" s="143"/>
      <c r="S163" s="155"/>
      <c r="T163" s="155"/>
      <c r="U163" s="143"/>
      <c r="V163" s="143"/>
      <c r="W163" s="143"/>
      <c r="X163" s="143"/>
      <c r="Y163" s="143"/>
      <c r="Z163" s="143"/>
      <c r="AA163" s="143"/>
      <c r="AB163" s="143"/>
      <c r="AC163" s="143"/>
      <c r="AD163" s="143"/>
      <c r="AE163" s="143"/>
      <c r="AF163" s="143"/>
      <c r="AG163" s="156"/>
      <c r="AH163" s="143"/>
      <c r="AI163" s="143"/>
      <c r="AJ163" s="143"/>
      <c r="AK163" s="143"/>
      <c r="AL163" s="143"/>
      <c r="AM163" s="143"/>
      <c r="AN163" s="143"/>
      <c r="AO163" s="143"/>
      <c r="AP163" s="143"/>
      <c r="AQ163" s="143"/>
      <c r="AR163" s="143"/>
      <c r="AS163" s="143"/>
      <c r="AT163" s="156"/>
      <c r="AU163" s="143"/>
      <c r="AV163" s="143"/>
      <c r="AW163" s="143"/>
      <c r="AX163" s="143"/>
      <c r="AY163" s="143"/>
      <c r="AZ163" s="143"/>
      <c r="BA163" s="143"/>
      <c r="BB163" s="143"/>
      <c r="BC163" s="143"/>
      <c r="BD163" s="143"/>
      <c r="BE163" s="143"/>
      <c r="BF163" s="143"/>
      <c r="BG163" s="143"/>
      <c r="BH163" s="143"/>
      <c r="BI163" s="149"/>
      <c r="BK163" s="22"/>
      <c r="BM163" s="6" t="s">
        <v>810</v>
      </c>
      <c r="BN163" s="6"/>
      <c r="BO163" s="6"/>
      <c r="BP163" s="6"/>
      <c r="BQ163" s="6"/>
      <c r="BR163" s="6"/>
      <c r="BS163" s="6"/>
      <c r="BT163" s="6"/>
      <c r="BU163" s="6"/>
      <c r="BV163" s="6"/>
      <c r="BW163" s="6"/>
      <c r="BX163" s="6">
        <v>1.0</v>
      </c>
      <c r="BY163" s="6"/>
      <c r="BZ163" s="6">
        <v>1.0</v>
      </c>
    </row>
    <row r="164">
      <c r="B164" s="135"/>
      <c r="C164" s="136"/>
      <c r="D164" s="137"/>
      <c r="E164" s="137"/>
      <c r="F164" s="137"/>
      <c r="G164" s="138"/>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8"/>
      <c r="AH164" s="137"/>
      <c r="AI164" s="137"/>
      <c r="AJ164" s="137"/>
      <c r="AK164" s="137"/>
      <c r="AL164" s="137"/>
      <c r="AM164" s="137"/>
      <c r="AN164" s="137"/>
      <c r="AO164" s="137"/>
      <c r="AP164" s="137"/>
      <c r="AQ164" s="137"/>
      <c r="AR164" s="137"/>
      <c r="AS164" s="137"/>
      <c r="AT164" s="138"/>
      <c r="AU164" s="137"/>
      <c r="AV164" s="137"/>
      <c r="AW164" s="137"/>
      <c r="AX164" s="137"/>
      <c r="AY164" s="137"/>
      <c r="AZ164" s="137"/>
      <c r="BA164" s="137"/>
      <c r="BB164" s="137"/>
      <c r="BC164" s="137"/>
      <c r="BD164" s="137"/>
      <c r="BE164" s="137"/>
      <c r="BF164" s="137"/>
      <c r="BG164" s="137"/>
      <c r="BH164" s="137"/>
      <c r="BI164" s="139"/>
      <c r="BK164" s="22"/>
      <c r="BM164" s="6" t="s">
        <v>811</v>
      </c>
      <c r="BN164" s="6"/>
      <c r="BO164" s="6"/>
      <c r="BP164" s="6"/>
      <c r="BQ164" s="6"/>
      <c r="BR164" s="6"/>
      <c r="BS164" s="6"/>
      <c r="BT164" s="6"/>
      <c r="BU164" s="6"/>
      <c r="BV164" s="6"/>
      <c r="BW164" s="6"/>
      <c r="BX164" s="6">
        <v>1.0</v>
      </c>
      <c r="BY164" s="6"/>
      <c r="BZ164" s="6">
        <v>1.0</v>
      </c>
    </row>
    <row r="165">
      <c r="BK165" s="22"/>
      <c r="BM165" s="140" t="s">
        <v>812</v>
      </c>
      <c r="BN165" s="6"/>
      <c r="BO165" s="6"/>
      <c r="BP165" s="140">
        <v>1.0</v>
      </c>
      <c r="BQ165" s="6"/>
      <c r="BR165" s="6"/>
      <c r="BS165" s="6"/>
      <c r="BT165" s="6"/>
      <c r="BU165" s="6"/>
      <c r="BV165" s="6"/>
      <c r="BW165" s="6"/>
      <c r="BX165" s="6"/>
      <c r="BY165" s="6"/>
      <c r="BZ165" s="140">
        <v>1.0</v>
      </c>
    </row>
    <row r="166">
      <c r="C166" s="171" t="s">
        <v>206</v>
      </c>
      <c r="E166" s="172" t="s">
        <v>166</v>
      </c>
      <c r="BK166" s="22"/>
      <c r="BM166" s="140" t="s">
        <v>813</v>
      </c>
      <c r="BN166" s="6"/>
      <c r="BO166" s="6"/>
      <c r="BP166" s="6"/>
      <c r="BQ166" s="6"/>
      <c r="BR166" s="6"/>
      <c r="BS166" s="6"/>
      <c r="BT166" s="6"/>
      <c r="BU166" s="6"/>
      <c r="BV166" s="6"/>
      <c r="BW166" s="140">
        <v>1.0</v>
      </c>
      <c r="BX166" s="6"/>
      <c r="BY166" s="6"/>
      <c r="BZ166" s="140">
        <v>1.0</v>
      </c>
    </row>
    <row r="167">
      <c r="C167" s="171" t="s">
        <v>173</v>
      </c>
      <c r="E167" s="172" t="s">
        <v>17</v>
      </c>
      <c r="BK167" s="22"/>
      <c r="BM167" s="140" t="s">
        <v>814</v>
      </c>
      <c r="BN167" s="6"/>
      <c r="BO167" s="6"/>
      <c r="BP167" s="6"/>
      <c r="BQ167" s="6"/>
      <c r="BR167" s="6"/>
      <c r="BS167" s="6"/>
      <c r="BT167" s="140">
        <v>1.0</v>
      </c>
      <c r="BU167" s="6"/>
      <c r="BV167" s="6"/>
      <c r="BW167" s="6"/>
      <c r="BX167" s="6"/>
      <c r="BY167" s="6"/>
      <c r="BZ167" s="140">
        <v>1.0</v>
      </c>
    </row>
    <row r="168">
      <c r="E168" s="172" t="s">
        <v>126</v>
      </c>
      <c r="BK168" s="22"/>
      <c r="BM168" s="140" t="s">
        <v>815</v>
      </c>
      <c r="BN168" s="6"/>
      <c r="BO168" s="6"/>
      <c r="BP168" s="6"/>
      <c r="BQ168" s="6"/>
      <c r="BR168" s="6"/>
      <c r="BS168" s="6"/>
      <c r="BT168" s="6"/>
      <c r="BU168" s="6"/>
      <c r="BV168" s="6"/>
      <c r="BW168" s="140">
        <v>1.0</v>
      </c>
      <c r="BX168" s="6"/>
      <c r="BY168" s="6"/>
      <c r="BZ168" s="140">
        <v>1.0</v>
      </c>
    </row>
    <row r="169">
      <c r="E169" s="171" t="s">
        <v>157</v>
      </c>
      <c r="BK169" s="22"/>
      <c r="BM169" s="140" t="s">
        <v>816</v>
      </c>
      <c r="BN169" s="6"/>
      <c r="BO169" s="6"/>
      <c r="BP169" s="6"/>
      <c r="BQ169" s="6"/>
      <c r="BR169" s="6"/>
      <c r="BS169" s="6"/>
      <c r="BT169" s="140">
        <v>1.0</v>
      </c>
      <c r="BU169" s="6"/>
      <c r="BV169" s="6"/>
      <c r="BW169" s="6"/>
      <c r="BX169" s="6"/>
      <c r="BY169" s="6"/>
      <c r="BZ169" s="140">
        <v>1.0</v>
      </c>
    </row>
    <row r="170">
      <c r="E170" s="172" t="s">
        <v>150</v>
      </c>
      <c r="BK170" s="22"/>
      <c r="BM170" s="140" t="s">
        <v>817</v>
      </c>
      <c r="BN170" s="6"/>
      <c r="BO170" s="6"/>
      <c r="BP170" s="6"/>
      <c r="BQ170" s="6"/>
      <c r="BR170" s="6"/>
      <c r="BS170" s="6"/>
      <c r="BT170" s="6"/>
      <c r="BU170" s="6"/>
      <c r="BV170" s="6"/>
      <c r="BW170" s="6"/>
      <c r="BX170" s="6"/>
      <c r="BY170" s="140">
        <v>1.0</v>
      </c>
      <c r="BZ170" s="140">
        <v>1.0</v>
      </c>
    </row>
    <row r="171">
      <c r="E171" s="172" t="s">
        <v>115</v>
      </c>
      <c r="BK171" s="22"/>
      <c r="BM171" s="6" t="s">
        <v>487</v>
      </c>
      <c r="BN171" s="140">
        <v>5.0</v>
      </c>
      <c r="BO171" s="140">
        <v>1.0</v>
      </c>
      <c r="BP171" s="140">
        <v>4.0</v>
      </c>
      <c r="BQ171" s="140">
        <v>1.0</v>
      </c>
      <c r="BR171" s="140">
        <v>2.0</v>
      </c>
      <c r="BS171" s="6">
        <v>4.0</v>
      </c>
      <c r="BT171" s="140">
        <v>4.0</v>
      </c>
      <c r="BU171" s="140">
        <v>1.0</v>
      </c>
      <c r="BV171" s="140">
        <v>1.0</v>
      </c>
      <c r="BW171" s="140">
        <v>3.0</v>
      </c>
      <c r="BX171" s="6">
        <v>4.0</v>
      </c>
      <c r="BY171" s="140">
        <v>3.0</v>
      </c>
      <c r="BZ171" s="6">
        <v>33.0</v>
      </c>
    </row>
    <row r="172">
      <c r="E172" s="171" t="s">
        <v>79</v>
      </c>
      <c r="BK172" s="22"/>
    </row>
    <row r="173">
      <c r="E173" s="172" t="s">
        <v>57</v>
      </c>
      <c r="BK173" s="22"/>
    </row>
    <row r="174">
      <c r="E174" s="172" t="s">
        <v>174</v>
      </c>
      <c r="BK174" s="22"/>
    </row>
    <row r="175">
      <c r="E175" s="171" t="s">
        <v>75</v>
      </c>
      <c r="BK175" s="22"/>
    </row>
    <row r="176">
      <c r="E176" s="171" t="s">
        <v>97</v>
      </c>
      <c r="BK176" s="22"/>
    </row>
    <row r="177">
      <c r="E177" s="172" t="s">
        <v>59</v>
      </c>
      <c r="BK177" s="22"/>
    </row>
    <row r="178">
      <c r="E178" s="172" t="s">
        <v>50</v>
      </c>
      <c r="BK178" s="22"/>
    </row>
    <row r="179">
      <c r="E179" s="171" t="s">
        <v>219</v>
      </c>
      <c r="BK179" s="22"/>
    </row>
    <row r="180">
      <c r="E180" s="171" t="s">
        <v>44</v>
      </c>
      <c r="BK180" s="22"/>
    </row>
    <row r="181">
      <c r="E181" s="171" t="s">
        <v>60</v>
      </c>
      <c r="BK181" s="22"/>
    </row>
    <row r="182">
      <c r="E182" s="171" t="s">
        <v>74</v>
      </c>
      <c r="BK182" s="22"/>
    </row>
    <row r="183">
      <c r="E183" s="171" t="s">
        <v>227</v>
      </c>
    </row>
    <row r="184">
      <c r="E184" s="171" t="s">
        <v>77</v>
      </c>
    </row>
    <row r="185">
      <c r="E185" s="171" t="s">
        <v>152</v>
      </c>
    </row>
  </sheetData>
  <mergeCells count="4">
    <mergeCell ref="A1:BJ1"/>
    <mergeCell ref="BL1:CR1"/>
    <mergeCell ref="A2:BJ2"/>
    <mergeCell ref="BL2:CR2"/>
  </mergeCells>
  <dataValidations>
    <dataValidation type="list" allowBlank="1" sqref="J7 J16 J25 J34 J43 J47 J51 J55 J59 J63 J67 J71 J75 J80 J85 J90 J95 J99 J103 J108 J112 J117 J121 J125 J129 J133 J138 J143 J147 J151 J155 J159 J163">
      <formula1>'Machine Helper Sheet'!$G$2:$G$16</formula1>
    </dataValidation>
    <dataValidation type="list" allowBlank="1" showErrorMessage="1" sqref="AA5 AU5 AA14 AU14 AA23 AU23 AA32 AU32 AA41 AU41 AA45 AU45 AA49 AU49 AA53 AU53 AA57 AU57 AA61 AU61 AA65 AU65 AA69 AU69 AA73 AU73 AA78 AU78 AA83 AU83 AA88 AU88 AA93 AU93 AA97 AU97 AA101 AU101 AA106 AU106 AA110 AU110 AA115 AU115 AA119 AU119 AA123 AU123 AA127 AU127 AA131 AU131 AA136 AU136 AA141 AU141 AA145 AU145 AA149 AU149 AA153 AU153 AA157 AU157 AA161 AU161">
      <formula1>'Item Helper Sheet'!$A$2:$A$16</formula1>
    </dataValidation>
    <dataValidation type="list" allowBlank="1" showErrorMessage="1" sqref="H5 H14 H23 H32 H41 H45 H49 H53 H57 H61 H65 H69 H73 H78 H83 H88 H93 H97 H101 H106 H110 H115 H119 H123 H127 H131 H136 H141 H145 H149 H153 H157 H161">
      <formula1>'Machine List'!$A$2:$A$107</formula1>
    </dataValidation>
    <dataValidation type="list" allowBlank="1" sqref="E6 CG6 C6:C12 E15 C15:C21 E24 C24:C30 E33 C33:C39 C42 E42 C46 E46 C50 E50 C54 E54 C58 E58 C62 E62 C66 E66 C70 E70 E74 C74:C76 E79 C79:C81 E84 C84:C86 E89 C89:C91 C94:C95 E94:E95 C98 E98 E102 C102:C104 E107 C107:C108 E111 C111:C113 E116 C116:C117 E120 C120:C121 E124 C124:C125 E128 C128:C129 E132 C132:C134 E137 C137:C139 C142 E142 C146 E146 E150 C150:C151 C154 E154 E158 C158:C159 C162 E162 C166:C167 E166:E185">
      <formula1>'Item List'!$A$2:$A$300</formula1>
    </dataValidation>
    <dataValidation type="list" allowBlank="1" showErrorMessage="1" sqref="R5 R14 R23 R32 R41 R45 R49 R53 R57 R61 R65 R69 R73 R78 R83 R88 R93 R97 R101 R106 R110 R115 R119 R123 R127 R131 R136 R141 R145 R149 R153 R157 R161">
      <formula1>"Yes,No"</formula1>
    </dataValidation>
  </dataValidations>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3" max="3" width="30.0"/>
    <col customWidth="1" min="5" max="5" width="30.0"/>
    <col customWidth="1" min="8" max="8" width="19.63"/>
    <col customWidth="1" min="10" max="26" width="9.5"/>
    <col customWidth="1" min="27" max="27" width="11.63"/>
    <col customWidth="1" min="28" max="61" width="9.5"/>
    <col customWidth="1" min="65" max="65" width="25.13"/>
    <col customWidth="1" min="68" max="68" width="25.13"/>
    <col customWidth="1" min="71" max="71" width="25.13"/>
  </cols>
  <sheetData>
    <row r="1">
      <c r="A1" s="9" t="s">
        <v>818</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3"/>
      <c r="BK1" s="12" t="s">
        <v>490</v>
      </c>
      <c r="BL1" s="9" t="s">
        <v>818</v>
      </c>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3"/>
    </row>
    <row r="2">
      <c r="A2" s="15" t="s">
        <v>819</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8"/>
      <c r="BK2" s="12" t="s">
        <v>492</v>
      </c>
      <c r="BL2" s="15" t="s">
        <v>819</v>
      </c>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8"/>
    </row>
    <row r="3">
      <c r="BK3" s="22"/>
    </row>
    <row r="4">
      <c r="B4" s="89" t="s">
        <v>457</v>
      </c>
      <c r="C4" s="90" t="s">
        <v>458</v>
      </c>
      <c r="D4" s="91" t="s">
        <v>459</v>
      </c>
      <c r="E4" s="92" t="s">
        <v>460</v>
      </c>
      <c r="F4" s="93" t="s">
        <v>461</v>
      </c>
      <c r="G4" s="90"/>
      <c r="H4" s="94" t="s">
        <v>462</v>
      </c>
      <c r="I4" s="90" t="s">
        <v>540</v>
      </c>
      <c r="J4" s="90" t="s">
        <v>541</v>
      </c>
      <c r="K4" s="90" t="s">
        <v>274</v>
      </c>
      <c r="L4" s="90" t="s">
        <v>542</v>
      </c>
      <c r="M4" s="90" t="s">
        <v>543</v>
      </c>
      <c r="N4" s="90" t="s">
        <v>544</v>
      </c>
      <c r="O4" s="90" t="s">
        <v>545</v>
      </c>
      <c r="P4" s="90" t="s">
        <v>546</v>
      </c>
      <c r="Q4" s="90" t="s">
        <v>547</v>
      </c>
      <c r="R4" s="91" t="s">
        <v>493</v>
      </c>
      <c r="S4" s="92" t="s">
        <v>494</v>
      </c>
      <c r="T4" s="90" t="s">
        <v>548</v>
      </c>
      <c r="U4" s="90" t="s">
        <v>549</v>
      </c>
      <c r="V4" s="90" t="s">
        <v>550</v>
      </c>
      <c r="W4" s="90" t="s">
        <v>551</v>
      </c>
      <c r="X4" s="90" t="s">
        <v>552</v>
      </c>
      <c r="Y4" s="90" t="s">
        <v>694</v>
      </c>
      <c r="Z4" s="90" t="s">
        <v>695</v>
      </c>
      <c r="AA4" s="92" t="s">
        <v>495</v>
      </c>
      <c r="AB4" s="90" t="s">
        <v>421</v>
      </c>
      <c r="AC4" s="92" t="s">
        <v>553</v>
      </c>
      <c r="AD4" s="90" t="s">
        <v>554</v>
      </c>
      <c r="AE4" s="92" t="s">
        <v>555</v>
      </c>
      <c r="AF4" s="93" t="s">
        <v>467</v>
      </c>
      <c r="AG4" s="90"/>
      <c r="AH4" s="90" t="s">
        <v>556</v>
      </c>
      <c r="AI4" s="94" t="s">
        <v>475</v>
      </c>
      <c r="AJ4" s="90" t="s">
        <v>557</v>
      </c>
      <c r="AK4" s="90" t="s">
        <v>558</v>
      </c>
      <c r="AL4" s="90" t="s">
        <v>559</v>
      </c>
      <c r="AM4" s="92" t="s">
        <v>560</v>
      </c>
      <c r="AN4" s="90" t="s">
        <v>561</v>
      </c>
      <c r="AO4" s="90" t="s">
        <v>562</v>
      </c>
      <c r="AP4" s="92" t="s">
        <v>563</v>
      </c>
      <c r="AQ4" s="90" t="s">
        <v>564</v>
      </c>
      <c r="AR4" s="90" t="s">
        <v>565</v>
      </c>
      <c r="AS4" s="95" t="s">
        <v>566</v>
      </c>
      <c r="AT4" s="90"/>
      <c r="AU4" s="90" t="s">
        <v>468</v>
      </c>
      <c r="AV4" s="92" t="s">
        <v>496</v>
      </c>
      <c r="AW4" s="94" t="s">
        <v>567</v>
      </c>
      <c r="AX4" s="90" t="s">
        <v>568</v>
      </c>
      <c r="AY4" s="90" t="s">
        <v>569</v>
      </c>
      <c r="AZ4" s="90" t="s">
        <v>570</v>
      </c>
      <c r="BA4" s="92" t="s">
        <v>571</v>
      </c>
      <c r="BB4" s="90" t="s">
        <v>572</v>
      </c>
      <c r="BC4" s="90" t="s">
        <v>573</v>
      </c>
      <c r="BD4" s="90" t="s">
        <v>574</v>
      </c>
      <c r="BE4" s="90" t="s">
        <v>575</v>
      </c>
      <c r="BF4" s="92" t="s">
        <v>576</v>
      </c>
      <c r="BG4" s="92" t="s">
        <v>577</v>
      </c>
      <c r="BH4" s="92" t="s">
        <v>578</v>
      </c>
      <c r="BI4" s="96" t="s">
        <v>471</v>
      </c>
      <c r="BK4" s="22"/>
    </row>
    <row r="5">
      <c r="B5" s="141" t="s">
        <v>820</v>
      </c>
      <c r="C5" s="142"/>
      <c r="D5" s="143"/>
      <c r="E5" s="143"/>
      <c r="F5" s="144"/>
      <c r="G5" s="145"/>
      <c r="H5" s="167" t="s">
        <v>349</v>
      </c>
      <c r="I5" s="147">
        <f>VLOOKUP(H5,'Machine List'!$A$1:$I$300,9,FALSE)</f>
        <v>4000</v>
      </c>
      <c r="J5" s="147">
        <f>IF(VLOOKUP(H5,'Machine List'!$A$1:$I$300,5,FALSE)="Multi",IF(VLOOKUP(H5,'Machine List'!$A$1:$I$300,6,FALSE)="Yes",AI5*3*10^AB5,AI5*(2*3)*10^(AB5-1)),0)</f>
        <v>6</v>
      </c>
      <c r="K5" s="147">
        <f>J5+IF(ISNUMBER(I5),I5,
  SWITCH(
      I5,
      "1T",1*10^AB5,
      "2T",2*10^AB5,
      "3T",3*10^AB5,
      "4T",4*10^AB5,
      "4000+500(7O-5)",4000+500*(7*I6-5),
      "13500 + 16C",13500+16*VLOOKUP(J7,'Machine Helper Sheet'!$G$1:$K$16,5,FALSE),
      1
  )
)</f>
        <v>4006</v>
      </c>
      <c r="L5" s="147">
        <f>IF(VLOOKUP(H5,'Machine List'!$A$1:$I$300,5,FALSE)="Multi",IF(VLOOKUP(H5,'Machine List'!$A$1:$I$300,6,FALSE)="Yes",AW5*3*10^AV5,AW5*(2*3)*10^(AV5-1)),0)</f>
        <v>60000</v>
      </c>
      <c r="M5" s="147">
        <f>L5+IF(ISNUMBER(I5),I5,
  SWITCH(
      I5,
      "1T",1*10^AV5,
      "2T",2*10^AV5,
      "3T",3*10^AV5,
      "4T",4*10^AV5,
      "4000+500(7O-5)",4000+500*(7*I6-5),
      1
  )
)</f>
        <v>64000</v>
      </c>
      <c r="N5" s="147" t="str">
        <f>VLOOKUP(H5,'Machine List'!$A$1:$I$300,8,FALSE)</f>
        <v>Tier</v>
      </c>
      <c r="O5" s="147">
        <f>IF(ISNUMBER(N5),N5,10^AB5)</f>
        <v>10</v>
      </c>
      <c r="P5" s="147">
        <f>IF(ISNUMBER(N5),N5,10^AV5)</f>
        <v>100000</v>
      </c>
      <c r="Q5" s="147">
        <f>VLOOKUP(H5,'Machine List'!$A$1:$B$138,2,FALSE)</f>
        <v>1</v>
      </c>
      <c r="R5" s="147" t="s">
        <v>594</v>
      </c>
      <c r="S5" s="143">
        <f>IF(ISNUMBER(Q5),Q5,
  SWITCH(
      Q5,
      "1",1,
      "2T",AB5*2,
      "4T",AB5*4,
      "6T",AB5*6,
      "8T",AB5*8,
      "10T",AB5*10,
      "12T",AB5*12,
      "14T",AB5*14,
      "16T",AB5*16,
      "24T",AB5*24,
      "2(T+1)",2*(AB5+1),
      "1T*C",AB5*J7,
      "2*P",L7*2,
      1
  )
)</f>
        <v>1</v>
      </c>
      <c r="T5" s="38" t="s">
        <v>277</v>
      </c>
      <c r="U5" s="147">
        <f>IF(OR(T5="No",T5=""),S5,T5)</f>
        <v>1</v>
      </c>
      <c r="V5" s="147">
        <f>IF(ISNUMBER(Q5),Q5,
  SWITCH(
      Q5,
      "1",1,
      "2T",AV5*2,
      "4T",AV5*4,
      "6T",AV5*6,
      "8T",AV5*8,
      "10T",AV5*10,
      "12T",AV5*12,
      "14T",AV5*14,
      "16T",AV5*16,
      "24T",AV5*24,
      "2(T+1)",2*(AV5+1),
      "1T*C",AV5*J7,
      "2*P",L7*2,
      1
  )
)</f>
        <v>1</v>
      </c>
      <c r="W5" s="147" t="str">
        <f>T5</f>
        <v>No</v>
      </c>
      <c r="X5" s="147">
        <f>IF(OR(W5="No",W5=""),V5,W5)</f>
        <v>1</v>
      </c>
      <c r="Y5" s="38">
        <f>VLOOKUP(H5,'Machine List'!$A$1:$C$138,3,FALSE)</f>
        <v>1</v>
      </c>
      <c r="Z5" s="38">
        <f>VLOOKUP(H5,'Machine List'!$A$1:$D$138,4,FALSE)</f>
        <v>1</v>
      </c>
      <c r="AA5" s="168" t="s">
        <v>390</v>
      </c>
      <c r="AB5" s="147">
        <f>VLOOKUP(AA5,'Item Helper Sheet'!$A$2:$B$16,2,FALSE)</f>
        <v>1</v>
      </c>
      <c r="AC5" s="147">
        <v>30.0</v>
      </c>
      <c r="AD5" s="147">
        <f>112.5*20</f>
        <v>2250</v>
      </c>
      <c r="AE5" s="147">
        <f>AD5*I7</f>
        <v>2250</v>
      </c>
      <c r="AF5" s="147">
        <f>AC5*AE5</f>
        <v>67500</v>
      </c>
      <c r="AG5" s="148"/>
      <c r="AH5" s="147" t="str">
        <f>AA5</f>
        <v>01 - LV</v>
      </c>
      <c r="AI5" s="147">
        <v>1.0</v>
      </c>
      <c r="AJ5" s="147">
        <v>1.0</v>
      </c>
      <c r="AK5" s="147">
        <f>AJ5*8*4^AB5</f>
        <v>32</v>
      </c>
      <c r="AL5" s="147">
        <f>MIN(ROUNDDOWN(AK5/AN5,0),U5)</f>
        <v>1</v>
      </c>
      <c r="AM5" s="147">
        <f>IF(OR(T5="No",T5=""),AI5*S5,AI5*T5)</f>
        <v>1</v>
      </c>
      <c r="AN5" s="147">
        <f>ROUNDUP(AC5*VLOOKUP(H5,'Machine List'!$A$2:$D$219,4,FALSE),0)</f>
        <v>30</v>
      </c>
      <c r="AO5" s="147">
        <f>AN5*AM5</f>
        <v>30</v>
      </c>
      <c r="AP5" s="147">
        <f>ROUNDUP(AD5*I7,0)</f>
        <v>2250</v>
      </c>
      <c r="AQ5" s="38">
        <f>IF(ISNUMBER(Y5),ROUNDUP(AP5/Y5,0),
  SWITCH(
      Y5,
      "1+0.5C",ROUNDUP(AP5/(1+0.5*VLOOKUP(J7,'Machine Helper Sheet'!$G$1:$K$16,2,FALSE)),0),
      ROUNDUP(AP5/1,0)
  )
)</f>
        <v>2250</v>
      </c>
      <c r="AR5" s="147">
        <f>ROUNDUP(AQ5/AM5,0)</f>
        <v>2250</v>
      </c>
      <c r="AS5" s="147">
        <f>AO5*AR5</f>
        <v>67500</v>
      </c>
      <c r="AT5" s="148"/>
      <c r="AU5" s="168" t="s">
        <v>405</v>
      </c>
      <c r="AV5" s="147">
        <f>VLOOKUP(AU5,'Item Helper Sheet'!$A$2:$B$16,2,FALSE)</f>
        <v>5</v>
      </c>
      <c r="AW5" s="147">
        <f>AI5</f>
        <v>1</v>
      </c>
      <c r="AX5" s="147">
        <v>1.0</v>
      </c>
      <c r="AY5" s="147">
        <f>AX5*8*4^AV5</f>
        <v>8192</v>
      </c>
      <c r="AZ5" s="147">
        <f>MIN(ROUNDDOWN(AY5/AN5,0),X5)</f>
        <v>1</v>
      </c>
      <c r="BA5" s="147">
        <f>AZ5*AW5</f>
        <v>1</v>
      </c>
      <c r="BB5" s="147">
        <f>AN5</f>
        <v>30</v>
      </c>
      <c r="BC5" s="147">
        <f>MIN(AV5-AB5,IF(AY5&gt;=BB6*4,
IF(AY5&gt;=BB6*4^2,
IF(AY5&gt;=BB6*4^3,
IF(AY5&gt;=BB6*4^4,
IF(AY5&gt;=BB6*4^5,
IF(AY5&gt;=BB6*4^6,
IF(AY5&gt;=BB6*4^7,
IF(AY5&gt;=BB6*4^8,
IF(AY5&gt;=BB6*4^9,
IF(AY5&gt;=BB6*4^10,
9),
8),
7),
6),
5),
4),
3),
2),
1),
0))</f>
        <v>4</v>
      </c>
      <c r="BD5" s="147">
        <f>BB5*AZ5*4^BC5</f>
        <v>7680</v>
      </c>
      <c r="BE5" s="147">
        <f>BD5*AW5</f>
        <v>7680</v>
      </c>
      <c r="BF5" s="143">
        <f>ROUNDUP(IF(R5="Yes",AP5/(2^((BC5)*2)),AP5/(2^(BC5))),0)</f>
        <v>9</v>
      </c>
      <c r="BG5" s="45">
        <f>IF(ISNUMBER(Y5),ROUNDUP(BF5/Y5,0),
  SWITCH(
      Y5,
      "1+0.5C",ROUNDUP(BF5/(1+0.5*VLOOKUP(J7,'Machine Helper Sheet'!$G$1:$K$16,2,FALSE)),0),
      ROUNDUP(BF5/1,0)
  )
)</f>
        <v>9</v>
      </c>
      <c r="BH5" s="143">
        <f>ROUNDUP(BG5/BA5,0)</f>
        <v>9</v>
      </c>
      <c r="BI5" s="149">
        <f>BH5*BE5</f>
        <v>69120</v>
      </c>
      <c r="BK5" s="22"/>
      <c r="BS5" s="6" t="s">
        <v>458</v>
      </c>
      <c r="BT5" s="6" t="s">
        <v>497</v>
      </c>
    </row>
    <row r="6">
      <c r="B6" s="141" t="s">
        <v>821</v>
      </c>
      <c r="C6" s="169" t="s">
        <v>165</v>
      </c>
      <c r="D6" s="147">
        <f>9*I7</f>
        <v>9</v>
      </c>
      <c r="E6" s="168" t="s">
        <v>155</v>
      </c>
      <c r="F6" s="152">
        <f>9*I7</f>
        <v>9</v>
      </c>
      <c r="G6" s="138"/>
      <c r="H6" s="153" t="s">
        <v>584</v>
      </c>
      <c r="I6" s="45">
        <f t="array" ref="I6">match(TRUE,ISBLANK(F6:F19),0)-1</f>
        <v>2</v>
      </c>
      <c r="J6" s="154" t="s">
        <v>420</v>
      </c>
      <c r="K6" s="154" t="s">
        <v>585</v>
      </c>
      <c r="L6" s="100" t="s">
        <v>704</v>
      </c>
      <c r="M6" s="147"/>
      <c r="N6" s="147"/>
      <c r="O6" s="147"/>
      <c r="P6" s="147"/>
      <c r="Q6" s="147"/>
      <c r="R6" s="155"/>
      <c r="S6" s="155"/>
      <c r="T6" s="155"/>
      <c r="U6" s="143"/>
      <c r="V6" s="143"/>
      <c r="W6" s="143"/>
      <c r="X6" s="143"/>
      <c r="Y6" s="143"/>
      <c r="Z6" s="143"/>
      <c r="AA6" s="143"/>
      <c r="AB6" s="143"/>
      <c r="AC6" s="143"/>
      <c r="AD6" s="143"/>
      <c r="AE6" s="143"/>
      <c r="AF6" s="143"/>
      <c r="AG6" s="156"/>
      <c r="AH6" s="143"/>
      <c r="AI6" s="143"/>
      <c r="AJ6" s="143"/>
      <c r="AK6" s="143"/>
      <c r="AL6" s="143"/>
      <c r="AM6" s="143"/>
      <c r="AN6" s="143"/>
      <c r="AO6" s="143"/>
      <c r="AP6" s="143"/>
      <c r="AQ6" s="143"/>
      <c r="AR6" s="143"/>
      <c r="AS6" s="143"/>
      <c r="AT6" s="156"/>
      <c r="AU6" s="143"/>
      <c r="AV6" s="143"/>
      <c r="AW6" s="143"/>
      <c r="AX6" s="143"/>
      <c r="AY6" s="143"/>
      <c r="AZ6" s="143"/>
      <c r="BA6" s="143"/>
      <c r="BB6" s="143">
        <f>BB5*AZ5</f>
        <v>30</v>
      </c>
      <c r="BC6" s="143"/>
      <c r="BD6" s="143"/>
      <c r="BE6" s="143"/>
      <c r="BF6" s="143"/>
      <c r="BG6" s="143"/>
      <c r="BH6" s="143"/>
      <c r="BI6" s="149"/>
      <c r="BK6" s="22"/>
      <c r="BS6" s="6" t="s">
        <v>15</v>
      </c>
      <c r="BT6" s="6">
        <v>0.0</v>
      </c>
    </row>
    <row r="7">
      <c r="B7" s="150"/>
      <c r="C7" s="169" t="s">
        <v>27</v>
      </c>
      <c r="D7" s="147">
        <f>9000*I7</f>
        <v>9000</v>
      </c>
      <c r="E7" s="168" t="s">
        <v>153</v>
      </c>
      <c r="F7" s="152">
        <f>9000*I7</f>
        <v>9000</v>
      </c>
      <c r="G7" s="138"/>
      <c r="H7" s="157" t="s">
        <v>502</v>
      </c>
      <c r="I7" s="170">
        <v>1.0</v>
      </c>
      <c r="J7" s="154" t="s">
        <v>424</v>
      </c>
      <c r="K7" s="154">
        <v>0.0</v>
      </c>
      <c r="L7" s="100">
        <v>0.0</v>
      </c>
      <c r="M7" s="143"/>
      <c r="N7" s="143"/>
      <c r="O7" s="143"/>
      <c r="P7" s="143"/>
      <c r="Q7" s="143"/>
      <c r="R7" s="143"/>
      <c r="S7" s="155"/>
      <c r="T7" s="155"/>
      <c r="U7" s="143"/>
      <c r="V7" s="143"/>
      <c r="W7" s="143"/>
      <c r="X7" s="143"/>
      <c r="Y7" s="143"/>
      <c r="Z7" s="143"/>
      <c r="AA7" s="143"/>
      <c r="AB7" s="143"/>
      <c r="AC7" s="143"/>
      <c r="AD7" s="143"/>
      <c r="AE7" s="143"/>
      <c r="AF7" s="143"/>
      <c r="AG7" s="156"/>
      <c r="AH7" s="143"/>
      <c r="AI7" s="143"/>
      <c r="AJ7" s="143"/>
      <c r="AK7" s="143"/>
      <c r="AL7" s="143"/>
      <c r="AM7" s="143"/>
      <c r="AN7" s="143"/>
      <c r="AO7" s="143"/>
      <c r="AP7" s="143"/>
      <c r="AQ7" s="143"/>
      <c r="AR7" s="143"/>
      <c r="AS7" s="143"/>
      <c r="AT7" s="156"/>
      <c r="AU7" s="143"/>
      <c r="AV7" s="143"/>
      <c r="AW7" s="143"/>
      <c r="AX7" s="143"/>
      <c r="AY7" s="143"/>
      <c r="AZ7" s="143"/>
      <c r="BA7" s="143"/>
      <c r="BB7" s="143"/>
      <c r="BC7" s="143"/>
      <c r="BD7" s="143"/>
      <c r="BE7" s="143"/>
      <c r="BF7" s="143"/>
      <c r="BG7" s="143"/>
      <c r="BH7" s="143"/>
      <c r="BI7" s="149"/>
      <c r="BK7" s="22"/>
      <c r="BS7" s="6" t="s">
        <v>16</v>
      </c>
      <c r="BT7" s="140">
        <v>0.0</v>
      </c>
    </row>
    <row r="8">
      <c r="B8" s="135"/>
      <c r="C8" s="136"/>
      <c r="D8" s="137"/>
      <c r="E8" s="137"/>
      <c r="F8" s="137"/>
      <c r="G8" s="138"/>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8"/>
      <c r="AH8" s="137"/>
      <c r="AI8" s="137"/>
      <c r="AJ8" s="137"/>
      <c r="AK8" s="137"/>
      <c r="AL8" s="137"/>
      <c r="AM8" s="137"/>
      <c r="AN8" s="137"/>
      <c r="AO8" s="137"/>
      <c r="AP8" s="137"/>
      <c r="AQ8" s="137"/>
      <c r="AR8" s="137"/>
      <c r="AS8" s="137"/>
      <c r="AT8" s="138"/>
      <c r="AU8" s="137"/>
      <c r="AV8" s="137"/>
      <c r="AW8" s="137"/>
      <c r="AX8" s="137"/>
      <c r="AY8" s="137"/>
      <c r="AZ8" s="137"/>
      <c r="BA8" s="137"/>
      <c r="BB8" s="137"/>
      <c r="BC8" s="137"/>
      <c r="BD8" s="137"/>
      <c r="BE8" s="137"/>
      <c r="BF8" s="137"/>
      <c r="BG8" s="137"/>
      <c r="BH8" s="137"/>
      <c r="BI8" s="139"/>
      <c r="BK8" s="22"/>
      <c r="BS8" s="6" t="s">
        <v>20</v>
      </c>
      <c r="BT8" s="6">
        <v>34000.0</v>
      </c>
    </row>
    <row r="9">
      <c r="B9" s="31" t="s">
        <v>822</v>
      </c>
      <c r="C9" s="54"/>
      <c r="D9" s="45"/>
      <c r="E9" s="45"/>
      <c r="F9" s="47"/>
      <c r="G9" s="35"/>
      <c r="H9" s="163" t="s">
        <v>349</v>
      </c>
      <c r="I9" s="38">
        <f>VLOOKUP(H9,'Machine List'!$A$1:$I$300,9,FALSE)</f>
        <v>4000</v>
      </c>
      <c r="J9" s="38">
        <f>IF(VLOOKUP(H9,'Machine List'!$A$1:$I$300,5,FALSE)="Multi",IF(VLOOKUP(H9,'Machine List'!$A$1:$I$300,6,FALSE)="Yes",AI9*3*10^AB9,AI9*(2*3)*10^(AB9-1)),0)</f>
        <v>600</v>
      </c>
      <c r="K9" s="38">
        <f>J9+IF(ISNUMBER(I9),I9,
  SWITCH(
      I9,
      "1T",1*10^AB9,
      "2T",2*10^AB9,
      "3T",3*10^AB9,
      "4T",4*10^AB9,
      "4000+500(7O-5)",4000+500*(7*I10-5),
      "13500 + 16C",13500+16*VLOOKUP(J11,'Machine Helper Sheet'!$G$1:$K$16,5,FALSE),
      1
  )
)</f>
        <v>4600</v>
      </c>
      <c r="L9" s="38">
        <f>IF(VLOOKUP(H9,'Machine List'!$A$1:$I$300,5,FALSE)="Multi",IF(VLOOKUP(H9,'Machine List'!$A$1:$I$300,6,FALSE)="Yes",AW9*3*10^AV9,AW9*(2*3)*10^(AV9-1)),0)</f>
        <v>60000</v>
      </c>
      <c r="M9" s="38">
        <f>L9+IF(ISNUMBER(I9),I9,
  SWITCH(
      I9,
      "1T",1*10^AV9,
      "2T",2*10^AV9,
      "3T",3*10^AV9,
      "4T",4*10^AV9,
      "4000+500(7O-5)",4000+500*(7*I10-5),
      1
  )
)</f>
        <v>64000</v>
      </c>
      <c r="N9" s="38" t="str">
        <f>VLOOKUP(H9,'Machine List'!$A$1:$I$300,8,FALSE)</f>
        <v>Tier</v>
      </c>
      <c r="O9" s="38">
        <f>IF(ISNUMBER(N9),N9,10^AB9)</f>
        <v>1000</v>
      </c>
      <c r="P9" s="38">
        <f>IF(ISNUMBER(N9),N9,10^AV9)</f>
        <v>100000</v>
      </c>
      <c r="Q9" s="38">
        <f>VLOOKUP(H9,'Machine List'!$A$1:$B$138,2,FALSE)</f>
        <v>1</v>
      </c>
      <c r="R9" s="164" t="s">
        <v>594</v>
      </c>
      <c r="S9" s="45">
        <f>IF(ISNUMBER(Q9),Q9,
  SWITCH(
      Q9,
      "1",1,
      "2T",AB9*2,
      "4T",AB9*4,
      "6T",AB9*6,
      "8T",AB9*8,
      "10T",AB9*10,
      "12T",AB9*12,
      "14T",AB9*14,
      "16T",AB9*16,
      "24T",AB9*24,
      "2(T+1)",2*(AB9+1),
      "1T*C",AB9*J11,
      "2*P",L11*2,
      1
  )
)</f>
        <v>1</v>
      </c>
      <c r="T9" s="38" t="s">
        <v>277</v>
      </c>
      <c r="U9" s="38">
        <f>IF(OR(T9="No",T9=""),S9,T9)</f>
        <v>1</v>
      </c>
      <c r="V9" s="38">
        <f>IF(ISNUMBER(Q9),Q9,
  SWITCH(
      Q9,
      "1",1,
      "2T",AV9*2,
      "4T",AV9*4,
      "6T",AV9*6,
      "8T",AV9*8,
      "10T",AV9*10,
      "12T",AV9*12,
      "14T",AV9*14,
      "16T",AV9*16,
      "24T",AV9*24,
      "2(T+1)",2*(AV9+1),
      "1T*C",AV9*J11,
      "2*P",L11*2,
      1
  )
)</f>
        <v>1</v>
      </c>
      <c r="W9" s="38" t="str">
        <f>T9</f>
        <v>No</v>
      </c>
      <c r="X9" s="38">
        <f>IF(OR(W9="No",W9=""),V9,W9)</f>
        <v>1</v>
      </c>
      <c r="Y9" s="38">
        <f>VLOOKUP(H9,'Machine List'!$A$1:$C$138,3,FALSE)</f>
        <v>1</v>
      </c>
      <c r="Z9" s="38">
        <f>VLOOKUP(H9,'Machine List'!$A$1:$D$138,4,FALSE)</f>
        <v>1</v>
      </c>
      <c r="AA9" s="164" t="s">
        <v>397</v>
      </c>
      <c r="AB9" s="38">
        <f>VLOOKUP(AA9,'Item Helper Sheet'!$A$2:$B$16,2,FALSE)</f>
        <v>3</v>
      </c>
      <c r="AC9" s="164">
        <v>480.0</v>
      </c>
      <c r="AD9" s="38">
        <f>35*20</f>
        <v>700</v>
      </c>
      <c r="AE9" s="38">
        <f>AD9*I11</f>
        <v>700</v>
      </c>
      <c r="AF9" s="38">
        <f>AC9*AE9</f>
        <v>336000</v>
      </c>
      <c r="AG9" s="75"/>
      <c r="AH9" s="38" t="str">
        <f>AA9</f>
        <v>03 - HV</v>
      </c>
      <c r="AI9" s="38">
        <v>1.0</v>
      </c>
      <c r="AJ9" s="38">
        <v>1.0</v>
      </c>
      <c r="AK9" s="38">
        <f>AJ9*8*4^AB9</f>
        <v>512</v>
      </c>
      <c r="AL9" s="38">
        <f>MIN(ROUNDDOWN(AK9/AN9,0),U9)</f>
        <v>1</v>
      </c>
      <c r="AM9" s="38">
        <f>IF(OR(T9="No",T9=""),AI9*S9,AI9*T9)</f>
        <v>1</v>
      </c>
      <c r="AN9" s="38">
        <f>ROUNDUP(AC9*VLOOKUP(H9,'Machine List'!$A$2:$D$219,4,FALSE),0)</f>
        <v>480</v>
      </c>
      <c r="AO9" s="38">
        <f>AN9*AM9</f>
        <v>480</v>
      </c>
      <c r="AP9" s="38">
        <f>ROUNDUP(AD9*I11,0)</f>
        <v>700</v>
      </c>
      <c r="AQ9" s="38">
        <f>IF(ISNUMBER(Y9),ROUNDUP(AP9/Y9,0),
  SWITCH(
      Y9,
      "1+0.5C",ROUNDUP(AP9/(1+0.5*VLOOKUP(J11,'Machine Helper Sheet'!$G$1:$K$16,2,FALSE)),0),
      ROUNDUP(AP9/1,0)
  )
)</f>
        <v>700</v>
      </c>
      <c r="AR9" s="38">
        <f>ROUNDUP(AQ9/AM9,0)</f>
        <v>700</v>
      </c>
      <c r="AS9" s="38">
        <f>AO9*AR9</f>
        <v>336000</v>
      </c>
      <c r="AT9" s="75"/>
      <c r="AU9" s="164" t="s">
        <v>405</v>
      </c>
      <c r="AV9" s="38">
        <f>VLOOKUP(AU9,'Item Helper Sheet'!$A$2:$B$16,2,FALSE)</f>
        <v>5</v>
      </c>
      <c r="AW9" s="38">
        <f>AI9</f>
        <v>1</v>
      </c>
      <c r="AX9" s="38">
        <v>1.0</v>
      </c>
      <c r="AY9" s="38">
        <f>AX9*8*4^AV9</f>
        <v>8192</v>
      </c>
      <c r="AZ9" s="38">
        <f>MIN(ROUNDDOWN(AY9/AN9,0),X9)</f>
        <v>1</v>
      </c>
      <c r="BA9" s="38">
        <f>AZ9*AW9</f>
        <v>1</v>
      </c>
      <c r="BB9" s="38">
        <f>AN9</f>
        <v>480</v>
      </c>
      <c r="BC9" s="38">
        <f>MIN(AV9-AB9,IF(AY9&gt;=BB10*4,
IF(AY9&gt;=BB10*4^2,
IF(AY9&gt;=BB10*4^3,
IF(AY9&gt;=BB10*4^4,
IF(AY9&gt;=BB10*4^5,
IF(AY9&gt;=BB10*4^6,
IF(AY9&gt;=BB10*4^7,
IF(AY9&gt;=BB10*4^8,
IF(AY9&gt;=BB10*4^9,
IF(AY9&gt;=BB10*4^10,
9),
8),
7),
6),
5),
4),
3),
2),
1),
0))</f>
        <v>2</v>
      </c>
      <c r="BD9" s="38">
        <f>BB9*AZ9*4^BC9</f>
        <v>7680</v>
      </c>
      <c r="BE9" s="38">
        <f>BD9*AW9</f>
        <v>7680</v>
      </c>
      <c r="BF9" s="45">
        <f>ROUNDUP(IF(R9="Yes",AP9/(2^((BC9)*2)),AP9/(2^(BC9))),0)</f>
        <v>44</v>
      </c>
      <c r="BG9" s="45">
        <f>IF(ISNUMBER(Y9),ROUNDUP(BF9/Y9,0),
  SWITCH(
      Y9,
      "1+0.5C",ROUNDUP(BF9/(1+0.5*VLOOKUP(J11,'Machine Helper Sheet'!$G$1:$K$16,2,FALSE)),0),
      ROUNDUP(BF9/1,0)
  )
)</f>
        <v>44</v>
      </c>
      <c r="BH9" s="45">
        <f>ROUNDUP(BG9/BA9,0)</f>
        <v>44</v>
      </c>
      <c r="BI9" s="46">
        <f>BH9*BE9</f>
        <v>337920</v>
      </c>
      <c r="BK9" s="22"/>
      <c r="BS9" s="6" t="s">
        <v>22</v>
      </c>
      <c r="BT9" s="6">
        <v>-32600.0</v>
      </c>
    </row>
    <row r="10">
      <c r="B10" s="141" t="s">
        <v>823</v>
      </c>
      <c r="C10" s="165" t="s">
        <v>153</v>
      </c>
      <c r="D10" s="38">
        <f>18000*I11</f>
        <v>18000</v>
      </c>
      <c r="E10" s="164" t="s">
        <v>156</v>
      </c>
      <c r="F10" s="42">
        <f>16*I11</f>
        <v>16</v>
      </c>
      <c r="G10" s="43"/>
      <c r="H10" s="99" t="s">
        <v>584</v>
      </c>
      <c r="I10" s="45">
        <f t="array" ref="I10">match(TRUE,ISBLANK(F10:F23),0)-1</f>
        <v>5</v>
      </c>
      <c r="J10" s="100" t="s">
        <v>420</v>
      </c>
      <c r="K10" s="100" t="s">
        <v>585</v>
      </c>
      <c r="L10" s="100" t="s">
        <v>704</v>
      </c>
      <c r="M10" s="38"/>
      <c r="N10" s="38"/>
      <c r="O10" s="38"/>
      <c r="P10" s="38"/>
      <c r="Q10" s="38"/>
      <c r="R10" s="101"/>
      <c r="S10" s="101"/>
      <c r="T10" s="101"/>
      <c r="U10" s="45"/>
      <c r="V10" s="45"/>
      <c r="W10" s="45"/>
      <c r="X10" s="45"/>
      <c r="Y10" s="45"/>
      <c r="Z10" s="45"/>
      <c r="AA10" s="45"/>
      <c r="AB10" s="45"/>
      <c r="AC10" s="45"/>
      <c r="AD10" s="45"/>
      <c r="AE10" s="45"/>
      <c r="AF10" s="45"/>
      <c r="AG10" s="79"/>
      <c r="AH10" s="45"/>
      <c r="AI10" s="45"/>
      <c r="AJ10" s="45"/>
      <c r="AK10" s="45"/>
      <c r="AL10" s="45"/>
      <c r="AM10" s="45"/>
      <c r="AN10" s="45"/>
      <c r="AO10" s="45"/>
      <c r="AP10" s="45"/>
      <c r="AQ10" s="45"/>
      <c r="AR10" s="45"/>
      <c r="AS10" s="45"/>
      <c r="AT10" s="79"/>
      <c r="AU10" s="45"/>
      <c r="AV10" s="45"/>
      <c r="AW10" s="45"/>
      <c r="AX10" s="45"/>
      <c r="AY10" s="45"/>
      <c r="AZ10" s="45"/>
      <c r="BA10" s="45"/>
      <c r="BB10" s="45">
        <f>BB9*AZ9</f>
        <v>480</v>
      </c>
      <c r="BC10" s="45"/>
      <c r="BD10" s="45"/>
      <c r="BE10" s="45"/>
      <c r="BF10" s="45"/>
      <c r="BG10" s="45"/>
      <c r="BH10" s="45"/>
      <c r="BI10" s="46"/>
      <c r="BK10" s="22"/>
      <c r="BS10" s="140" t="s">
        <v>27</v>
      </c>
      <c r="BT10" s="140">
        <v>-7000.0</v>
      </c>
    </row>
    <row r="11">
      <c r="B11" s="40"/>
      <c r="C11" s="165" t="s">
        <v>22</v>
      </c>
      <c r="D11" s="38">
        <f>3600*I11</f>
        <v>3600</v>
      </c>
      <c r="E11" s="164" t="s">
        <v>185</v>
      </c>
      <c r="F11" s="42">
        <f>4*I11</f>
        <v>4</v>
      </c>
      <c r="G11" s="43"/>
      <c r="H11" s="56" t="s">
        <v>502</v>
      </c>
      <c r="I11" s="166">
        <v>1.0</v>
      </c>
      <c r="J11" s="100" t="s">
        <v>424</v>
      </c>
      <c r="K11" s="100">
        <v>0.0</v>
      </c>
      <c r="L11" s="100">
        <v>0.0</v>
      </c>
      <c r="M11" s="45"/>
      <c r="N11" s="45"/>
      <c r="O11" s="45"/>
      <c r="P11" s="45"/>
      <c r="Q11" s="45"/>
      <c r="R11" s="45"/>
      <c r="S11" s="101"/>
      <c r="T11" s="101"/>
      <c r="U11" s="45"/>
      <c r="V11" s="45"/>
      <c r="W11" s="45"/>
      <c r="X11" s="45"/>
      <c r="Y11" s="45"/>
      <c r="Z11" s="45"/>
      <c r="AA11" s="45"/>
      <c r="AB11" s="45"/>
      <c r="AC11" s="45"/>
      <c r="AD11" s="45"/>
      <c r="AE11" s="45"/>
      <c r="AF11" s="45"/>
      <c r="AG11" s="79"/>
      <c r="AH11" s="45"/>
      <c r="AI11" s="45"/>
      <c r="AJ11" s="45"/>
      <c r="AK11" s="45"/>
      <c r="AL11" s="45"/>
      <c r="AM11" s="45"/>
      <c r="AN11" s="45"/>
      <c r="AO11" s="45"/>
      <c r="AP11" s="45"/>
      <c r="AQ11" s="45"/>
      <c r="AR11" s="45"/>
      <c r="AS11" s="45"/>
      <c r="AT11" s="79"/>
      <c r="AU11" s="45"/>
      <c r="AV11" s="45"/>
      <c r="AW11" s="45"/>
      <c r="AX11" s="45"/>
      <c r="AY11" s="45"/>
      <c r="AZ11" s="45"/>
      <c r="BA11" s="45"/>
      <c r="BB11" s="45"/>
      <c r="BC11" s="45"/>
      <c r="BD11" s="45"/>
      <c r="BE11" s="45"/>
      <c r="BF11" s="45"/>
      <c r="BG11" s="45"/>
      <c r="BH11" s="45"/>
      <c r="BI11" s="46"/>
      <c r="BK11" s="22"/>
      <c r="BS11" s="6" t="s">
        <v>41</v>
      </c>
      <c r="BT11" s="140">
        <v>3.0</v>
      </c>
    </row>
    <row r="12">
      <c r="B12" s="40"/>
      <c r="C12" s="165"/>
      <c r="D12" s="38"/>
      <c r="E12" s="164" t="s">
        <v>261</v>
      </c>
      <c r="F12" s="42">
        <f>3600*I11</f>
        <v>3600</v>
      </c>
      <c r="G12" s="43"/>
      <c r="H12" s="44"/>
      <c r="I12" s="45"/>
      <c r="J12" s="45"/>
      <c r="K12" s="45"/>
      <c r="L12" s="45"/>
      <c r="M12" s="45"/>
      <c r="N12" s="45"/>
      <c r="O12" s="45"/>
      <c r="P12" s="45"/>
      <c r="Q12" s="45"/>
      <c r="R12" s="45"/>
      <c r="S12" s="101"/>
      <c r="T12" s="101"/>
      <c r="U12" s="45"/>
      <c r="V12" s="45"/>
      <c r="W12" s="45"/>
      <c r="X12" s="45"/>
      <c r="Y12" s="45"/>
      <c r="Z12" s="45"/>
      <c r="AA12" s="45"/>
      <c r="AB12" s="45"/>
      <c r="AC12" s="45"/>
      <c r="AD12" s="45"/>
      <c r="AE12" s="45"/>
      <c r="AF12" s="45"/>
      <c r="AG12" s="79"/>
      <c r="AH12" s="45"/>
      <c r="AI12" s="45"/>
      <c r="AJ12" s="45"/>
      <c r="AK12" s="45"/>
      <c r="AL12" s="45"/>
      <c r="AM12" s="45"/>
      <c r="AN12" s="45"/>
      <c r="AO12" s="45"/>
      <c r="AP12" s="45"/>
      <c r="AQ12" s="45"/>
      <c r="AR12" s="45"/>
      <c r="AS12" s="45"/>
      <c r="AT12" s="79"/>
      <c r="AU12" s="45"/>
      <c r="AV12" s="45"/>
      <c r="AW12" s="45"/>
      <c r="AX12" s="45"/>
      <c r="AY12" s="45"/>
      <c r="AZ12" s="45"/>
      <c r="BA12" s="45"/>
      <c r="BB12" s="45"/>
      <c r="BC12" s="45"/>
      <c r="BD12" s="45"/>
      <c r="BE12" s="45"/>
      <c r="BF12" s="45"/>
      <c r="BG12" s="45"/>
      <c r="BH12" s="45"/>
      <c r="BI12" s="46"/>
      <c r="BK12" s="22"/>
      <c r="BS12" s="6" t="s">
        <v>42</v>
      </c>
      <c r="BT12" s="6">
        <v>30000.0</v>
      </c>
    </row>
    <row r="13">
      <c r="B13" s="40"/>
      <c r="C13" s="165"/>
      <c r="D13" s="38"/>
      <c r="E13" s="164" t="s">
        <v>133</v>
      </c>
      <c r="F13" s="42">
        <f>9000*I11</f>
        <v>9000</v>
      </c>
      <c r="G13" s="79"/>
      <c r="H13" s="45"/>
      <c r="I13" s="45"/>
      <c r="J13" s="45"/>
      <c r="K13" s="45"/>
      <c r="L13" s="45"/>
      <c r="M13" s="45"/>
      <c r="N13" s="45"/>
      <c r="O13" s="45"/>
      <c r="P13" s="45"/>
      <c r="Q13" s="45"/>
      <c r="R13" s="45"/>
      <c r="S13" s="101"/>
      <c r="T13" s="101"/>
      <c r="U13" s="45"/>
      <c r="V13" s="45"/>
      <c r="W13" s="45"/>
      <c r="X13" s="45"/>
      <c r="Y13" s="45"/>
      <c r="Z13" s="45"/>
      <c r="AA13" s="45"/>
      <c r="AB13" s="45"/>
      <c r="AC13" s="45"/>
      <c r="AD13" s="45"/>
      <c r="AE13" s="45"/>
      <c r="AF13" s="45"/>
      <c r="AG13" s="79"/>
      <c r="AH13" s="45"/>
      <c r="AI13" s="45"/>
      <c r="AJ13" s="45"/>
      <c r="AK13" s="45"/>
      <c r="AL13" s="45"/>
      <c r="AM13" s="45"/>
      <c r="AN13" s="45"/>
      <c r="AO13" s="45"/>
      <c r="AP13" s="45"/>
      <c r="AQ13" s="45"/>
      <c r="AR13" s="45"/>
      <c r="AS13" s="45"/>
      <c r="AT13" s="79"/>
      <c r="AU13" s="45"/>
      <c r="AV13" s="45"/>
      <c r="AW13" s="45"/>
      <c r="AX13" s="45"/>
      <c r="AY13" s="45"/>
      <c r="AZ13" s="45"/>
      <c r="BA13" s="45"/>
      <c r="BB13" s="45"/>
      <c r="BC13" s="45"/>
      <c r="BD13" s="45"/>
      <c r="BE13" s="45"/>
      <c r="BF13" s="45"/>
      <c r="BG13" s="45"/>
      <c r="BH13" s="45"/>
      <c r="BI13" s="46"/>
      <c r="BK13" s="22"/>
      <c r="BS13" s="140" t="s">
        <v>40</v>
      </c>
      <c r="BT13" s="140">
        <v>-11.0</v>
      </c>
    </row>
    <row r="14">
      <c r="B14" s="40"/>
      <c r="C14" s="165"/>
      <c r="D14" s="38"/>
      <c r="E14" s="164" t="s">
        <v>55</v>
      </c>
      <c r="F14" s="42">
        <f>9000*I11</f>
        <v>9000</v>
      </c>
      <c r="G14" s="79"/>
      <c r="H14" s="45"/>
      <c r="I14" s="45"/>
      <c r="J14" s="45"/>
      <c r="K14" s="45"/>
      <c r="L14" s="45"/>
      <c r="M14" s="45"/>
      <c r="N14" s="45"/>
      <c r="O14" s="45"/>
      <c r="P14" s="45"/>
      <c r="Q14" s="45"/>
      <c r="R14" s="45"/>
      <c r="S14" s="101"/>
      <c r="T14" s="101"/>
      <c r="U14" s="45"/>
      <c r="V14" s="45"/>
      <c r="W14" s="45"/>
      <c r="X14" s="45"/>
      <c r="Y14" s="45"/>
      <c r="Z14" s="45"/>
      <c r="AA14" s="45"/>
      <c r="AB14" s="45"/>
      <c r="AC14" s="45"/>
      <c r="AD14" s="45"/>
      <c r="AE14" s="45"/>
      <c r="AF14" s="45"/>
      <c r="AG14" s="79"/>
      <c r="AH14" s="45"/>
      <c r="AI14" s="45"/>
      <c r="AJ14" s="45"/>
      <c r="AK14" s="45"/>
      <c r="AL14" s="45"/>
      <c r="AM14" s="45"/>
      <c r="AN14" s="45"/>
      <c r="AO14" s="45"/>
      <c r="AP14" s="45"/>
      <c r="AQ14" s="45"/>
      <c r="AR14" s="45"/>
      <c r="AS14" s="45"/>
      <c r="AT14" s="79"/>
      <c r="AU14" s="45"/>
      <c r="AV14" s="45"/>
      <c r="AW14" s="45"/>
      <c r="AX14" s="45"/>
      <c r="AY14" s="45"/>
      <c r="AZ14" s="45"/>
      <c r="BA14" s="45"/>
      <c r="BB14" s="45"/>
      <c r="BC14" s="45"/>
      <c r="BD14" s="45"/>
      <c r="BE14" s="45"/>
      <c r="BF14" s="45"/>
      <c r="BG14" s="45"/>
      <c r="BH14" s="45"/>
      <c r="BI14" s="46"/>
      <c r="BK14" s="22"/>
      <c r="BS14" s="140" t="s">
        <v>45</v>
      </c>
      <c r="BT14" s="140">
        <v>-1000.0</v>
      </c>
    </row>
    <row r="15">
      <c r="B15" s="50"/>
      <c r="C15" s="51"/>
      <c r="D15" s="52"/>
      <c r="E15" s="52"/>
      <c r="F15" s="52"/>
      <c r="G15" s="112"/>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2"/>
      <c r="AH15" s="113"/>
      <c r="AI15" s="113"/>
      <c r="AJ15" s="113"/>
      <c r="AK15" s="113"/>
      <c r="AL15" s="113"/>
      <c r="AM15" s="113"/>
      <c r="AN15" s="113"/>
      <c r="AO15" s="113"/>
      <c r="AP15" s="113"/>
      <c r="AQ15" s="113"/>
      <c r="AR15" s="113"/>
      <c r="AS15" s="113"/>
      <c r="AT15" s="112"/>
      <c r="AU15" s="113"/>
      <c r="AV15" s="113"/>
      <c r="AW15" s="113"/>
      <c r="AX15" s="113"/>
      <c r="AY15" s="113"/>
      <c r="AZ15" s="113"/>
      <c r="BA15" s="113"/>
      <c r="BB15" s="113"/>
      <c r="BC15" s="113"/>
      <c r="BD15" s="113"/>
      <c r="BE15" s="113"/>
      <c r="BF15" s="113"/>
      <c r="BG15" s="113"/>
      <c r="BH15" s="113"/>
      <c r="BI15" s="114"/>
      <c r="BK15" s="22"/>
      <c r="BS15" s="6" t="s">
        <v>48</v>
      </c>
      <c r="BT15" s="140">
        <v>10087.0</v>
      </c>
    </row>
    <row r="16">
      <c r="B16" s="141" t="s">
        <v>824</v>
      </c>
      <c r="C16" s="142"/>
      <c r="D16" s="143"/>
      <c r="E16" s="143"/>
      <c r="F16" s="144"/>
      <c r="G16" s="145"/>
      <c r="H16" s="167" t="s">
        <v>368</v>
      </c>
      <c r="I16" s="147" t="str">
        <f>VLOOKUP(H16,'Machine List'!$A$1:$I$300,9,FALSE)</f>
        <v>1T</v>
      </c>
      <c r="J16" s="147">
        <f>IF(VLOOKUP(H16,'Machine List'!$A$1:$I$300,5,FALSE)="Multi",IF(VLOOKUP(H16,'Machine List'!$A$1:$I$300,6,FALSE)="Yes",AI16*3*10^AB16,AI16*(2*3)*10^(AB16-1)),0)</f>
        <v>0</v>
      </c>
      <c r="K16" s="147">
        <f>J16+IF(ISNUMBER(I16),I16,
  SWITCH(
      I16,
      "1T",1*10^AB16,
      "2T",2*10^AB16,
      "3T",3*10^AB16,
      "4T",4*10^AB16,
      "4000+500(7O-5)",4000+500*(7*I17-5),
      "13500 + 16C",13500+16*VLOOKUP(J18,'Machine Helper Sheet'!$G$1:$K$16,5,FALSE),
      1
  )
)</f>
        <v>10</v>
      </c>
      <c r="L16" s="147">
        <f>IF(VLOOKUP(H16,'Machine List'!$A$1:$I$300,5,FALSE)="Multi",IF(VLOOKUP(H16,'Machine List'!$A$1:$I$300,6,FALSE)="Yes",AW16*3*10^AV16,AW16*(2*3)*10^(AV16-1)),0)</f>
        <v>0</v>
      </c>
      <c r="M16" s="147">
        <f>L16+IF(ISNUMBER(I16),I16,
  SWITCH(
      I16,
      "1T",1*10^AV16,
      "2T",2*10^AV16,
      "3T",3*10^AV16,
      "4T",4*10^AV16,
      "4000+500(7O-5)",4000+500*(7*I17-5),
      1
  )
)</f>
        <v>100000</v>
      </c>
      <c r="N16" s="147" t="str">
        <f>VLOOKUP(H16,'Machine List'!$A$1:$I$300,8,FALSE)</f>
        <v>Tier</v>
      </c>
      <c r="O16" s="147">
        <f>IF(ISNUMBER(N16),N16,10^AB16)</f>
        <v>10</v>
      </c>
      <c r="P16" s="147">
        <f>IF(ISNUMBER(N16),N16,10^AV16)</f>
        <v>100000</v>
      </c>
      <c r="Q16" s="147">
        <f>VLOOKUP(H16,'Machine List'!$A$1:$B$138,2,FALSE)</f>
        <v>1</v>
      </c>
      <c r="R16" s="147" t="s">
        <v>277</v>
      </c>
      <c r="S16" s="143">
        <f>IF(ISNUMBER(Q16),Q16,
  SWITCH(
      Q16,
      "1",1,
      "2T",AB16*2,
      "4T",AB16*4,
      "6T",AB16*6,
      "8T",AB16*8,
      "10T",AB16*10,
      "12T",AB16*12,
      "14T",AB16*14,
      "16T",AB16*16,
      "24T",AB16*24,
      "2(T+1)",2*(AB16+1),
      "1T*C",AB16*J18,
      "2*P",L18*2,
      1
  )
)</f>
        <v>1</v>
      </c>
      <c r="T16" s="38" t="s">
        <v>277</v>
      </c>
      <c r="U16" s="147">
        <f>IF(OR(T16="No",T16=""),S16,T16)</f>
        <v>1</v>
      </c>
      <c r="V16" s="147">
        <f>IF(ISNUMBER(Q16),Q16,
  SWITCH(
      Q16,
      "1",1,
      "2T",AV16*2,
      "4T",AV16*4,
      "6T",AV16*6,
      "8T",AV16*8,
      "10T",AV16*10,
      "12T",AV16*12,
      "14T",AV16*14,
      "16T",AV16*16,
      "24T",AV16*24,
      "2(T+1)",2*(AV16+1),
      "1T*C",AV16*J18,
      "2*P",L18*2,
      1
  )
)</f>
        <v>1</v>
      </c>
      <c r="W16" s="147" t="str">
        <f>T16</f>
        <v>No</v>
      </c>
      <c r="X16" s="147">
        <f>IF(OR(W16="No",W16=""),V16,W16)</f>
        <v>1</v>
      </c>
      <c r="Y16" s="38">
        <f>VLOOKUP(H16,'Machine List'!$A$1:$C$138,3,FALSE)</f>
        <v>1</v>
      </c>
      <c r="Z16" s="38">
        <f>VLOOKUP(H16,'Machine List'!$A$1:$D$138,4,FALSE)</f>
        <v>1</v>
      </c>
      <c r="AA16" s="168" t="s">
        <v>390</v>
      </c>
      <c r="AB16" s="147">
        <f>VLOOKUP(AA16,'Item Helper Sheet'!$A$2:$B$16,2,FALSE)</f>
        <v>1</v>
      </c>
      <c r="AC16" s="147">
        <v>30.0</v>
      </c>
      <c r="AD16" s="147">
        <f>30*20</f>
        <v>600</v>
      </c>
      <c r="AE16" s="147">
        <f>AD16*I18</f>
        <v>600</v>
      </c>
      <c r="AF16" s="147">
        <f>AC16*AE16</f>
        <v>18000</v>
      </c>
      <c r="AG16" s="148"/>
      <c r="AH16" s="147" t="str">
        <f>AA16</f>
        <v>01 - LV</v>
      </c>
      <c r="AI16" s="147">
        <v>1.0</v>
      </c>
      <c r="AJ16" s="147">
        <v>1.0</v>
      </c>
      <c r="AK16" s="147">
        <f>AJ16*8*4^AB16</f>
        <v>32</v>
      </c>
      <c r="AL16" s="147">
        <f>MIN(ROUNDDOWN(AK16/AN16,0),U16)</f>
        <v>1</v>
      </c>
      <c r="AM16" s="147">
        <f>IF(OR(T16="No",T16=""),AI16*S16,AI16*T16)</f>
        <v>1</v>
      </c>
      <c r="AN16" s="147">
        <f>ROUNDUP(AC16*VLOOKUP(H16,'Machine List'!$A$2:$D$219,4,FALSE),0)</f>
        <v>30</v>
      </c>
      <c r="AO16" s="147">
        <f>AN16*AM16</f>
        <v>30</v>
      </c>
      <c r="AP16" s="147">
        <f>ROUNDUP(AD16*I18,0)</f>
        <v>600</v>
      </c>
      <c r="AQ16" s="38">
        <f>IF(ISNUMBER(Y16),ROUNDUP(AP16/Y16,0),
  SWITCH(
      Y16,
      "1+0.5C",ROUNDUP(AP16/(1+0.5*VLOOKUP(J18,'Machine Helper Sheet'!$G$1:$K$16,2,FALSE)),0),
      ROUNDUP(AP16/1,0)
  )
)</f>
        <v>600</v>
      </c>
      <c r="AR16" s="147">
        <f>ROUNDUP(AQ16/AM16,0)</f>
        <v>600</v>
      </c>
      <c r="AS16" s="147">
        <f>AO16*AR16</f>
        <v>18000</v>
      </c>
      <c r="AT16" s="148"/>
      <c r="AU16" s="168" t="s">
        <v>405</v>
      </c>
      <c r="AV16" s="147">
        <f>VLOOKUP(AU16,'Item Helper Sheet'!$A$2:$B$16,2,FALSE)</f>
        <v>5</v>
      </c>
      <c r="AW16" s="147">
        <f>AI16</f>
        <v>1</v>
      </c>
      <c r="AX16" s="147">
        <v>1.0</v>
      </c>
      <c r="AY16" s="147">
        <f>AX16*8*4^AV16</f>
        <v>8192</v>
      </c>
      <c r="AZ16" s="147">
        <f>MIN(ROUNDDOWN(AY16/AN16,0),X16)</f>
        <v>1</v>
      </c>
      <c r="BA16" s="147">
        <f>AZ16*AW16</f>
        <v>1</v>
      </c>
      <c r="BB16" s="147">
        <f>AN16</f>
        <v>30</v>
      </c>
      <c r="BC16" s="147">
        <f>MIN(AV16-AB16,IF(AY16&gt;=BB17*4,
IF(AY16&gt;=BB17*4^2,
IF(AY16&gt;=BB17*4^3,
IF(AY16&gt;=BB17*4^4,
IF(AY16&gt;=BB17*4^5,
IF(AY16&gt;=BB17*4^6,
IF(AY16&gt;=BB17*4^7,
IF(AY16&gt;=BB17*4^8,
IF(AY16&gt;=BB17*4^9,
IF(AY16&gt;=BB17*4^10,
9),
8),
7),
6),
5),
4),
3),
2),
1),
0))</f>
        <v>4</v>
      </c>
      <c r="BD16" s="147">
        <f>BB16*AZ16*4^BC16</f>
        <v>7680</v>
      </c>
      <c r="BE16" s="147">
        <f>BD16*AW16</f>
        <v>7680</v>
      </c>
      <c r="BF16" s="143">
        <f>ROUNDUP(IF(R16="Yes",AP16/(2^((BC16)*2)),AP16/(2^(BC16))),0)</f>
        <v>38</v>
      </c>
      <c r="BG16" s="45">
        <f>IF(ISNUMBER(Y16),ROUNDUP(BF16/Y16,0),
  SWITCH(
      Y16,
      "1+0.5C",ROUNDUP(BF16/(1+0.5*VLOOKUP(J18,'Machine Helper Sheet'!$G$1:$K$16,2,FALSE)),0),
      ROUNDUP(BF16/1,0)
  )
)</f>
        <v>38</v>
      </c>
      <c r="BH16" s="143">
        <f>ROUNDUP(BG16/BA16,0)</f>
        <v>38</v>
      </c>
      <c r="BI16" s="149">
        <f>BH16*BE16</f>
        <v>291840</v>
      </c>
      <c r="BK16" s="22"/>
      <c r="BS16" s="6" t="s">
        <v>53</v>
      </c>
      <c r="BT16" s="6">
        <v>0.0</v>
      </c>
    </row>
    <row r="17">
      <c r="B17" s="141" t="s">
        <v>823</v>
      </c>
      <c r="C17" s="169" t="s">
        <v>156</v>
      </c>
      <c r="D17" s="147">
        <f>1*I18</f>
        <v>1</v>
      </c>
      <c r="E17" s="168" t="s">
        <v>182</v>
      </c>
      <c r="F17" s="173">
        <f>0.95*I18</f>
        <v>0.95</v>
      </c>
      <c r="G17" s="138"/>
      <c r="H17" s="153" t="s">
        <v>584</v>
      </c>
      <c r="I17" s="45">
        <f t="array" ref="I17">match(TRUE,ISBLANK(F17:F30),0)-1</f>
        <v>1</v>
      </c>
      <c r="J17" s="154" t="s">
        <v>420</v>
      </c>
      <c r="K17" s="154" t="s">
        <v>585</v>
      </c>
      <c r="L17" s="100" t="s">
        <v>704</v>
      </c>
      <c r="M17" s="147"/>
      <c r="N17" s="147"/>
      <c r="O17" s="147"/>
      <c r="P17" s="147"/>
      <c r="Q17" s="147"/>
      <c r="R17" s="155"/>
      <c r="S17" s="155"/>
      <c r="T17" s="155"/>
      <c r="U17" s="143"/>
      <c r="V17" s="143"/>
      <c r="W17" s="143"/>
      <c r="X17" s="143"/>
      <c r="Y17" s="143"/>
      <c r="Z17" s="143"/>
      <c r="AA17" s="143"/>
      <c r="AB17" s="143"/>
      <c r="AC17" s="143"/>
      <c r="AD17" s="143"/>
      <c r="AE17" s="143"/>
      <c r="AF17" s="143"/>
      <c r="AG17" s="156"/>
      <c r="AH17" s="143"/>
      <c r="AI17" s="143"/>
      <c r="AJ17" s="143"/>
      <c r="AK17" s="143"/>
      <c r="AL17" s="143"/>
      <c r="AM17" s="143"/>
      <c r="AN17" s="143"/>
      <c r="AO17" s="143"/>
      <c r="AP17" s="143"/>
      <c r="AQ17" s="143"/>
      <c r="AR17" s="143"/>
      <c r="AS17" s="143"/>
      <c r="AT17" s="156"/>
      <c r="AU17" s="143"/>
      <c r="AV17" s="143"/>
      <c r="AW17" s="143"/>
      <c r="AX17" s="143"/>
      <c r="AY17" s="143"/>
      <c r="AZ17" s="143"/>
      <c r="BA17" s="143"/>
      <c r="BB17" s="143">
        <f>BB16*AZ16</f>
        <v>30</v>
      </c>
      <c r="BC17" s="143"/>
      <c r="BD17" s="143"/>
      <c r="BE17" s="143"/>
      <c r="BF17" s="143"/>
      <c r="BG17" s="143"/>
      <c r="BH17" s="143"/>
      <c r="BI17" s="149"/>
      <c r="BK17" s="22"/>
      <c r="BS17" s="140" t="s">
        <v>55</v>
      </c>
      <c r="BT17" s="140">
        <v>8000.0</v>
      </c>
    </row>
    <row r="18">
      <c r="B18" s="150"/>
      <c r="C18" s="169"/>
      <c r="D18" s="147"/>
      <c r="E18" s="168"/>
      <c r="F18" s="152"/>
      <c r="G18" s="138"/>
      <c r="H18" s="157" t="s">
        <v>502</v>
      </c>
      <c r="I18" s="170">
        <v>1.0</v>
      </c>
      <c r="J18" s="154" t="s">
        <v>424</v>
      </c>
      <c r="K18" s="154">
        <v>0.0</v>
      </c>
      <c r="L18" s="100">
        <v>0.0</v>
      </c>
      <c r="M18" s="143"/>
      <c r="N18" s="143"/>
      <c r="O18" s="143"/>
      <c r="P18" s="143"/>
      <c r="Q18" s="143"/>
      <c r="R18" s="143"/>
      <c r="S18" s="155"/>
      <c r="T18" s="155"/>
      <c r="U18" s="143"/>
      <c r="V18" s="143"/>
      <c r="W18" s="143"/>
      <c r="X18" s="143"/>
      <c r="Y18" s="143"/>
      <c r="Z18" s="143"/>
      <c r="AA18" s="143"/>
      <c r="AB18" s="143"/>
      <c r="AC18" s="143"/>
      <c r="AD18" s="143"/>
      <c r="AE18" s="143"/>
      <c r="AF18" s="143"/>
      <c r="AG18" s="156"/>
      <c r="AH18" s="143"/>
      <c r="AI18" s="143"/>
      <c r="AJ18" s="143"/>
      <c r="AK18" s="143"/>
      <c r="AL18" s="143"/>
      <c r="AM18" s="143"/>
      <c r="AN18" s="143"/>
      <c r="AO18" s="143"/>
      <c r="AP18" s="143"/>
      <c r="AQ18" s="143"/>
      <c r="AR18" s="143"/>
      <c r="AS18" s="143"/>
      <c r="AT18" s="156"/>
      <c r="AU18" s="143"/>
      <c r="AV18" s="143"/>
      <c r="AW18" s="143"/>
      <c r="AX18" s="143"/>
      <c r="AY18" s="143"/>
      <c r="AZ18" s="143"/>
      <c r="BA18" s="143"/>
      <c r="BB18" s="143"/>
      <c r="BC18" s="143"/>
      <c r="BD18" s="143"/>
      <c r="BE18" s="143"/>
      <c r="BF18" s="143"/>
      <c r="BG18" s="143"/>
      <c r="BH18" s="143"/>
      <c r="BI18" s="149"/>
      <c r="BK18" s="22"/>
      <c r="BS18" s="6" t="s">
        <v>64</v>
      </c>
      <c r="BT18" s="6">
        <v>1000.0</v>
      </c>
    </row>
    <row r="19">
      <c r="B19" s="135"/>
      <c r="C19" s="136"/>
      <c r="D19" s="137"/>
      <c r="E19" s="137"/>
      <c r="F19" s="137"/>
      <c r="G19" s="138"/>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8"/>
      <c r="AH19" s="137"/>
      <c r="AI19" s="137"/>
      <c r="AJ19" s="137"/>
      <c r="AK19" s="137"/>
      <c r="AL19" s="137"/>
      <c r="AM19" s="137"/>
      <c r="AN19" s="137"/>
      <c r="AO19" s="137"/>
      <c r="AP19" s="137"/>
      <c r="AQ19" s="137"/>
      <c r="AR19" s="137"/>
      <c r="AS19" s="137"/>
      <c r="AT19" s="138"/>
      <c r="AU19" s="137"/>
      <c r="AV19" s="137"/>
      <c r="AW19" s="137"/>
      <c r="AX19" s="137"/>
      <c r="AY19" s="137"/>
      <c r="AZ19" s="137"/>
      <c r="BA19" s="137"/>
      <c r="BB19" s="137"/>
      <c r="BC19" s="137"/>
      <c r="BD19" s="137"/>
      <c r="BE19" s="137"/>
      <c r="BF19" s="137"/>
      <c r="BG19" s="137"/>
      <c r="BH19" s="137"/>
      <c r="BI19" s="139"/>
      <c r="BK19" s="22"/>
      <c r="BS19" s="6" t="s">
        <v>73</v>
      </c>
      <c r="BT19" s="140">
        <v>-3000.0</v>
      </c>
    </row>
    <row r="20">
      <c r="B20" s="141" t="s">
        <v>825</v>
      </c>
      <c r="C20" s="142"/>
      <c r="D20" s="143"/>
      <c r="E20" s="143"/>
      <c r="F20" s="144"/>
      <c r="G20" s="145"/>
      <c r="H20" s="167" t="s">
        <v>301</v>
      </c>
      <c r="I20" s="147">
        <f>VLOOKUP(H20,'Machine List'!$A$1:$I$300,9,FALSE)</f>
        <v>1000</v>
      </c>
      <c r="J20" s="147">
        <f>IF(VLOOKUP(H20,'Machine List'!$A$1:$I$300,5,FALSE)="Multi",IF(VLOOKUP(H20,'Machine List'!$A$1:$I$300,6,FALSE)="Yes",AI20*3*10^AB20,AI20*(2*3)*10^(AB20-1)),0)</f>
        <v>60</v>
      </c>
      <c r="K20" s="147">
        <f>J20+IF(ISNUMBER(I20),I20,
  SWITCH(
      I20,
      "1T",1*10^AB20,
      "2T",2*10^AB20,
      "3T",3*10^AB20,
      "4T",4*10^AB20,
      "4000+500(7O-5)",4000+500*(7*I21-5),
      "13500 + 16C",13500+16*VLOOKUP(J22,'Machine Helper Sheet'!$G$1:$K$16,5,FALSE),
      1
  )
)</f>
        <v>1060</v>
      </c>
      <c r="L20" s="147">
        <f>IF(VLOOKUP(H20,'Machine List'!$A$1:$I$300,5,FALSE)="Multi",IF(VLOOKUP(H20,'Machine List'!$A$1:$I$300,6,FALSE)="Yes",AW20*3*10^AV20,AW20*(2*3)*10^(AV20-1)),0)</f>
        <v>60000</v>
      </c>
      <c r="M20" s="147">
        <f>L20+IF(ISNUMBER(I20),I20,
  SWITCH(
      I20,
      "1T",1*10^AV20,
      "2T",2*10^AV20,
      "3T",3*10^AV20,
      "4T",4*10^AV20,
      "4000+500(7O-5)",4000+500*(7*I21-5),
      1
  )
)</f>
        <v>61000</v>
      </c>
      <c r="N20" s="147" t="str">
        <f>VLOOKUP(H20,'Machine List'!$A$1:$I$300,8,FALSE)</f>
        <v>Tier</v>
      </c>
      <c r="O20" s="147">
        <f>IF(ISNUMBER(N20),N20,10^AB20)</f>
        <v>100</v>
      </c>
      <c r="P20" s="147">
        <f>IF(ISNUMBER(N20),N20,10^AV20)</f>
        <v>100000</v>
      </c>
      <c r="Q20" s="147">
        <f>VLOOKUP(H20,'Machine List'!$A$1:$B$138,2,FALSE)</f>
        <v>1</v>
      </c>
      <c r="R20" s="147" t="s">
        <v>277</v>
      </c>
      <c r="S20" s="143">
        <f>IF(ISNUMBER(Q20),Q20,
  SWITCH(
      Q20,
      "1",1,
      "2T",AB20*2,
      "4T",AB20*4,
      "6T",AB20*6,
      "8T",AB20*8,
      "10T",AB20*10,
      "12T",AB20*12,
      "14T",AB20*14,
      "16T",AB20*16,
      "24T",AB20*24,
      "2(T+1)",2*(AB20+1),
      "1T*C",AB20*J22,
      "2*P",L22*2,
      1
  )
)</f>
        <v>1</v>
      </c>
      <c r="T20" s="38" t="s">
        <v>277</v>
      </c>
      <c r="U20" s="147">
        <f>IF(OR(T20="No",T20=""),S20,T20)</f>
        <v>1</v>
      </c>
      <c r="V20" s="147">
        <f>IF(ISNUMBER(Q20),Q20,
  SWITCH(
      Q20,
      "1",1,
      "2T",AV20*2,
      "4T",AV20*4,
      "6T",AV20*6,
      "8T",AV20*8,
      "10T",AV20*10,
      "12T",AV20*12,
      "14T",AV20*14,
      "16T",AV20*16,
      "24T",AV20*24,
      "2(T+1)",2*(AV20+1),
      "1T*C",AV20*J22,
      "2*P",L22*2,
      1
  )
)</f>
        <v>1</v>
      </c>
      <c r="W20" s="147" t="str">
        <f>T20</f>
        <v>No</v>
      </c>
      <c r="X20" s="147">
        <f>IF(OR(W20="No",W20=""),V20,W20)</f>
        <v>1</v>
      </c>
      <c r="Y20" s="38">
        <f>VLOOKUP(H20,'Machine List'!$A$1:$C$138,3,FALSE)</f>
        <v>1</v>
      </c>
      <c r="Z20" s="38">
        <f>VLOOKUP(H20,'Machine List'!$A$1:$D$138,4,FALSE)</f>
        <v>1</v>
      </c>
      <c r="AA20" s="168" t="s">
        <v>393</v>
      </c>
      <c r="AB20" s="147">
        <f>VLOOKUP(AA20,'Item Helper Sheet'!$A$2:$B$16,2,FALSE)</f>
        <v>2</v>
      </c>
      <c r="AC20" s="147">
        <v>120.0</v>
      </c>
      <c r="AD20" s="147">
        <f>10*20</f>
        <v>200</v>
      </c>
      <c r="AE20" s="147">
        <f>AD20*I22</f>
        <v>200</v>
      </c>
      <c r="AF20" s="147">
        <f>AC20*AE20</f>
        <v>24000</v>
      </c>
      <c r="AG20" s="148"/>
      <c r="AH20" s="147" t="str">
        <f>AA20</f>
        <v>02 - MV</v>
      </c>
      <c r="AI20" s="147">
        <v>1.0</v>
      </c>
      <c r="AJ20" s="147">
        <v>1.0</v>
      </c>
      <c r="AK20" s="147">
        <f>AJ20*8*4^AB20</f>
        <v>128</v>
      </c>
      <c r="AL20" s="147">
        <f>MIN(ROUNDDOWN(AK20/AN20,0),U20)</f>
        <v>1</v>
      </c>
      <c r="AM20" s="147">
        <f>IF(OR(T20="No",T20=""),AI20*S20,AI20*T20)</f>
        <v>1</v>
      </c>
      <c r="AN20" s="147">
        <f>ROUNDUP(AC20*VLOOKUP(H20,'Machine List'!$A$2:$D$219,4,FALSE),0)</f>
        <v>120</v>
      </c>
      <c r="AO20" s="147">
        <f>AN20*AM20</f>
        <v>120</v>
      </c>
      <c r="AP20" s="147">
        <f>ROUNDUP(AD20*I22,0)</f>
        <v>200</v>
      </c>
      <c r="AQ20" s="38">
        <f>IF(ISNUMBER(Y20),ROUNDUP(AP20/Y20,0),
  SWITCH(
      Y20,
      "1+0.5C",ROUNDUP(AP20/(1+0.5*VLOOKUP(J22,'Machine Helper Sheet'!$G$1:$K$16,2,FALSE)),0),
      ROUNDUP(AP20/1,0)
  )
)</f>
        <v>200</v>
      </c>
      <c r="AR20" s="147">
        <f>ROUNDUP(AQ20/AM20,0)</f>
        <v>200</v>
      </c>
      <c r="AS20" s="147">
        <f>AO20*AR20</f>
        <v>24000</v>
      </c>
      <c r="AT20" s="148"/>
      <c r="AU20" s="168" t="s">
        <v>405</v>
      </c>
      <c r="AV20" s="147">
        <f>VLOOKUP(AU20,'Item Helper Sheet'!$A$2:$B$16,2,FALSE)</f>
        <v>5</v>
      </c>
      <c r="AW20" s="147">
        <f>AI20</f>
        <v>1</v>
      </c>
      <c r="AX20" s="147">
        <v>1.0</v>
      </c>
      <c r="AY20" s="147">
        <f>AX20*8*4^AV20</f>
        <v>8192</v>
      </c>
      <c r="AZ20" s="147">
        <f>MIN(ROUNDDOWN(AY20/AN20,0),X20)</f>
        <v>1</v>
      </c>
      <c r="BA20" s="147">
        <f>AZ20*AW20</f>
        <v>1</v>
      </c>
      <c r="BB20" s="147">
        <f>AN20</f>
        <v>120</v>
      </c>
      <c r="BC20" s="147">
        <f>MIN(AV20-AB20,IF(AY20&gt;=BB21*4,
IF(AY20&gt;=BB21*4^2,
IF(AY20&gt;=BB21*4^3,
IF(AY20&gt;=BB21*4^4,
IF(AY20&gt;=BB21*4^5,
IF(AY20&gt;=BB21*4^6,
IF(AY20&gt;=BB21*4^7,
IF(AY20&gt;=BB21*4^8,
IF(AY20&gt;=BB21*4^9,
IF(AY20&gt;=BB21*4^10,
9),
8),
7),
6),
5),
4),
3),
2),
1),
0))</f>
        <v>3</v>
      </c>
      <c r="BD20" s="147">
        <f>BB20*AZ20*4^BC20</f>
        <v>7680</v>
      </c>
      <c r="BE20" s="147">
        <f>BD20*AW20</f>
        <v>7680</v>
      </c>
      <c r="BF20" s="143">
        <f>ROUNDUP(IF(R20="Yes",AP20/(2^((BC20)*2)),AP20/(2^(BC20))),0)</f>
        <v>25</v>
      </c>
      <c r="BG20" s="45">
        <f>IF(ISNUMBER(Y20),ROUNDUP(BF20/Y20,0),
  SWITCH(
      Y20,
      "1+0.5C",ROUNDUP(BF20/(1+0.5*VLOOKUP(J22,'Machine Helper Sheet'!$G$1:$K$16,2,FALSE)),0),
      ROUNDUP(BF20/1,0)
  )
)</f>
        <v>25</v>
      </c>
      <c r="BH20" s="143">
        <f>ROUNDUP(BG20/BA20,0)</f>
        <v>25</v>
      </c>
      <c r="BI20" s="149">
        <f>BH20*BE20</f>
        <v>192000</v>
      </c>
      <c r="BK20" s="22"/>
      <c r="BS20" s="6" t="s">
        <v>84</v>
      </c>
      <c r="BT20" s="140">
        <v>-7000.0</v>
      </c>
    </row>
    <row r="21">
      <c r="B21" s="141" t="s">
        <v>823</v>
      </c>
      <c r="C21" s="169" t="s">
        <v>182</v>
      </c>
      <c r="D21" s="147">
        <f>1*I22</f>
        <v>1</v>
      </c>
      <c r="E21" s="168" t="s">
        <v>165</v>
      </c>
      <c r="F21" s="152">
        <f>1*I22</f>
        <v>1</v>
      </c>
      <c r="G21" s="138"/>
      <c r="H21" s="153" t="s">
        <v>584</v>
      </c>
      <c r="I21" s="45">
        <f t="array" ref="I21">match(TRUE,ISBLANK(F21:F34),0)-1</f>
        <v>2</v>
      </c>
      <c r="J21" s="154" t="s">
        <v>420</v>
      </c>
      <c r="K21" s="154" t="s">
        <v>585</v>
      </c>
      <c r="L21" s="100" t="s">
        <v>704</v>
      </c>
      <c r="M21" s="147"/>
      <c r="N21" s="147"/>
      <c r="O21" s="147"/>
      <c r="P21" s="147"/>
      <c r="Q21" s="147"/>
      <c r="R21" s="155"/>
      <c r="S21" s="155"/>
      <c r="T21" s="155"/>
      <c r="U21" s="143"/>
      <c r="V21" s="143"/>
      <c r="W21" s="143"/>
      <c r="X21" s="143"/>
      <c r="Y21" s="143"/>
      <c r="Z21" s="143"/>
      <c r="AA21" s="143"/>
      <c r="AB21" s="143"/>
      <c r="AC21" s="143"/>
      <c r="AD21" s="143"/>
      <c r="AE21" s="143"/>
      <c r="AF21" s="143"/>
      <c r="AG21" s="156"/>
      <c r="AH21" s="143"/>
      <c r="AI21" s="143"/>
      <c r="AJ21" s="143"/>
      <c r="AK21" s="143"/>
      <c r="AL21" s="143"/>
      <c r="AM21" s="143"/>
      <c r="AN21" s="143"/>
      <c r="AO21" s="143"/>
      <c r="AP21" s="143"/>
      <c r="AQ21" s="143"/>
      <c r="AR21" s="143"/>
      <c r="AS21" s="143"/>
      <c r="AT21" s="156"/>
      <c r="AU21" s="143"/>
      <c r="AV21" s="143"/>
      <c r="AW21" s="143"/>
      <c r="AX21" s="143"/>
      <c r="AY21" s="143"/>
      <c r="AZ21" s="143"/>
      <c r="BA21" s="143"/>
      <c r="BB21" s="143">
        <f>BB20*AZ20</f>
        <v>120</v>
      </c>
      <c r="BC21" s="143"/>
      <c r="BD21" s="143"/>
      <c r="BE21" s="143"/>
      <c r="BF21" s="143"/>
      <c r="BG21" s="143"/>
      <c r="BH21" s="143"/>
      <c r="BI21" s="149"/>
      <c r="BK21" s="22"/>
      <c r="BS21" s="6" t="s">
        <v>85</v>
      </c>
      <c r="BT21" s="6">
        <v>-29000.0</v>
      </c>
    </row>
    <row r="22">
      <c r="B22" s="150"/>
      <c r="C22" s="169"/>
      <c r="D22" s="147"/>
      <c r="E22" s="168" t="s">
        <v>48</v>
      </c>
      <c r="F22" s="152">
        <f>87*I22</f>
        <v>87</v>
      </c>
      <c r="G22" s="138"/>
      <c r="H22" s="157" t="s">
        <v>502</v>
      </c>
      <c r="I22" s="170">
        <v>1.0</v>
      </c>
      <c r="J22" s="154" t="s">
        <v>427</v>
      </c>
      <c r="K22" s="154">
        <v>0.0</v>
      </c>
      <c r="L22" s="100">
        <v>0.0</v>
      </c>
      <c r="M22" s="143"/>
      <c r="N22" s="143"/>
      <c r="O22" s="143"/>
      <c r="P22" s="143"/>
      <c r="Q22" s="143"/>
      <c r="R22" s="143"/>
      <c r="S22" s="155"/>
      <c r="T22" s="155"/>
      <c r="U22" s="143"/>
      <c r="V22" s="143"/>
      <c r="W22" s="143"/>
      <c r="X22" s="143"/>
      <c r="Y22" s="143"/>
      <c r="Z22" s="143"/>
      <c r="AA22" s="143"/>
      <c r="AB22" s="143"/>
      <c r="AC22" s="143"/>
      <c r="AD22" s="143"/>
      <c r="AE22" s="143"/>
      <c r="AF22" s="143"/>
      <c r="AG22" s="156"/>
      <c r="AH22" s="143"/>
      <c r="AI22" s="143"/>
      <c r="AJ22" s="143"/>
      <c r="AK22" s="143"/>
      <c r="AL22" s="143"/>
      <c r="AM22" s="143"/>
      <c r="AN22" s="143"/>
      <c r="AO22" s="143"/>
      <c r="AP22" s="143"/>
      <c r="AQ22" s="143"/>
      <c r="AR22" s="143"/>
      <c r="AS22" s="143"/>
      <c r="AT22" s="156"/>
      <c r="AU22" s="143"/>
      <c r="AV22" s="143"/>
      <c r="AW22" s="143"/>
      <c r="AX22" s="143"/>
      <c r="AY22" s="143"/>
      <c r="AZ22" s="143"/>
      <c r="BA22" s="143"/>
      <c r="BB22" s="143"/>
      <c r="BC22" s="143"/>
      <c r="BD22" s="143"/>
      <c r="BE22" s="143"/>
      <c r="BF22" s="143"/>
      <c r="BG22" s="143"/>
      <c r="BH22" s="143"/>
      <c r="BI22" s="149"/>
      <c r="BK22" s="22"/>
      <c r="BS22" s="6" t="s">
        <v>87</v>
      </c>
      <c r="BT22" s="6">
        <v>-2000.0</v>
      </c>
    </row>
    <row r="23">
      <c r="B23" s="135"/>
      <c r="C23" s="136"/>
      <c r="D23" s="137"/>
      <c r="E23" s="137"/>
      <c r="F23" s="137"/>
      <c r="G23" s="138"/>
      <c r="H23" s="137"/>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8"/>
      <c r="AH23" s="137"/>
      <c r="AI23" s="137"/>
      <c r="AJ23" s="137"/>
      <c r="AK23" s="137"/>
      <c r="AL23" s="137"/>
      <c r="AM23" s="137"/>
      <c r="AN23" s="137"/>
      <c r="AO23" s="137"/>
      <c r="AP23" s="137"/>
      <c r="AQ23" s="137"/>
      <c r="AR23" s="137"/>
      <c r="AS23" s="137"/>
      <c r="AT23" s="138"/>
      <c r="AU23" s="137"/>
      <c r="AV23" s="137"/>
      <c r="AW23" s="137"/>
      <c r="AX23" s="137"/>
      <c r="AY23" s="137"/>
      <c r="AZ23" s="137"/>
      <c r="BA23" s="137"/>
      <c r="BB23" s="137"/>
      <c r="BC23" s="137"/>
      <c r="BD23" s="137"/>
      <c r="BE23" s="137"/>
      <c r="BF23" s="137"/>
      <c r="BG23" s="137"/>
      <c r="BH23" s="137"/>
      <c r="BI23" s="139"/>
      <c r="BK23" s="22"/>
      <c r="BS23" s="6" t="s">
        <v>92</v>
      </c>
      <c r="BT23" s="6">
        <v>0.0</v>
      </c>
    </row>
    <row r="24">
      <c r="B24" s="141" t="s">
        <v>826</v>
      </c>
      <c r="C24" s="142"/>
      <c r="D24" s="143"/>
      <c r="E24" s="143"/>
      <c r="F24" s="144"/>
      <c r="G24" s="145"/>
      <c r="H24" s="167" t="s">
        <v>349</v>
      </c>
      <c r="I24" s="147">
        <f>VLOOKUP(H24,'Machine List'!$A$1:$I$300,9,FALSE)</f>
        <v>4000</v>
      </c>
      <c r="J24" s="147">
        <f>IF(VLOOKUP(H24,'Machine List'!$A$1:$I$300,5,FALSE)="Multi",IF(VLOOKUP(H24,'Machine List'!$A$1:$I$300,6,FALSE)="Yes",AI24*3*10^AB24,AI24*(2*3)*10^(AB24-1)),0)</f>
        <v>6</v>
      </c>
      <c r="K24" s="147">
        <f>J24+IF(ISNUMBER(I24),I24,
  SWITCH(
      I24,
      "1T",1*10^AB24,
      "2T",2*10^AB24,
      "3T",3*10^AB24,
      "4T",4*10^AB24,
      "4000+500(7O-5)",4000+500*(7*I25-5),
      "13500 + 16C",13500+16*VLOOKUP(J26,'Machine Helper Sheet'!$G$1:$K$16,5,FALSE),
      1
  )
)</f>
        <v>4006</v>
      </c>
      <c r="L24" s="147">
        <f>IF(VLOOKUP(H24,'Machine List'!$A$1:$I$300,5,FALSE)="Multi",IF(VLOOKUP(H24,'Machine List'!$A$1:$I$300,6,FALSE)="Yes",AW24*3*10^AV24,AW24*(2*3)*10^(AV24-1)),0)</f>
        <v>60000</v>
      </c>
      <c r="M24" s="147">
        <f>L24+IF(ISNUMBER(I24),I24,
  SWITCH(
      I24,
      "1T",1*10^AV24,
      "2T",2*10^AV24,
      "3T",3*10^AV24,
      "4T",4*10^AV24,
      "4000+500(7O-5)",4000+500*(7*I25-5),
      1
  )
)</f>
        <v>64000</v>
      </c>
      <c r="N24" s="147" t="str">
        <f>VLOOKUP(H24,'Machine List'!$A$1:$I$300,8,FALSE)</f>
        <v>Tier</v>
      </c>
      <c r="O24" s="147">
        <f>IF(ISNUMBER(N24),N24,10^AB24)</f>
        <v>10</v>
      </c>
      <c r="P24" s="147">
        <f>IF(ISNUMBER(N24),N24,10^AV24)</f>
        <v>100000</v>
      </c>
      <c r="Q24" s="147">
        <f>VLOOKUP(H24,'Machine List'!$A$1:$B$138,2,FALSE)</f>
        <v>1</v>
      </c>
      <c r="R24" s="147" t="s">
        <v>594</v>
      </c>
      <c r="S24" s="143">
        <f>IF(ISNUMBER(Q24),Q24,
  SWITCH(
      Q24,
      "1",1,
      "2T",AB24*2,
      "4T",AB24*4,
      "6T",AB24*6,
      "8T",AB24*8,
      "10T",AB24*10,
      "12T",AB24*12,
      "14T",AB24*14,
      "16T",AB24*16,
      "24T",AB24*24,
      "2(T+1)",2*(AB24+1),
      "1T*C",AB24*J26,
      "2*P",L26*2,
      1
  )
)</f>
        <v>1</v>
      </c>
      <c r="T24" s="38" t="s">
        <v>277</v>
      </c>
      <c r="U24" s="147">
        <f>IF(OR(T24="No",T24=""),S24,T24)</f>
        <v>1</v>
      </c>
      <c r="V24" s="147">
        <f>IF(ISNUMBER(Q24),Q24,
  SWITCH(
      Q24,
      "1",1,
      "2T",AV24*2,
      "4T",AV24*4,
      "6T",AV24*6,
      "8T",AV24*8,
      "10T",AV24*10,
      "12T",AV24*12,
      "14T",AV24*14,
      "16T",AV24*16,
      "24T",AV24*24,
      "2(T+1)",2*(AV24+1),
      "1T*C",AV24*J26,
      "2*P",L26*2,
      1
  )
)</f>
        <v>1</v>
      </c>
      <c r="W24" s="147" t="str">
        <f>T24</f>
        <v>No</v>
      </c>
      <c r="X24" s="147">
        <f>IF(OR(W24="No",W24=""),V24,W24)</f>
        <v>1</v>
      </c>
      <c r="Y24" s="38">
        <f>VLOOKUP(H24,'Machine List'!$A$1:$C$138,3,FALSE)</f>
        <v>1</v>
      </c>
      <c r="Z24" s="38">
        <f>VLOOKUP(H24,'Machine List'!$A$1:$D$138,4,FALSE)</f>
        <v>1</v>
      </c>
      <c r="AA24" s="168" t="s">
        <v>390</v>
      </c>
      <c r="AB24" s="147">
        <f>VLOOKUP(AA24,'Item Helper Sheet'!$A$2:$B$16,2,FALSE)</f>
        <v>1</v>
      </c>
      <c r="AC24" s="147">
        <v>30.0</v>
      </c>
      <c r="AD24" s="147">
        <f>1.5*20</f>
        <v>30</v>
      </c>
      <c r="AE24" s="147">
        <f>AD24*I26</f>
        <v>30</v>
      </c>
      <c r="AF24" s="147">
        <f>AC24*AE24</f>
        <v>900</v>
      </c>
      <c r="AG24" s="148"/>
      <c r="AH24" s="147" t="str">
        <f>AA24</f>
        <v>01 - LV</v>
      </c>
      <c r="AI24" s="147">
        <v>1.0</v>
      </c>
      <c r="AJ24" s="147">
        <v>1.0</v>
      </c>
      <c r="AK24" s="147">
        <f>AJ24*8*4^AB24</f>
        <v>32</v>
      </c>
      <c r="AL24" s="147">
        <f>MIN(ROUNDDOWN(AK24/AN24,0),U24)</f>
        <v>1</v>
      </c>
      <c r="AM24" s="147">
        <f>IF(OR(T24="No",T24=""),AI24*S24,AI24*T24)</f>
        <v>1</v>
      </c>
      <c r="AN24" s="147">
        <f>ROUNDUP(AC24*VLOOKUP(H24,'Machine List'!$A$2:$D$219,4,FALSE),0)</f>
        <v>30</v>
      </c>
      <c r="AO24" s="147">
        <f>AN24*AM24</f>
        <v>30</v>
      </c>
      <c r="AP24" s="147">
        <f>ROUNDUP(AD24*I26,0)</f>
        <v>30</v>
      </c>
      <c r="AQ24" s="38">
        <f>IF(ISNUMBER(Y24),ROUNDUP(AP24/Y24,0),
  SWITCH(
      Y24,
      "1+0.5C",ROUNDUP(AP24/(1+0.5*VLOOKUP(J26,'Machine Helper Sheet'!$G$1:$K$16,2,FALSE)),0),
      ROUNDUP(AP24/1,0)
  )
)</f>
        <v>30</v>
      </c>
      <c r="AR24" s="147">
        <f>ROUNDUP(AQ24/AM24,0)</f>
        <v>30</v>
      </c>
      <c r="AS24" s="147">
        <f>AO24*AR24</f>
        <v>900</v>
      </c>
      <c r="AT24" s="148"/>
      <c r="AU24" s="168" t="s">
        <v>405</v>
      </c>
      <c r="AV24" s="147">
        <f>VLOOKUP(AU24,'Item Helper Sheet'!$A$2:$B$16,2,FALSE)</f>
        <v>5</v>
      </c>
      <c r="AW24" s="147">
        <f>AI24</f>
        <v>1</v>
      </c>
      <c r="AX24" s="147">
        <v>1.0</v>
      </c>
      <c r="AY24" s="147">
        <f>AX24*8*4^AV24</f>
        <v>8192</v>
      </c>
      <c r="AZ24" s="147">
        <f>MIN(ROUNDDOWN(AY24/AN24,0),X24)</f>
        <v>1</v>
      </c>
      <c r="BA24" s="147">
        <f>AZ24*AW24</f>
        <v>1</v>
      </c>
      <c r="BB24" s="147">
        <f>AN24</f>
        <v>30</v>
      </c>
      <c r="BC24" s="147">
        <f>MIN(AV24-AB24,IF(AY24&gt;=BB25*4,
IF(AY24&gt;=BB25*4^2,
IF(AY24&gt;=BB25*4^3,
IF(AY24&gt;=BB25*4^4,
IF(AY24&gt;=BB25*4^5,
IF(AY24&gt;=BB25*4^6,
IF(AY24&gt;=BB25*4^7,
IF(AY24&gt;=BB25*4^8,
IF(AY24&gt;=BB25*4^9,
IF(AY24&gt;=BB25*4^10,
9),
8),
7),
6),
5),
4),
3),
2),
1),
0))</f>
        <v>4</v>
      </c>
      <c r="BD24" s="147">
        <f>BB24*AZ24*4^BC24</f>
        <v>7680</v>
      </c>
      <c r="BE24" s="147">
        <f>BD24*AW24</f>
        <v>7680</v>
      </c>
      <c r="BF24" s="143">
        <f>ROUNDUP(IF(R24="Yes",AP24/(2^((BC24)*2)),AP24/(2^(BC24))),0)</f>
        <v>1</v>
      </c>
      <c r="BG24" s="45">
        <f>IF(ISNUMBER(Y24),ROUNDUP(BF24/Y24,0),
  SWITCH(
      Y24,
      "1+0.5C",ROUNDUP(BF24/(1+0.5*VLOOKUP(J26,'Machine Helper Sheet'!$G$1:$K$16,2,FALSE)),0),
      ROUNDUP(BF24/1,0)
  )
)</f>
        <v>1</v>
      </c>
      <c r="BH24" s="143">
        <f>ROUNDUP(BG24/BA24,0)</f>
        <v>1</v>
      </c>
      <c r="BI24" s="149">
        <f>BH24*BE24</f>
        <v>7680</v>
      </c>
      <c r="BK24" s="22"/>
      <c r="BS24" s="6" t="s">
        <v>93</v>
      </c>
      <c r="BT24" s="140">
        <v>0.0</v>
      </c>
    </row>
    <row r="25">
      <c r="B25" s="141" t="s">
        <v>823</v>
      </c>
      <c r="C25" s="169" t="s">
        <v>185</v>
      </c>
      <c r="D25" s="147">
        <f>4*I26</f>
        <v>4</v>
      </c>
      <c r="E25" s="168" t="s">
        <v>154</v>
      </c>
      <c r="F25" s="152">
        <f>2*I26</f>
        <v>2</v>
      </c>
      <c r="G25" s="138"/>
      <c r="H25" s="153" t="s">
        <v>584</v>
      </c>
      <c r="I25" s="45">
        <f t="array" ref="I25">match(TRUE,ISBLANK(F25:F38),0)-1</f>
        <v>2</v>
      </c>
      <c r="J25" s="154" t="s">
        <v>420</v>
      </c>
      <c r="K25" s="154" t="s">
        <v>585</v>
      </c>
      <c r="L25" s="100" t="s">
        <v>704</v>
      </c>
      <c r="M25" s="147"/>
      <c r="N25" s="147"/>
      <c r="O25" s="147"/>
      <c r="P25" s="147"/>
      <c r="Q25" s="147"/>
      <c r="R25" s="155"/>
      <c r="S25" s="155"/>
      <c r="T25" s="155"/>
      <c r="U25" s="143"/>
      <c r="V25" s="143"/>
      <c r="W25" s="143"/>
      <c r="X25" s="143"/>
      <c r="Y25" s="143"/>
      <c r="Z25" s="143"/>
      <c r="AA25" s="143"/>
      <c r="AB25" s="143"/>
      <c r="AC25" s="143"/>
      <c r="AD25" s="143"/>
      <c r="AE25" s="143"/>
      <c r="AF25" s="143"/>
      <c r="AG25" s="156"/>
      <c r="AH25" s="143"/>
      <c r="AI25" s="143"/>
      <c r="AJ25" s="143"/>
      <c r="AK25" s="143"/>
      <c r="AL25" s="143"/>
      <c r="AM25" s="143"/>
      <c r="AN25" s="143"/>
      <c r="AO25" s="143"/>
      <c r="AP25" s="143"/>
      <c r="AQ25" s="143"/>
      <c r="AR25" s="143"/>
      <c r="AS25" s="143"/>
      <c r="AT25" s="156"/>
      <c r="AU25" s="143"/>
      <c r="AV25" s="143"/>
      <c r="AW25" s="143"/>
      <c r="AX25" s="143"/>
      <c r="AY25" s="143"/>
      <c r="AZ25" s="143"/>
      <c r="BA25" s="143"/>
      <c r="BB25" s="143">
        <f>BB24*AZ24</f>
        <v>30</v>
      </c>
      <c r="BC25" s="143"/>
      <c r="BD25" s="143"/>
      <c r="BE25" s="143"/>
      <c r="BF25" s="143"/>
      <c r="BG25" s="143"/>
      <c r="BH25" s="143"/>
      <c r="BI25" s="149"/>
      <c r="BK25" s="22"/>
      <c r="BS25" s="6" t="s">
        <v>94</v>
      </c>
      <c r="BT25" s="6">
        <v>10.0</v>
      </c>
    </row>
    <row r="26">
      <c r="B26" s="150"/>
      <c r="C26" s="169" t="s">
        <v>40</v>
      </c>
      <c r="D26" s="147">
        <f>1*I26</f>
        <v>1</v>
      </c>
      <c r="E26" s="168" t="s">
        <v>41</v>
      </c>
      <c r="F26" s="152">
        <f>3*I26</f>
        <v>3</v>
      </c>
      <c r="G26" s="138"/>
      <c r="H26" s="157" t="s">
        <v>502</v>
      </c>
      <c r="I26" s="170">
        <v>1.0</v>
      </c>
      <c r="J26" s="154" t="s">
        <v>424</v>
      </c>
      <c r="K26" s="154">
        <v>0.0</v>
      </c>
      <c r="L26" s="100">
        <v>0.0</v>
      </c>
      <c r="M26" s="143"/>
      <c r="N26" s="143"/>
      <c r="O26" s="143"/>
      <c r="P26" s="143"/>
      <c r="Q26" s="143"/>
      <c r="R26" s="143"/>
      <c r="S26" s="155"/>
      <c r="T26" s="155"/>
      <c r="U26" s="143"/>
      <c r="V26" s="143"/>
      <c r="W26" s="143"/>
      <c r="X26" s="143"/>
      <c r="Y26" s="143"/>
      <c r="Z26" s="143"/>
      <c r="AA26" s="143"/>
      <c r="AB26" s="143"/>
      <c r="AC26" s="143"/>
      <c r="AD26" s="143"/>
      <c r="AE26" s="143"/>
      <c r="AF26" s="143"/>
      <c r="AG26" s="156"/>
      <c r="AH26" s="143"/>
      <c r="AI26" s="143"/>
      <c r="AJ26" s="143"/>
      <c r="AK26" s="143"/>
      <c r="AL26" s="143"/>
      <c r="AM26" s="143"/>
      <c r="AN26" s="143"/>
      <c r="AO26" s="143"/>
      <c r="AP26" s="143"/>
      <c r="AQ26" s="143"/>
      <c r="AR26" s="143"/>
      <c r="AS26" s="143"/>
      <c r="AT26" s="156"/>
      <c r="AU26" s="143"/>
      <c r="AV26" s="143"/>
      <c r="AW26" s="143"/>
      <c r="AX26" s="143"/>
      <c r="AY26" s="143"/>
      <c r="AZ26" s="143"/>
      <c r="BA26" s="143"/>
      <c r="BB26" s="143"/>
      <c r="BC26" s="143"/>
      <c r="BD26" s="143"/>
      <c r="BE26" s="143"/>
      <c r="BF26" s="143"/>
      <c r="BG26" s="143"/>
      <c r="BH26" s="143"/>
      <c r="BI26" s="149"/>
      <c r="BK26" s="22"/>
      <c r="BS26" s="140" t="s">
        <v>96</v>
      </c>
      <c r="BT26" s="140">
        <v>0.0</v>
      </c>
    </row>
    <row r="27">
      <c r="B27" s="135"/>
      <c r="C27" s="136"/>
      <c r="D27" s="137"/>
      <c r="E27" s="137"/>
      <c r="F27" s="137"/>
      <c r="G27" s="138"/>
      <c r="H27" s="137"/>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8"/>
      <c r="AH27" s="137"/>
      <c r="AI27" s="137"/>
      <c r="AJ27" s="137"/>
      <c r="AK27" s="137"/>
      <c r="AL27" s="137"/>
      <c r="AM27" s="137"/>
      <c r="AN27" s="137"/>
      <c r="AO27" s="137"/>
      <c r="AP27" s="137"/>
      <c r="AQ27" s="137"/>
      <c r="AR27" s="137"/>
      <c r="AS27" s="137"/>
      <c r="AT27" s="138"/>
      <c r="AU27" s="137"/>
      <c r="AV27" s="137"/>
      <c r="AW27" s="137"/>
      <c r="AX27" s="137"/>
      <c r="AY27" s="137"/>
      <c r="AZ27" s="137"/>
      <c r="BA27" s="137"/>
      <c r="BB27" s="137"/>
      <c r="BC27" s="137"/>
      <c r="BD27" s="137"/>
      <c r="BE27" s="137"/>
      <c r="BF27" s="137"/>
      <c r="BG27" s="137"/>
      <c r="BH27" s="137"/>
      <c r="BI27" s="139"/>
      <c r="BK27" s="22"/>
      <c r="BS27" s="6" t="s">
        <v>99</v>
      </c>
      <c r="BT27" s="140">
        <v>-5.0</v>
      </c>
    </row>
    <row r="28">
      <c r="B28" s="141" t="s">
        <v>827</v>
      </c>
      <c r="C28" s="142"/>
      <c r="D28" s="143"/>
      <c r="E28" s="143"/>
      <c r="F28" s="144"/>
      <c r="G28" s="145"/>
      <c r="H28" s="167" t="s">
        <v>349</v>
      </c>
      <c r="I28" s="147">
        <f>VLOOKUP(H28,'Machine List'!$A$1:$I$300,9,FALSE)</f>
        <v>4000</v>
      </c>
      <c r="J28" s="147">
        <f>IF(VLOOKUP(H28,'Machine List'!$A$1:$I$300,5,FALSE)="Multi",IF(VLOOKUP(H28,'Machine List'!$A$1:$I$300,6,FALSE)="Yes",AI28*3*10^AB28,AI28*(2*3)*10^(AB28-1)),0)</f>
        <v>6</v>
      </c>
      <c r="K28" s="147">
        <f>J28+IF(ISNUMBER(I28),I28,
  SWITCH(
      I28,
      "1T",1*10^AB28,
      "2T",2*10^AB28,
      "3T",3*10^AB28,
      "4T",4*10^AB28,
      "4000+500(7O-5)",4000+500*(7*I29-5),
      "13500 + 16C",13500+16*VLOOKUP(J30,'Machine Helper Sheet'!$G$1:$K$16,5,FALSE),
      1
  )
)</f>
        <v>4006</v>
      </c>
      <c r="L28" s="147">
        <f>IF(VLOOKUP(H28,'Machine List'!$A$1:$I$300,5,FALSE)="Multi",IF(VLOOKUP(H28,'Machine List'!$A$1:$I$300,6,FALSE)="Yes",AW28*3*10^AV28,AW28*(2*3)*10^(AV28-1)),0)</f>
        <v>60000</v>
      </c>
      <c r="M28" s="147">
        <f>L28+IF(ISNUMBER(I28),I28,
  SWITCH(
      I28,
      "1T",1*10^AV28,
      "2T",2*10^AV28,
      "3T",3*10^AV28,
      "4T",4*10^AV28,
      "4000+500(7O-5)",4000+500*(7*I29-5),
      1
  )
)</f>
        <v>64000</v>
      </c>
      <c r="N28" s="147" t="str">
        <f>VLOOKUP(H28,'Machine List'!$A$1:$I$300,8,FALSE)</f>
        <v>Tier</v>
      </c>
      <c r="O28" s="147">
        <f>IF(ISNUMBER(N28),N28,10^AB28)</f>
        <v>10</v>
      </c>
      <c r="P28" s="147">
        <f>IF(ISNUMBER(N28),N28,10^AV28)</f>
        <v>100000</v>
      </c>
      <c r="Q28" s="147">
        <f>VLOOKUP(H28,'Machine List'!$A$1:$B$138,2,FALSE)</f>
        <v>1</v>
      </c>
      <c r="R28" s="147" t="s">
        <v>594</v>
      </c>
      <c r="S28" s="143">
        <f>IF(ISNUMBER(Q28),Q28,
  SWITCH(
      Q28,
      "1",1,
      "2T",AB28*2,
      "4T",AB28*4,
      "6T",AB28*6,
      "8T",AB28*8,
      "10T",AB28*10,
      "12T",AB28*12,
      "14T",AB28*14,
      "16T",AB28*16,
      "24T",AB28*24,
      "2(T+1)",2*(AB28+1),
      "1T*C",AB28*J30,
      "2*P",L30*2,
      1
  )
)</f>
        <v>1</v>
      </c>
      <c r="T28" s="38" t="s">
        <v>277</v>
      </c>
      <c r="U28" s="147">
        <f>IF(OR(T28="No",T28=""),S28,T28)</f>
        <v>1</v>
      </c>
      <c r="V28" s="147">
        <f>IF(ISNUMBER(Q28),Q28,
  SWITCH(
      Q28,
      "1",1,
      "2T",AV28*2,
      "4T",AV28*4,
      "6T",AV28*6,
      "8T",AV28*8,
      "10T",AV28*10,
      "12T",AV28*12,
      "14T",AV28*14,
      "16T",AV28*16,
      "24T",AV28*24,
      "2(T+1)",2*(AV28+1),
      "1T*C",AV28*J30,
      "2*P",L30*2,
      1
  )
)</f>
        <v>1</v>
      </c>
      <c r="W28" s="147" t="str">
        <f>T28</f>
        <v>No</v>
      </c>
      <c r="X28" s="147">
        <f>IF(OR(W28="No",W28=""),V28,W28)</f>
        <v>1</v>
      </c>
      <c r="Y28" s="38">
        <f>VLOOKUP(H28,'Machine List'!$A$1:$C$138,3,FALSE)</f>
        <v>1</v>
      </c>
      <c r="Z28" s="38">
        <f>VLOOKUP(H28,'Machine List'!$A$1:$D$138,4,FALSE)</f>
        <v>1</v>
      </c>
      <c r="AA28" s="168" t="s">
        <v>390</v>
      </c>
      <c r="AB28" s="147">
        <f>VLOOKUP(AA28,'Item Helper Sheet'!$A$2:$B$16,2,FALSE)</f>
        <v>1</v>
      </c>
      <c r="AC28" s="147">
        <v>30.0</v>
      </c>
      <c r="AD28" s="147">
        <f>12.5*20</f>
        <v>250</v>
      </c>
      <c r="AE28" s="147">
        <f>AD28*I30</f>
        <v>250</v>
      </c>
      <c r="AF28" s="147">
        <f>AC28*AE28</f>
        <v>7500</v>
      </c>
      <c r="AG28" s="148"/>
      <c r="AH28" s="147" t="str">
        <f>AA28</f>
        <v>01 - LV</v>
      </c>
      <c r="AI28" s="147">
        <v>1.0</v>
      </c>
      <c r="AJ28" s="147">
        <v>1.0</v>
      </c>
      <c r="AK28" s="147">
        <f>AJ28*8*4^AB28</f>
        <v>32</v>
      </c>
      <c r="AL28" s="147">
        <f>MIN(ROUNDDOWN(AK28/AN28,0),U28)</f>
        <v>1</v>
      </c>
      <c r="AM28" s="147">
        <f>IF(OR(T28="No",T28=""),AI28*S28,AI28*T28)</f>
        <v>1</v>
      </c>
      <c r="AN28" s="147">
        <f>ROUNDUP(AC28*VLOOKUP(H28,'Machine List'!$A$2:$D$219,4,FALSE),0)</f>
        <v>30</v>
      </c>
      <c r="AO28" s="147">
        <f>AN28*AM28</f>
        <v>30</v>
      </c>
      <c r="AP28" s="147">
        <f>ROUNDUP(AD28*I30,0)</f>
        <v>250</v>
      </c>
      <c r="AQ28" s="38">
        <f>IF(ISNUMBER(Y28),ROUNDUP(AP28/Y28,0),
  SWITCH(
      Y28,
      "1+0.5C",ROUNDUP(AP28/(1+0.5*VLOOKUP(J30,'Machine Helper Sheet'!$G$1:$K$16,2,FALSE)),0),
      ROUNDUP(AP28/1,0)
  )
)</f>
        <v>250</v>
      </c>
      <c r="AR28" s="147">
        <f>ROUNDUP(AQ28/AM28,0)</f>
        <v>250</v>
      </c>
      <c r="AS28" s="147">
        <f>AO28*AR28</f>
        <v>7500</v>
      </c>
      <c r="AT28" s="148"/>
      <c r="AU28" s="168" t="s">
        <v>405</v>
      </c>
      <c r="AV28" s="147">
        <f>VLOOKUP(AU28,'Item Helper Sheet'!$A$2:$B$16,2,FALSE)</f>
        <v>5</v>
      </c>
      <c r="AW28" s="147">
        <f>AI28</f>
        <v>1</v>
      </c>
      <c r="AX28" s="147">
        <v>1.0</v>
      </c>
      <c r="AY28" s="147">
        <f>AX28*8*4^AV28</f>
        <v>8192</v>
      </c>
      <c r="AZ28" s="147">
        <f>MIN(ROUNDDOWN(AY28/AN28,0),X28)</f>
        <v>1</v>
      </c>
      <c r="BA28" s="147">
        <f>AZ28*AW28</f>
        <v>1</v>
      </c>
      <c r="BB28" s="147">
        <f>AN28</f>
        <v>30</v>
      </c>
      <c r="BC28" s="147">
        <f>MIN(AV28-AB28,IF(AY28&gt;=BB29*4,
IF(AY28&gt;=BB29*4^2,
IF(AY28&gt;=BB29*4^3,
IF(AY28&gt;=BB29*4^4,
IF(AY28&gt;=BB29*4^5,
IF(AY28&gt;=BB29*4^6,
IF(AY28&gt;=BB29*4^7,
IF(AY28&gt;=BB29*4^8,
IF(AY28&gt;=BB29*4^9,
IF(AY28&gt;=BB29*4^10,
9),
8),
7),
6),
5),
4),
3),
2),
1),
0))</f>
        <v>4</v>
      </c>
      <c r="BD28" s="147">
        <f>BB28*AZ28*4^BC28</f>
        <v>7680</v>
      </c>
      <c r="BE28" s="147">
        <f>BD28*AW28</f>
        <v>7680</v>
      </c>
      <c r="BF28" s="143">
        <f>ROUNDUP(IF(R28="Yes",AP28/(2^((BC28)*2)),AP28/(2^(BC28))),0)</f>
        <v>1</v>
      </c>
      <c r="BG28" s="45">
        <f>IF(ISNUMBER(Y28),ROUNDUP(BF28/Y28,0),
  SWITCH(
      Y28,
      "1+0.5C",ROUNDUP(BF28/(1+0.5*VLOOKUP(J30,'Machine Helper Sheet'!$G$1:$K$16,2,FALSE)),0),
      ROUNDUP(BF28/1,0)
  )
)</f>
        <v>1</v>
      </c>
      <c r="BH28" s="143">
        <f>ROUNDUP(BG28/BA28,0)</f>
        <v>1</v>
      </c>
      <c r="BI28" s="149">
        <f>BH28*BE28</f>
        <v>7680</v>
      </c>
      <c r="BK28" s="22"/>
      <c r="BS28" s="6" t="s">
        <v>117</v>
      </c>
      <c r="BT28" s="6">
        <v>10.0</v>
      </c>
    </row>
    <row r="29">
      <c r="B29" s="141" t="s">
        <v>828</v>
      </c>
      <c r="C29" s="169" t="s">
        <v>261</v>
      </c>
      <c r="D29" s="147">
        <f>1000*I30</f>
        <v>1000</v>
      </c>
      <c r="E29" s="168" t="s">
        <v>145</v>
      </c>
      <c r="F29" s="152">
        <f>1*I30</f>
        <v>1</v>
      </c>
      <c r="G29" s="138"/>
      <c r="H29" s="153" t="s">
        <v>584</v>
      </c>
      <c r="I29" s="45">
        <f t="array" ref="I29">match(TRUE,ISBLANK(F29:F42),0)-1</f>
        <v>1</v>
      </c>
      <c r="J29" s="154" t="s">
        <v>420</v>
      </c>
      <c r="K29" s="154" t="s">
        <v>585</v>
      </c>
      <c r="L29" s="100" t="s">
        <v>704</v>
      </c>
      <c r="M29" s="147"/>
      <c r="N29" s="147"/>
      <c r="O29" s="147"/>
      <c r="P29" s="147"/>
      <c r="Q29" s="147"/>
      <c r="R29" s="155"/>
      <c r="S29" s="155"/>
      <c r="T29" s="155"/>
      <c r="U29" s="143"/>
      <c r="V29" s="143"/>
      <c r="W29" s="143"/>
      <c r="X29" s="143"/>
      <c r="Y29" s="143"/>
      <c r="Z29" s="143"/>
      <c r="AA29" s="143"/>
      <c r="AB29" s="143"/>
      <c r="AC29" s="143"/>
      <c r="AD29" s="143"/>
      <c r="AE29" s="143"/>
      <c r="AF29" s="143"/>
      <c r="AG29" s="156"/>
      <c r="AH29" s="143"/>
      <c r="AI29" s="143"/>
      <c r="AJ29" s="143"/>
      <c r="AK29" s="143"/>
      <c r="AL29" s="143"/>
      <c r="AM29" s="143"/>
      <c r="AN29" s="143"/>
      <c r="AO29" s="143"/>
      <c r="AP29" s="143"/>
      <c r="AQ29" s="143"/>
      <c r="AR29" s="143"/>
      <c r="AS29" s="143"/>
      <c r="AT29" s="156"/>
      <c r="AU29" s="143"/>
      <c r="AV29" s="143"/>
      <c r="AW29" s="143"/>
      <c r="AX29" s="143"/>
      <c r="AY29" s="143"/>
      <c r="AZ29" s="143"/>
      <c r="BA29" s="143"/>
      <c r="BB29" s="143">
        <f>BB28*AZ28</f>
        <v>30</v>
      </c>
      <c r="BC29" s="143"/>
      <c r="BD29" s="143"/>
      <c r="BE29" s="143"/>
      <c r="BF29" s="143"/>
      <c r="BG29" s="143"/>
      <c r="BH29" s="143"/>
      <c r="BI29" s="149"/>
      <c r="BK29" s="22"/>
      <c r="BS29" s="140" t="s">
        <v>130</v>
      </c>
      <c r="BT29" s="140">
        <v>-1000.0</v>
      </c>
    </row>
    <row r="30">
      <c r="B30" s="150"/>
      <c r="C30" s="169"/>
      <c r="D30" s="147"/>
      <c r="E30" s="168"/>
      <c r="F30" s="152"/>
      <c r="G30" s="138"/>
      <c r="H30" s="157" t="s">
        <v>502</v>
      </c>
      <c r="I30" s="170">
        <v>1.0</v>
      </c>
      <c r="J30" s="154" t="s">
        <v>424</v>
      </c>
      <c r="K30" s="154">
        <v>0.0</v>
      </c>
      <c r="L30" s="100">
        <v>0.0</v>
      </c>
      <c r="M30" s="143"/>
      <c r="N30" s="143"/>
      <c r="O30" s="143"/>
      <c r="P30" s="143"/>
      <c r="Q30" s="143"/>
      <c r="R30" s="143"/>
      <c r="S30" s="155"/>
      <c r="T30" s="155"/>
      <c r="U30" s="143"/>
      <c r="V30" s="143"/>
      <c r="W30" s="143"/>
      <c r="X30" s="143"/>
      <c r="Y30" s="143"/>
      <c r="Z30" s="143"/>
      <c r="AA30" s="143"/>
      <c r="AB30" s="143"/>
      <c r="AC30" s="143"/>
      <c r="AD30" s="143"/>
      <c r="AE30" s="143"/>
      <c r="AF30" s="143"/>
      <c r="AG30" s="156"/>
      <c r="AH30" s="143"/>
      <c r="AI30" s="143"/>
      <c r="AJ30" s="143"/>
      <c r="AK30" s="143"/>
      <c r="AL30" s="143"/>
      <c r="AM30" s="143"/>
      <c r="AN30" s="143"/>
      <c r="AO30" s="143"/>
      <c r="AP30" s="143"/>
      <c r="AQ30" s="143"/>
      <c r="AR30" s="143"/>
      <c r="AS30" s="143"/>
      <c r="AT30" s="156"/>
      <c r="AU30" s="143"/>
      <c r="AV30" s="143"/>
      <c r="AW30" s="143"/>
      <c r="AX30" s="143"/>
      <c r="AY30" s="143"/>
      <c r="AZ30" s="143"/>
      <c r="BA30" s="143"/>
      <c r="BB30" s="143"/>
      <c r="BC30" s="143"/>
      <c r="BD30" s="143"/>
      <c r="BE30" s="143"/>
      <c r="BF30" s="143"/>
      <c r="BG30" s="143"/>
      <c r="BH30" s="143"/>
      <c r="BI30" s="149"/>
      <c r="BK30" s="22"/>
      <c r="BS30" s="6" t="s">
        <v>132</v>
      </c>
      <c r="BT30" s="6">
        <v>-1000.0</v>
      </c>
    </row>
    <row r="31">
      <c r="B31" s="135"/>
      <c r="C31" s="136"/>
      <c r="D31" s="137"/>
      <c r="E31" s="137"/>
      <c r="F31" s="137"/>
      <c r="G31" s="138"/>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8"/>
      <c r="AH31" s="137"/>
      <c r="AI31" s="137"/>
      <c r="AJ31" s="137"/>
      <c r="AK31" s="137"/>
      <c r="AL31" s="137"/>
      <c r="AM31" s="137"/>
      <c r="AN31" s="137"/>
      <c r="AO31" s="137"/>
      <c r="AP31" s="137"/>
      <c r="AQ31" s="137"/>
      <c r="AR31" s="137"/>
      <c r="AS31" s="137"/>
      <c r="AT31" s="138"/>
      <c r="AU31" s="137"/>
      <c r="AV31" s="137"/>
      <c r="AW31" s="137"/>
      <c r="AX31" s="137"/>
      <c r="AY31" s="137"/>
      <c r="AZ31" s="137"/>
      <c r="BA31" s="137"/>
      <c r="BB31" s="137"/>
      <c r="BC31" s="137"/>
      <c r="BD31" s="137"/>
      <c r="BE31" s="137"/>
      <c r="BF31" s="137"/>
      <c r="BG31" s="137"/>
      <c r="BH31" s="137"/>
      <c r="BI31" s="139"/>
      <c r="BK31" s="22"/>
      <c r="BS31" s="6" t="s">
        <v>133</v>
      </c>
      <c r="BT31" s="6">
        <v>9000.0</v>
      </c>
    </row>
    <row r="32">
      <c r="B32" s="141" t="s">
        <v>829</v>
      </c>
      <c r="C32" s="142"/>
      <c r="D32" s="143"/>
      <c r="E32" s="143"/>
      <c r="F32" s="144"/>
      <c r="G32" s="145"/>
      <c r="H32" s="167" t="s">
        <v>349</v>
      </c>
      <c r="I32" s="147">
        <f>VLOOKUP(H32,'Machine List'!$A$1:$I$300,9,FALSE)</f>
        <v>4000</v>
      </c>
      <c r="J32" s="147">
        <f>IF(VLOOKUP(H32,'Machine List'!$A$1:$I$300,5,FALSE)="Multi",IF(VLOOKUP(H32,'Machine List'!$A$1:$I$300,6,FALSE)="Yes",AI32*3*10^AB32,AI32*(2*3)*10^(AB32-1)),0)</f>
        <v>6</v>
      </c>
      <c r="K32" s="147">
        <f>J32+IF(ISNUMBER(I32),I32,
  SWITCH(
      I32,
      "1T",1*10^AB32,
      "2T",2*10^AB32,
      "3T",3*10^AB32,
      "4T",4*10^AB32,
      "4000+500(7O-5)",4000+500*(7*I33-5),
      "13500 + 16C",13500+16*VLOOKUP(J34,'Machine Helper Sheet'!$G$1:$K$16,5,FALSE),
      1
  )
)</f>
        <v>4006</v>
      </c>
      <c r="L32" s="147">
        <f>IF(VLOOKUP(H32,'Machine List'!$A$1:$I$300,5,FALSE)="Multi",IF(VLOOKUP(H32,'Machine List'!$A$1:$I$300,6,FALSE)="Yes",AW32*3*10^AV32,AW32*(2*3)*10^(AV32-1)),0)</f>
        <v>60000</v>
      </c>
      <c r="M32" s="147">
        <f>L32+IF(ISNUMBER(I32),I32,
  SWITCH(
      I32,
      "1T",1*10^AV32,
      "2T",2*10^AV32,
      "3T",3*10^AV32,
      "4T",4*10^AV32,
      "4000+500(7O-5)",4000+500*(7*I33-5),
      1
  )
)</f>
        <v>64000</v>
      </c>
      <c r="N32" s="147" t="str">
        <f>VLOOKUP(H32,'Machine List'!$A$1:$I$300,8,FALSE)</f>
        <v>Tier</v>
      </c>
      <c r="O32" s="147">
        <f>IF(ISNUMBER(N32),N32,10^AB32)</f>
        <v>10</v>
      </c>
      <c r="P32" s="147">
        <f>IF(ISNUMBER(N32),N32,10^AV32)</f>
        <v>100000</v>
      </c>
      <c r="Q32" s="147">
        <f>VLOOKUP(H32,'Machine List'!$A$1:$B$138,2,FALSE)</f>
        <v>1</v>
      </c>
      <c r="R32" s="147" t="s">
        <v>594</v>
      </c>
      <c r="S32" s="143">
        <f>IF(ISNUMBER(Q32),Q32,
  SWITCH(
      Q32,
      "1",1,
      "2T",AB32*2,
      "4T",AB32*4,
      "6T",AB32*6,
      "8T",AB32*8,
      "10T",AB32*10,
      "12T",AB32*12,
      "14T",AB32*14,
      "16T",AB32*16,
      "24T",AB32*24,
      "2(T+1)",2*(AB32+1),
      "1T*C",AB32*J34,
      "2*P",L34*2,
      1
  )
)</f>
        <v>1</v>
      </c>
      <c r="T32" s="38" t="s">
        <v>277</v>
      </c>
      <c r="U32" s="147">
        <f>IF(OR(T32="No",T32=""),S32,T32)</f>
        <v>1</v>
      </c>
      <c r="V32" s="147">
        <f>IF(ISNUMBER(Q32),Q32,
  SWITCH(
      Q32,
      "1",1,
      "2T",AV32*2,
      "4T",AV32*4,
      "6T",AV32*6,
      "8T",AV32*8,
      "10T",AV32*10,
      "12T",AV32*12,
      "14T",AV32*14,
      "16T",AV32*16,
      "24T",AV32*24,
      "2(T+1)",2*(AV32+1),
      "1T*C",AV32*J34,
      "2*P",L34*2,
      1
  )
)</f>
        <v>1</v>
      </c>
      <c r="W32" s="147" t="str">
        <f>T32</f>
        <v>No</v>
      </c>
      <c r="X32" s="147">
        <f>IF(OR(W32="No",W32=""),V32,W32)</f>
        <v>1</v>
      </c>
      <c r="Y32" s="38">
        <f>VLOOKUP(H32,'Machine List'!$A$1:$C$138,3,FALSE)</f>
        <v>1</v>
      </c>
      <c r="Z32" s="38">
        <f>VLOOKUP(H32,'Machine List'!$A$1:$D$138,4,FALSE)</f>
        <v>1</v>
      </c>
      <c r="AA32" s="168" t="s">
        <v>390</v>
      </c>
      <c r="AB32" s="147">
        <f>VLOOKUP(AA32,'Item Helper Sheet'!$A$2:$B$16,2,FALSE)</f>
        <v>1</v>
      </c>
      <c r="AC32" s="147">
        <v>30.0</v>
      </c>
      <c r="AD32" s="147">
        <f>112.5*20</f>
        <v>2250</v>
      </c>
      <c r="AE32" s="147">
        <f>AD32*I34</f>
        <v>2250</v>
      </c>
      <c r="AF32" s="147">
        <f>AC32*AE32</f>
        <v>67500</v>
      </c>
      <c r="AG32" s="148"/>
      <c r="AH32" s="147" t="str">
        <f>AA32</f>
        <v>01 - LV</v>
      </c>
      <c r="AI32" s="147">
        <v>1.0</v>
      </c>
      <c r="AJ32" s="147">
        <v>1.0</v>
      </c>
      <c r="AK32" s="147">
        <f>AJ32*8*4^AB32</f>
        <v>32</v>
      </c>
      <c r="AL32" s="147">
        <f>MIN(ROUNDDOWN(AK32/AN32,0),U32)</f>
        <v>1</v>
      </c>
      <c r="AM32" s="147">
        <f>IF(OR(T32="No",T32=""),AI32*S32,AI32*T32)</f>
        <v>1</v>
      </c>
      <c r="AN32" s="147">
        <f>ROUNDUP(AC32*VLOOKUP(H32,'Machine List'!$A$2:$D$219,4,FALSE),0)</f>
        <v>30</v>
      </c>
      <c r="AO32" s="147">
        <f>AN32*AM32</f>
        <v>30</v>
      </c>
      <c r="AP32" s="147">
        <f>ROUNDUP(AD32*I34,0)</f>
        <v>2250</v>
      </c>
      <c r="AQ32" s="38">
        <f>IF(ISNUMBER(Y32),ROUNDUP(AP32/Y32,0),
  SWITCH(
      Y32,
      "1+0.5C",ROUNDUP(AP32/(1+0.5*VLOOKUP(J34,'Machine Helper Sheet'!$G$1:$K$16,2,FALSE)),0),
      ROUNDUP(AP32/1,0)
  )
)</f>
        <v>2250</v>
      </c>
      <c r="AR32" s="147">
        <f>ROUNDUP(AQ32/AM32,0)</f>
        <v>2250</v>
      </c>
      <c r="AS32" s="147">
        <f>AO32*AR32</f>
        <v>67500</v>
      </c>
      <c r="AT32" s="148"/>
      <c r="AU32" s="168" t="s">
        <v>405</v>
      </c>
      <c r="AV32" s="147">
        <f>VLOOKUP(AU32,'Item Helper Sheet'!$A$2:$B$16,2,FALSE)</f>
        <v>5</v>
      </c>
      <c r="AW32" s="147">
        <f>AI32</f>
        <v>1</v>
      </c>
      <c r="AX32" s="147">
        <v>1.0</v>
      </c>
      <c r="AY32" s="147">
        <f>AX32*8*4^AV32</f>
        <v>8192</v>
      </c>
      <c r="AZ32" s="147">
        <f>MIN(ROUNDDOWN(AY32/AN32,0),X32)</f>
        <v>1</v>
      </c>
      <c r="BA32" s="147">
        <f>AZ32*AW32</f>
        <v>1</v>
      </c>
      <c r="BB32" s="147">
        <f>AN32</f>
        <v>30</v>
      </c>
      <c r="BC32" s="147">
        <f>MIN(AV32-AB32,IF(AY32&gt;=BB33*4,
IF(AY32&gt;=BB33*4^2,
IF(AY32&gt;=BB33*4^3,
IF(AY32&gt;=BB33*4^4,
IF(AY32&gt;=BB33*4^5,
IF(AY32&gt;=BB33*4^6,
IF(AY32&gt;=BB33*4^7,
IF(AY32&gt;=BB33*4^8,
IF(AY32&gt;=BB33*4^9,
IF(AY32&gt;=BB33*4^10,
9),
8),
7),
6),
5),
4),
3),
2),
1),
0))</f>
        <v>4</v>
      </c>
      <c r="BD32" s="147">
        <f>BB32*AZ32*4^BC32</f>
        <v>7680</v>
      </c>
      <c r="BE32" s="147">
        <f>BD32*AW32</f>
        <v>7680</v>
      </c>
      <c r="BF32" s="143">
        <f>ROUNDUP(IF(R32="Yes",AP32/(2^((BC32)*2)),AP32/(2^(BC32))),0)</f>
        <v>9</v>
      </c>
      <c r="BG32" s="45">
        <f>IF(ISNUMBER(Y32),ROUNDUP(BF32/Y32,0),
  SWITCH(
      Y32,
      "1+0.5C",ROUNDUP(BF32/(1+0.5*VLOOKUP(J34,'Machine Helper Sheet'!$G$1:$K$16,2,FALSE)),0),
      ROUNDUP(BF32/1,0)
  )
)</f>
        <v>9</v>
      </c>
      <c r="BH32" s="143">
        <f>ROUNDUP(BG32/BA32,0)</f>
        <v>9</v>
      </c>
      <c r="BI32" s="149">
        <f>BH32*BE32</f>
        <v>69120</v>
      </c>
      <c r="BK32" s="22"/>
      <c r="BS32" s="6" t="s">
        <v>140</v>
      </c>
      <c r="BT32" s="6">
        <v>1.0</v>
      </c>
    </row>
    <row r="33">
      <c r="B33" s="141" t="s">
        <v>828</v>
      </c>
      <c r="C33" s="169" t="s">
        <v>146</v>
      </c>
      <c r="D33" s="147">
        <f>9*I34</f>
        <v>9</v>
      </c>
      <c r="E33" s="168" t="s">
        <v>145</v>
      </c>
      <c r="F33" s="152">
        <f>16*I34</f>
        <v>16</v>
      </c>
      <c r="G33" s="138"/>
      <c r="H33" s="153" t="s">
        <v>584</v>
      </c>
      <c r="I33" s="45">
        <f t="array" ref="I33">match(TRUE,ISBLANK(F33:F45),0)-1</f>
        <v>2</v>
      </c>
      <c r="J33" s="154" t="s">
        <v>420</v>
      </c>
      <c r="K33" s="154" t="s">
        <v>585</v>
      </c>
      <c r="L33" s="100" t="s">
        <v>704</v>
      </c>
      <c r="M33" s="147"/>
      <c r="N33" s="147"/>
      <c r="O33" s="147"/>
      <c r="P33" s="147"/>
      <c r="Q33" s="147"/>
      <c r="R33" s="155"/>
      <c r="S33" s="155"/>
      <c r="T33" s="155"/>
      <c r="U33" s="143"/>
      <c r="V33" s="143"/>
      <c r="W33" s="143"/>
      <c r="X33" s="143"/>
      <c r="Y33" s="143"/>
      <c r="Z33" s="143"/>
      <c r="AA33" s="143"/>
      <c r="AB33" s="143"/>
      <c r="AC33" s="143"/>
      <c r="AD33" s="143"/>
      <c r="AE33" s="143"/>
      <c r="AF33" s="143"/>
      <c r="AG33" s="156"/>
      <c r="AH33" s="143"/>
      <c r="AI33" s="143"/>
      <c r="AJ33" s="143"/>
      <c r="AK33" s="143"/>
      <c r="AL33" s="143"/>
      <c r="AM33" s="143"/>
      <c r="AN33" s="143"/>
      <c r="AO33" s="143"/>
      <c r="AP33" s="143"/>
      <c r="AQ33" s="143"/>
      <c r="AR33" s="143"/>
      <c r="AS33" s="143"/>
      <c r="AT33" s="156"/>
      <c r="AU33" s="143"/>
      <c r="AV33" s="143"/>
      <c r="AW33" s="143"/>
      <c r="AX33" s="143"/>
      <c r="AY33" s="143"/>
      <c r="AZ33" s="143"/>
      <c r="BA33" s="143"/>
      <c r="BB33" s="143">
        <f>BB32*AZ32</f>
        <v>30</v>
      </c>
      <c r="BC33" s="143"/>
      <c r="BD33" s="143"/>
      <c r="BE33" s="143"/>
      <c r="BF33" s="143"/>
      <c r="BG33" s="143"/>
      <c r="BH33" s="143"/>
      <c r="BI33" s="149"/>
      <c r="BK33" s="22"/>
      <c r="BS33" s="6" t="s">
        <v>141</v>
      </c>
      <c r="BT33" s="6">
        <v>0.0</v>
      </c>
    </row>
    <row r="34">
      <c r="B34" s="150"/>
      <c r="C34" s="169" t="s">
        <v>261</v>
      </c>
      <c r="D34" s="147">
        <f>9000*I34</f>
        <v>9000</v>
      </c>
      <c r="E34" s="168" t="s">
        <v>184</v>
      </c>
      <c r="F34" s="152">
        <f>2*I34</f>
        <v>2</v>
      </c>
      <c r="G34" s="138"/>
      <c r="H34" s="157" t="s">
        <v>502</v>
      </c>
      <c r="I34" s="170">
        <v>1.0</v>
      </c>
      <c r="J34" s="154" t="s">
        <v>424</v>
      </c>
      <c r="K34" s="154">
        <v>0.0</v>
      </c>
      <c r="L34" s="100">
        <v>0.0</v>
      </c>
      <c r="M34" s="143"/>
      <c r="N34" s="143"/>
      <c r="O34" s="143"/>
      <c r="P34" s="143"/>
      <c r="Q34" s="143"/>
      <c r="R34" s="143"/>
      <c r="S34" s="155"/>
      <c r="T34" s="155"/>
      <c r="U34" s="143"/>
      <c r="V34" s="143"/>
      <c r="W34" s="143"/>
      <c r="X34" s="143"/>
      <c r="Y34" s="143"/>
      <c r="Z34" s="143"/>
      <c r="AA34" s="143"/>
      <c r="AB34" s="143"/>
      <c r="AC34" s="143"/>
      <c r="AD34" s="143"/>
      <c r="AE34" s="143"/>
      <c r="AF34" s="143"/>
      <c r="AG34" s="156"/>
      <c r="AH34" s="143"/>
      <c r="AI34" s="143"/>
      <c r="AJ34" s="143"/>
      <c r="AK34" s="143"/>
      <c r="AL34" s="143"/>
      <c r="AM34" s="143"/>
      <c r="AN34" s="143"/>
      <c r="AO34" s="143"/>
      <c r="AP34" s="143"/>
      <c r="AQ34" s="143"/>
      <c r="AR34" s="143"/>
      <c r="AS34" s="143"/>
      <c r="AT34" s="156"/>
      <c r="AU34" s="143"/>
      <c r="AV34" s="143"/>
      <c r="AW34" s="143"/>
      <c r="AX34" s="143"/>
      <c r="AY34" s="143"/>
      <c r="AZ34" s="143"/>
      <c r="BA34" s="143"/>
      <c r="BB34" s="143"/>
      <c r="BC34" s="143"/>
      <c r="BD34" s="143"/>
      <c r="BE34" s="143"/>
      <c r="BF34" s="143"/>
      <c r="BG34" s="143"/>
      <c r="BH34" s="143"/>
      <c r="BI34" s="149"/>
      <c r="BK34" s="22"/>
      <c r="BS34" s="6" t="s">
        <v>142</v>
      </c>
      <c r="BT34" s="6">
        <v>-11000.0</v>
      </c>
    </row>
    <row r="35">
      <c r="B35" s="135"/>
      <c r="C35" s="136"/>
      <c r="D35" s="137"/>
      <c r="E35" s="137"/>
      <c r="F35" s="137"/>
      <c r="G35" s="138"/>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8"/>
      <c r="AH35" s="137"/>
      <c r="AI35" s="137"/>
      <c r="AJ35" s="137"/>
      <c r="AK35" s="137"/>
      <c r="AL35" s="137"/>
      <c r="AM35" s="137"/>
      <c r="AN35" s="137"/>
      <c r="AO35" s="137"/>
      <c r="AP35" s="137"/>
      <c r="AQ35" s="137"/>
      <c r="AR35" s="137"/>
      <c r="AS35" s="137"/>
      <c r="AT35" s="138"/>
      <c r="AU35" s="137"/>
      <c r="AV35" s="137"/>
      <c r="AW35" s="137"/>
      <c r="AX35" s="137"/>
      <c r="AY35" s="137"/>
      <c r="AZ35" s="137"/>
      <c r="BA35" s="137"/>
      <c r="BB35" s="137"/>
      <c r="BC35" s="137"/>
      <c r="BD35" s="137"/>
      <c r="BE35" s="137"/>
      <c r="BF35" s="137"/>
      <c r="BG35" s="137"/>
      <c r="BH35" s="137"/>
      <c r="BI35" s="139"/>
      <c r="BK35" s="22"/>
      <c r="BS35" s="6" t="s">
        <v>143</v>
      </c>
      <c r="BT35" s="6">
        <v>2.0</v>
      </c>
    </row>
    <row r="36">
      <c r="B36" s="141" t="s">
        <v>830</v>
      </c>
      <c r="C36" s="142"/>
      <c r="D36" s="143"/>
      <c r="E36" s="143"/>
      <c r="F36" s="144"/>
      <c r="G36" s="145"/>
      <c r="H36" s="167" t="s">
        <v>368</v>
      </c>
      <c r="I36" s="147" t="str">
        <f>VLOOKUP(H36,'Machine List'!$A$1:$I$300,9,FALSE)</f>
        <v>1T</v>
      </c>
      <c r="J36" s="147">
        <f>IF(VLOOKUP(H36,'Machine List'!$A$1:$I$300,5,FALSE)="Multi",IF(VLOOKUP(H36,'Machine List'!$A$1:$I$300,6,FALSE)="Yes",AI36*3*10^AB36,AI36*(2*3)*10^(AB36-1)),0)</f>
        <v>0</v>
      </c>
      <c r="K36" s="147">
        <f>J36+IF(ISNUMBER(I36),I36,
  SWITCH(
      I36,
      "1T",1*10^AB36,
      "2T",2*10^AB36,
      "3T",3*10^AB36,
      "4T",4*10^AB36,
      "4000+500(7O-5)",4000+500*(7*I37-5),
      "13500 + 16C",13500+16*VLOOKUP(J38,'Machine Helper Sheet'!$G$1:$K$16,5,FALSE),
      1
  )
)</f>
        <v>10</v>
      </c>
      <c r="L36" s="147">
        <f>IF(VLOOKUP(H36,'Machine List'!$A$1:$I$300,5,FALSE)="Multi",IF(VLOOKUP(H36,'Machine List'!$A$1:$I$300,6,FALSE)="Yes",AW36*3*10^AV36,AW36*(2*3)*10^(AV36-1)),0)</f>
        <v>0</v>
      </c>
      <c r="M36" s="147">
        <f>L36+IF(ISNUMBER(I36),I36,
  SWITCH(
      I36,
      "1T",1*10^AV36,
      "2T",2*10^AV36,
      "3T",3*10^AV36,
      "4T",4*10^AV36,
      "4000+500(7O-5)",4000+500*(7*I37-5),
      1
  )
)</f>
        <v>100000</v>
      </c>
      <c r="N36" s="147" t="str">
        <f>VLOOKUP(H36,'Machine List'!$A$1:$I$300,8,FALSE)</f>
        <v>Tier</v>
      </c>
      <c r="O36" s="147">
        <f>IF(ISNUMBER(N36),N36,10^AB36)</f>
        <v>10</v>
      </c>
      <c r="P36" s="147">
        <f>IF(ISNUMBER(N36),N36,10^AV36)</f>
        <v>100000</v>
      </c>
      <c r="Q36" s="147">
        <f>VLOOKUP(H36,'Machine List'!$A$1:$B$138,2,FALSE)</f>
        <v>1</v>
      </c>
      <c r="R36" s="147" t="s">
        <v>277</v>
      </c>
      <c r="S36" s="143">
        <f>IF(ISNUMBER(Q36),Q36,
  SWITCH(
      Q36,
      "1",1,
      "2T",AB36*2,
      "4T",AB36*4,
      "6T",AB36*6,
      "8T",AB36*8,
      "10T",AB36*10,
      "12T",AB36*12,
      "14T",AB36*14,
      "16T",AB36*16,
      "24T",AB36*24,
      "2(T+1)",2*(AB36+1),
      "1T*C",AB36*J38,
      "2*P",L38*2,
      1
  )
)</f>
        <v>1</v>
      </c>
      <c r="T36" s="38" t="s">
        <v>277</v>
      </c>
      <c r="U36" s="147">
        <f>IF(OR(T36="No",T36=""),S36,T36)</f>
        <v>1</v>
      </c>
      <c r="V36" s="147">
        <f>IF(ISNUMBER(Q36),Q36,
  SWITCH(
      Q36,
      "1",1,
      "2T",AV36*2,
      "4T",AV36*4,
      "6T",AV36*6,
      "8T",AV36*8,
      "10T",AV36*10,
      "12T",AV36*12,
      "14T",AV36*14,
      "16T",AV36*16,
      "24T",AV36*24,
      "2(T+1)",2*(AV36+1),
      "1T*C",AV36*J38,
      "2*P",L38*2,
      1
  )
)</f>
        <v>1</v>
      </c>
      <c r="W36" s="147" t="str">
        <f>T36</f>
        <v>No</v>
      </c>
      <c r="X36" s="147">
        <f>IF(OR(W36="No",W36=""),V36,W36)</f>
        <v>1</v>
      </c>
      <c r="Y36" s="38">
        <f>VLOOKUP(H36,'Machine List'!$A$1:$C$138,3,FALSE)</f>
        <v>1</v>
      </c>
      <c r="Z36" s="38">
        <f>VLOOKUP(H36,'Machine List'!$A$1:$D$138,4,FALSE)</f>
        <v>1</v>
      </c>
      <c r="AA36" s="168" t="s">
        <v>390</v>
      </c>
      <c r="AB36" s="147">
        <f>VLOOKUP(AA36,'Item Helper Sheet'!$A$2:$B$16,2,FALSE)</f>
        <v>1</v>
      </c>
      <c r="AC36" s="147">
        <v>30.0</v>
      </c>
      <c r="AD36" s="147">
        <f>30*20</f>
        <v>600</v>
      </c>
      <c r="AE36" s="147">
        <f>AD36*I38</f>
        <v>600</v>
      </c>
      <c r="AF36" s="147">
        <f>AC36*AE36</f>
        <v>18000</v>
      </c>
      <c r="AG36" s="148"/>
      <c r="AH36" s="147" t="str">
        <f>AA36</f>
        <v>01 - LV</v>
      </c>
      <c r="AI36" s="147">
        <v>1.0</v>
      </c>
      <c r="AJ36" s="147">
        <v>1.0</v>
      </c>
      <c r="AK36" s="147">
        <f>AJ36*8*4^AB36</f>
        <v>32</v>
      </c>
      <c r="AL36" s="147">
        <f>MIN(ROUNDDOWN(AK36/AN36,0),U36)</f>
        <v>1</v>
      </c>
      <c r="AM36" s="147">
        <f>IF(OR(T36="No",T36=""),AI36*S36,AI36*T36)</f>
        <v>1</v>
      </c>
      <c r="AN36" s="147">
        <f>ROUNDUP(AC36*VLOOKUP(H36,'Machine List'!$A$2:$D$219,4,FALSE),0)</f>
        <v>30</v>
      </c>
      <c r="AO36" s="147">
        <f>AN36*AM36</f>
        <v>30</v>
      </c>
      <c r="AP36" s="147">
        <f>ROUNDUP(AD36*I38,0)</f>
        <v>600</v>
      </c>
      <c r="AQ36" s="38">
        <f>IF(ISNUMBER(Y36),ROUNDUP(AP36/Y36,0),
  SWITCH(
      Y36,
      "1+0.5C",ROUNDUP(AP36/(1+0.5*VLOOKUP(J38,'Machine Helper Sheet'!$G$1:$K$16,2,FALSE)),0),
      ROUNDUP(AP36/1,0)
  )
)</f>
        <v>600</v>
      </c>
      <c r="AR36" s="147">
        <f>ROUNDUP(AQ36/AM36,0)</f>
        <v>600</v>
      </c>
      <c r="AS36" s="147">
        <f>AO36*AR36</f>
        <v>18000</v>
      </c>
      <c r="AT36" s="148"/>
      <c r="AU36" s="168" t="s">
        <v>405</v>
      </c>
      <c r="AV36" s="147">
        <f>VLOOKUP(AU36,'Item Helper Sheet'!$A$2:$B$16,2,FALSE)</f>
        <v>5</v>
      </c>
      <c r="AW36" s="147">
        <f>AI36</f>
        <v>1</v>
      </c>
      <c r="AX36" s="147">
        <v>1.0</v>
      </c>
      <c r="AY36" s="147">
        <f>AX36*8*4^AV36</f>
        <v>8192</v>
      </c>
      <c r="AZ36" s="147">
        <f>MIN(ROUNDDOWN(AY36/AN36,0),X36)</f>
        <v>1</v>
      </c>
      <c r="BA36" s="147">
        <f>AZ36*AW36</f>
        <v>1</v>
      </c>
      <c r="BB36" s="147">
        <f>AN36</f>
        <v>30</v>
      </c>
      <c r="BC36" s="147">
        <f>MIN(AV36-AB36,IF(AY36&gt;=BB37*4,
IF(AY36&gt;=BB37*4^2,
IF(AY36&gt;=BB37*4^3,
IF(AY36&gt;=BB37*4^4,
IF(AY36&gt;=BB37*4^5,
IF(AY36&gt;=BB37*4^6,
IF(AY36&gt;=BB37*4^7,
IF(AY36&gt;=BB37*4^8,
IF(AY36&gt;=BB37*4^9,
IF(AY36&gt;=BB37*4^10,
9),
8),
7),
6),
5),
4),
3),
2),
1),
0))</f>
        <v>4</v>
      </c>
      <c r="BD36" s="147">
        <f>BB36*AZ36*4^BC36</f>
        <v>7680</v>
      </c>
      <c r="BE36" s="147">
        <f>BD36*AW36</f>
        <v>7680</v>
      </c>
      <c r="BF36" s="143">
        <f>ROUNDUP(IF(R36="Yes",AP36/(2^((BC36)*2)),AP36/(2^(BC36))),0)</f>
        <v>38</v>
      </c>
      <c r="BG36" s="45">
        <f>IF(ISNUMBER(Y36),ROUNDUP(BF36/Y36,0),
  SWITCH(
      Y36,
      "1+0.5C",ROUNDUP(BF36/(1+0.5*VLOOKUP(J38,'Machine Helper Sheet'!$G$1:$K$16,2,FALSE)),0),
      ROUNDUP(BF36/1,0)
  )
)</f>
        <v>38</v>
      </c>
      <c r="BH36" s="143">
        <f>ROUNDUP(BG36/BA36,0)</f>
        <v>38</v>
      </c>
      <c r="BI36" s="149">
        <f>BH36*BE36</f>
        <v>291840</v>
      </c>
      <c r="BK36" s="22"/>
      <c r="BS36" s="140" t="s">
        <v>261</v>
      </c>
      <c r="BT36" s="140">
        <v>-6400.0</v>
      </c>
    </row>
    <row r="37">
      <c r="B37" s="141" t="s">
        <v>828</v>
      </c>
      <c r="C37" s="169" t="s">
        <v>145</v>
      </c>
      <c r="D37" s="147">
        <f>1*I38</f>
        <v>1</v>
      </c>
      <c r="E37" s="168" t="s">
        <v>146</v>
      </c>
      <c r="F37" s="173">
        <f>0.95*I38</f>
        <v>0.95</v>
      </c>
      <c r="G37" s="138"/>
      <c r="H37" s="153" t="s">
        <v>584</v>
      </c>
      <c r="I37" s="45">
        <f t="array" ref="I37">match(TRUE,ISBLANK(F37:F49),0)-1</f>
        <v>1</v>
      </c>
      <c r="J37" s="154" t="s">
        <v>420</v>
      </c>
      <c r="K37" s="154" t="s">
        <v>585</v>
      </c>
      <c r="L37" s="100" t="s">
        <v>704</v>
      </c>
      <c r="M37" s="147"/>
      <c r="N37" s="147"/>
      <c r="O37" s="147"/>
      <c r="P37" s="147"/>
      <c r="Q37" s="147"/>
      <c r="R37" s="155"/>
      <c r="S37" s="155"/>
      <c r="T37" s="155"/>
      <c r="U37" s="143"/>
      <c r="V37" s="143"/>
      <c r="W37" s="143"/>
      <c r="X37" s="143"/>
      <c r="Y37" s="143"/>
      <c r="Z37" s="143"/>
      <c r="AA37" s="143"/>
      <c r="AB37" s="143"/>
      <c r="AC37" s="143"/>
      <c r="AD37" s="143"/>
      <c r="AE37" s="143"/>
      <c r="AF37" s="143"/>
      <c r="AG37" s="156"/>
      <c r="AH37" s="143"/>
      <c r="AI37" s="143"/>
      <c r="AJ37" s="143"/>
      <c r="AK37" s="143"/>
      <c r="AL37" s="143"/>
      <c r="AM37" s="143"/>
      <c r="AN37" s="143"/>
      <c r="AO37" s="143"/>
      <c r="AP37" s="143"/>
      <c r="AQ37" s="143"/>
      <c r="AR37" s="143"/>
      <c r="AS37" s="143"/>
      <c r="AT37" s="156"/>
      <c r="AU37" s="143"/>
      <c r="AV37" s="143"/>
      <c r="AW37" s="143"/>
      <c r="AX37" s="143"/>
      <c r="AY37" s="143"/>
      <c r="AZ37" s="143"/>
      <c r="BA37" s="143"/>
      <c r="BB37" s="143">
        <f>BB36*AZ36</f>
        <v>30</v>
      </c>
      <c r="BC37" s="143"/>
      <c r="BD37" s="143"/>
      <c r="BE37" s="143"/>
      <c r="BF37" s="143"/>
      <c r="BG37" s="143"/>
      <c r="BH37" s="143"/>
      <c r="BI37" s="149"/>
      <c r="BK37" s="22"/>
      <c r="BS37" s="140" t="s">
        <v>145</v>
      </c>
      <c r="BT37" s="140">
        <v>16.0</v>
      </c>
    </row>
    <row r="38">
      <c r="B38" s="150"/>
      <c r="C38" s="169"/>
      <c r="D38" s="147"/>
      <c r="E38" s="168"/>
      <c r="F38" s="152"/>
      <c r="G38" s="138"/>
      <c r="H38" s="157" t="s">
        <v>502</v>
      </c>
      <c r="I38" s="170">
        <v>1.0</v>
      </c>
      <c r="J38" s="154" t="s">
        <v>424</v>
      </c>
      <c r="K38" s="154">
        <v>0.0</v>
      </c>
      <c r="L38" s="100">
        <v>0.0</v>
      </c>
      <c r="M38" s="143"/>
      <c r="N38" s="143"/>
      <c r="O38" s="143"/>
      <c r="P38" s="143"/>
      <c r="Q38" s="143"/>
      <c r="R38" s="143"/>
      <c r="S38" s="155"/>
      <c r="T38" s="155"/>
      <c r="U38" s="143"/>
      <c r="V38" s="143"/>
      <c r="W38" s="143"/>
      <c r="X38" s="143"/>
      <c r="Y38" s="143"/>
      <c r="Z38" s="143"/>
      <c r="AA38" s="143"/>
      <c r="AB38" s="143"/>
      <c r="AC38" s="143"/>
      <c r="AD38" s="143"/>
      <c r="AE38" s="143"/>
      <c r="AF38" s="143"/>
      <c r="AG38" s="156"/>
      <c r="AH38" s="143"/>
      <c r="AI38" s="143"/>
      <c r="AJ38" s="143"/>
      <c r="AK38" s="143"/>
      <c r="AL38" s="143"/>
      <c r="AM38" s="143"/>
      <c r="AN38" s="143"/>
      <c r="AO38" s="143"/>
      <c r="AP38" s="143"/>
      <c r="AQ38" s="143"/>
      <c r="AR38" s="143"/>
      <c r="AS38" s="143"/>
      <c r="AT38" s="156"/>
      <c r="AU38" s="143"/>
      <c r="AV38" s="143"/>
      <c r="AW38" s="143"/>
      <c r="AX38" s="143"/>
      <c r="AY38" s="143"/>
      <c r="AZ38" s="143"/>
      <c r="BA38" s="143"/>
      <c r="BB38" s="143"/>
      <c r="BC38" s="143"/>
      <c r="BD38" s="143"/>
      <c r="BE38" s="143"/>
      <c r="BF38" s="143"/>
      <c r="BG38" s="143"/>
      <c r="BH38" s="143"/>
      <c r="BI38" s="149"/>
      <c r="BK38" s="22"/>
      <c r="BS38" s="140" t="s">
        <v>146</v>
      </c>
      <c r="BT38" s="102">
        <v>-8.05</v>
      </c>
    </row>
    <row r="39">
      <c r="B39" s="135"/>
      <c r="C39" s="136"/>
      <c r="D39" s="137"/>
      <c r="E39" s="137"/>
      <c r="F39" s="137"/>
      <c r="G39" s="138"/>
      <c r="H39" s="137"/>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8"/>
      <c r="AH39" s="137"/>
      <c r="AI39" s="137"/>
      <c r="AJ39" s="137"/>
      <c r="AK39" s="137"/>
      <c r="AL39" s="137"/>
      <c r="AM39" s="137"/>
      <c r="AN39" s="137"/>
      <c r="AO39" s="137"/>
      <c r="AP39" s="137"/>
      <c r="AQ39" s="137"/>
      <c r="AR39" s="137"/>
      <c r="AS39" s="137"/>
      <c r="AT39" s="138"/>
      <c r="AU39" s="137"/>
      <c r="AV39" s="137"/>
      <c r="AW39" s="137"/>
      <c r="AX39" s="137"/>
      <c r="AY39" s="137"/>
      <c r="AZ39" s="137"/>
      <c r="BA39" s="137"/>
      <c r="BB39" s="137"/>
      <c r="BC39" s="137"/>
      <c r="BD39" s="137"/>
      <c r="BE39" s="137"/>
      <c r="BF39" s="137"/>
      <c r="BG39" s="137"/>
      <c r="BH39" s="137"/>
      <c r="BI39" s="139"/>
      <c r="BK39" s="22"/>
      <c r="BS39" s="6" t="s">
        <v>153</v>
      </c>
      <c r="BT39" s="140">
        <v>-9000.0</v>
      </c>
    </row>
    <row r="40">
      <c r="B40" s="31" t="s">
        <v>831</v>
      </c>
      <c r="C40" s="54"/>
      <c r="D40" s="45"/>
      <c r="E40" s="45"/>
      <c r="F40" s="47"/>
      <c r="G40" s="35"/>
      <c r="H40" s="163" t="s">
        <v>349</v>
      </c>
      <c r="I40" s="38">
        <f>VLOOKUP(H40,'Machine List'!$A$1:$I$300,9,FALSE)</f>
        <v>4000</v>
      </c>
      <c r="J40" s="38">
        <f>IF(VLOOKUP(H40,'Machine List'!$A$1:$I$300,5,FALSE)="Multi",IF(VLOOKUP(H40,'Machine List'!$A$1:$I$300,6,FALSE)="Yes",AI40*3*10^AB40,AI40*(2*3)*10^(AB40-1)),0)</f>
        <v>600</v>
      </c>
      <c r="K40" s="38">
        <f>J40+IF(ISNUMBER(I40),I40,
  SWITCH(
      I40,
      "1T",1*10^AB40,
      "2T",2*10^AB40,
      "3T",3*10^AB40,
      "4T",4*10^AB40,
      "4000+500(7O-5)",4000+500*(7*I41-5),
      "13500 + 16C",13500+16*VLOOKUP(J42,'Machine Helper Sheet'!$G$1:$K$16,5,FALSE),
      1
  )
)</f>
        <v>4600</v>
      </c>
      <c r="L40" s="38">
        <f>IF(VLOOKUP(H40,'Machine List'!$A$1:$I$300,5,FALSE)="Multi",IF(VLOOKUP(H40,'Machine List'!$A$1:$I$300,6,FALSE)="Yes",AW40*3*10^AV40,AW40*(2*3)*10^(AV40-1)),0)</f>
        <v>60000</v>
      </c>
      <c r="M40" s="38">
        <f>L40+IF(ISNUMBER(I40),I40,
  SWITCH(
      I40,
      "1T",1*10^AV40,
      "2T",2*10^AV40,
      "3T",3*10^AV40,
      "4T",4*10^AV40,
      "4000+500(7O-5)",4000+500*(7*I41-5),
      1
  )
)</f>
        <v>64000</v>
      </c>
      <c r="N40" s="38" t="str">
        <f>VLOOKUP(H40,'Machine List'!$A$1:$I$300,8,FALSE)</f>
        <v>Tier</v>
      </c>
      <c r="O40" s="38">
        <f>IF(ISNUMBER(N40),N40,10^AB40)</f>
        <v>1000</v>
      </c>
      <c r="P40" s="38">
        <f>IF(ISNUMBER(N40),N40,10^AV40)</f>
        <v>100000</v>
      </c>
      <c r="Q40" s="38">
        <f>VLOOKUP(H40,'Machine List'!$A$1:$B$138,2,FALSE)</f>
        <v>1</v>
      </c>
      <c r="R40" s="164" t="s">
        <v>594</v>
      </c>
      <c r="S40" s="45">
        <f>IF(ISNUMBER(Q40),Q40,
  SWITCH(
      Q40,
      "1",1,
      "2T",AB40*2,
      "4T",AB40*4,
      "6T",AB40*6,
      "8T",AB40*8,
      "10T",AB40*10,
      "12T",AB40*12,
      "14T",AB40*14,
      "16T",AB40*16,
      "24T",AB40*24,
      "2(T+1)",2*(AB40+1),
      "1T*C",AB40*J42,
      "2*P",L42*2,
      1
  )
)</f>
        <v>1</v>
      </c>
      <c r="T40" s="38" t="s">
        <v>277</v>
      </c>
      <c r="U40" s="38">
        <f>IF(OR(T40="No",T40=""),S40,T40)</f>
        <v>1</v>
      </c>
      <c r="V40" s="38">
        <f>IF(ISNUMBER(Q40),Q40,
  SWITCH(
      Q40,
      "1",1,
      "2T",AV40*2,
      "4T",AV40*4,
      "6T",AV40*6,
      "8T",AV40*8,
      "10T",AV40*10,
      "12T",AV40*12,
      "14T",AV40*14,
      "16T",AV40*16,
      "24T",AV40*24,
      "2(T+1)",2*(AV40+1),
      "1T*C",AV40*J42,
      "2*P",L42*2,
      1
  )
)</f>
        <v>1</v>
      </c>
      <c r="W40" s="38" t="str">
        <f>T40</f>
        <v>No</v>
      </c>
      <c r="X40" s="38">
        <f>IF(OR(W40="No",W40=""),V40,W40)</f>
        <v>1</v>
      </c>
      <c r="Y40" s="38">
        <f>VLOOKUP(H40,'Machine List'!$A$1:$C$138,3,FALSE)</f>
        <v>1</v>
      </c>
      <c r="Z40" s="38">
        <f>VLOOKUP(H40,'Machine List'!$A$1:$D$138,4,FALSE)</f>
        <v>1</v>
      </c>
      <c r="AA40" s="164" t="s">
        <v>397</v>
      </c>
      <c r="AB40" s="38">
        <f>VLOOKUP(AA40,'Item Helper Sheet'!$A$2:$B$16,2,FALSE)</f>
        <v>3</v>
      </c>
      <c r="AC40" s="164">
        <v>480.0</v>
      </c>
      <c r="AD40" s="38">
        <f>35*20</f>
        <v>700</v>
      </c>
      <c r="AE40" s="38">
        <f>AD40*I42</f>
        <v>700</v>
      </c>
      <c r="AF40" s="38">
        <f>AC40*AE40</f>
        <v>336000</v>
      </c>
      <c r="AG40" s="75"/>
      <c r="AH40" s="38" t="str">
        <f>AA40</f>
        <v>03 - HV</v>
      </c>
      <c r="AI40" s="38">
        <v>1.0</v>
      </c>
      <c r="AJ40" s="38">
        <v>1.0</v>
      </c>
      <c r="AK40" s="38">
        <f>AJ40*8*4^AB40</f>
        <v>512</v>
      </c>
      <c r="AL40" s="38">
        <f>MIN(ROUNDDOWN(AK40/AN40,0),U40)</f>
        <v>1</v>
      </c>
      <c r="AM40" s="38">
        <f>IF(OR(T40="No",T40=""),AI40*S40,AI40*T40)</f>
        <v>1</v>
      </c>
      <c r="AN40" s="38">
        <f>ROUNDUP(AC40*VLOOKUP(H40,'Machine List'!$A$2:$D$219,4,FALSE),0)</f>
        <v>480</v>
      </c>
      <c r="AO40" s="38">
        <f>AN40*AM40</f>
        <v>480</v>
      </c>
      <c r="AP40" s="38">
        <f>ROUNDUP(AD40*I42,0)</f>
        <v>700</v>
      </c>
      <c r="AQ40" s="38">
        <f>IF(ISNUMBER(Y40),ROUNDUP(AP40/Y40,0),
  SWITCH(
      Y40,
      "1+0.5C",ROUNDUP(AP40/(1+0.5*VLOOKUP(J42,'Machine Helper Sheet'!$G$1:$K$16,2,FALSE)),0),
      ROUNDUP(AP40/1,0)
  )
)</f>
        <v>700</v>
      </c>
      <c r="AR40" s="38">
        <f>ROUNDUP(AQ40/AM40,0)</f>
        <v>700</v>
      </c>
      <c r="AS40" s="38">
        <f>AO40*AR40</f>
        <v>336000</v>
      </c>
      <c r="AT40" s="75"/>
      <c r="AU40" s="164" t="s">
        <v>405</v>
      </c>
      <c r="AV40" s="38">
        <f>VLOOKUP(AU40,'Item Helper Sheet'!$A$2:$B$16,2,FALSE)</f>
        <v>5</v>
      </c>
      <c r="AW40" s="38">
        <f>AI40</f>
        <v>1</v>
      </c>
      <c r="AX40" s="38">
        <v>1.0</v>
      </c>
      <c r="AY40" s="38">
        <f>AX40*8*4^AV40</f>
        <v>8192</v>
      </c>
      <c r="AZ40" s="38">
        <f>MIN(ROUNDDOWN(AY40/AN40,0),X40)</f>
        <v>1</v>
      </c>
      <c r="BA40" s="38">
        <f>AZ40*AW40</f>
        <v>1</v>
      </c>
      <c r="BB40" s="38">
        <f>AN40</f>
        <v>480</v>
      </c>
      <c r="BC40" s="38">
        <f>MIN(AV40-AB40,IF(AY40&gt;=BB41*4,
IF(AY40&gt;=BB41*4^2,
IF(AY40&gt;=BB41*4^3,
IF(AY40&gt;=BB41*4^4,
IF(AY40&gt;=BB41*4^5,
IF(AY40&gt;=BB41*4^6,
IF(AY40&gt;=BB41*4^7,
IF(AY40&gt;=BB41*4^8,
IF(AY40&gt;=BB41*4^9,
IF(AY40&gt;=BB41*4^10,
9),
8),
7),
6),
5),
4),
3),
2),
1),
0))</f>
        <v>2</v>
      </c>
      <c r="BD40" s="38">
        <f>BB40*AZ40*4^BC40</f>
        <v>7680</v>
      </c>
      <c r="BE40" s="38">
        <f>BD40*AW40</f>
        <v>7680</v>
      </c>
      <c r="BF40" s="45">
        <f>ROUNDUP(IF(R40="Yes",AP40/(2^((BC40)*2)),AP40/(2^(BC40))),0)</f>
        <v>44</v>
      </c>
      <c r="BG40" s="45">
        <f>IF(ISNUMBER(Y40),ROUNDUP(BF40/Y40,0),
  SWITCH(
      Y40,
      "1+0.5C",ROUNDUP(BF40/(1+0.5*VLOOKUP(J42,'Machine Helper Sheet'!$G$1:$K$16,2,FALSE)),0),
      ROUNDUP(BF40/1,0)
  )
)</f>
        <v>44</v>
      </c>
      <c r="BH40" s="45">
        <f>ROUNDUP(BG40/BA40,0)</f>
        <v>44</v>
      </c>
      <c r="BI40" s="46">
        <f>BH40*BE40</f>
        <v>337920</v>
      </c>
      <c r="BK40" s="22"/>
      <c r="BS40" s="6" t="s">
        <v>154</v>
      </c>
      <c r="BT40" s="140">
        <v>2.0</v>
      </c>
    </row>
    <row r="41">
      <c r="B41" s="141" t="s">
        <v>828</v>
      </c>
      <c r="C41" s="165" t="s">
        <v>184</v>
      </c>
      <c r="D41" s="38">
        <f>4*I42</f>
        <v>4</v>
      </c>
      <c r="E41" s="164" t="s">
        <v>143</v>
      </c>
      <c r="F41" s="42">
        <f>2*I42</f>
        <v>2</v>
      </c>
      <c r="G41" s="43"/>
      <c r="H41" s="99" t="s">
        <v>584</v>
      </c>
      <c r="I41" s="45">
        <f t="array" ref="I41">match(TRUE,ISBLANK(F41:F53),0)-1</f>
        <v>4</v>
      </c>
      <c r="J41" s="100" t="s">
        <v>420</v>
      </c>
      <c r="K41" s="100" t="s">
        <v>585</v>
      </c>
      <c r="L41" s="100" t="s">
        <v>704</v>
      </c>
      <c r="M41" s="38"/>
      <c r="N41" s="38"/>
      <c r="O41" s="38"/>
      <c r="P41" s="38"/>
      <c r="Q41" s="38"/>
      <c r="R41" s="101"/>
      <c r="S41" s="101"/>
      <c r="T41" s="101"/>
      <c r="U41" s="45"/>
      <c r="V41" s="45"/>
      <c r="W41" s="45"/>
      <c r="X41" s="45"/>
      <c r="Y41" s="45"/>
      <c r="Z41" s="45"/>
      <c r="AA41" s="45"/>
      <c r="AB41" s="45"/>
      <c r="AC41" s="45"/>
      <c r="AD41" s="45"/>
      <c r="AE41" s="45"/>
      <c r="AF41" s="45"/>
      <c r="AG41" s="79"/>
      <c r="AH41" s="45"/>
      <c r="AI41" s="45"/>
      <c r="AJ41" s="45"/>
      <c r="AK41" s="45"/>
      <c r="AL41" s="45"/>
      <c r="AM41" s="45"/>
      <c r="AN41" s="45"/>
      <c r="AO41" s="45"/>
      <c r="AP41" s="45"/>
      <c r="AQ41" s="45"/>
      <c r="AR41" s="45"/>
      <c r="AS41" s="45"/>
      <c r="AT41" s="79"/>
      <c r="AU41" s="45"/>
      <c r="AV41" s="45"/>
      <c r="AW41" s="45"/>
      <c r="AX41" s="45"/>
      <c r="AY41" s="45"/>
      <c r="AZ41" s="45"/>
      <c r="BA41" s="45"/>
      <c r="BB41" s="45">
        <f>BB40*AZ40</f>
        <v>480</v>
      </c>
      <c r="BC41" s="45"/>
      <c r="BD41" s="45"/>
      <c r="BE41" s="45"/>
      <c r="BF41" s="45"/>
      <c r="BG41" s="45"/>
      <c r="BH41" s="45"/>
      <c r="BI41" s="46"/>
      <c r="BK41" s="22"/>
      <c r="BS41" s="140" t="s">
        <v>155</v>
      </c>
      <c r="BT41" s="140">
        <v>8.0</v>
      </c>
    </row>
    <row r="42">
      <c r="B42" s="40"/>
      <c r="C42" s="165" t="s">
        <v>73</v>
      </c>
      <c r="D42" s="38">
        <f>4000*I42</f>
        <v>4000</v>
      </c>
      <c r="E42" s="164" t="s">
        <v>20</v>
      </c>
      <c r="F42" s="42">
        <f>4000*I42</f>
        <v>4000</v>
      </c>
      <c r="G42" s="43"/>
      <c r="H42" s="56" t="s">
        <v>502</v>
      </c>
      <c r="I42" s="166">
        <v>1.0</v>
      </c>
      <c r="J42" s="100" t="s">
        <v>424</v>
      </c>
      <c r="K42" s="100">
        <v>0.0</v>
      </c>
      <c r="L42" s="100">
        <v>0.0</v>
      </c>
      <c r="M42" s="45"/>
      <c r="N42" s="45"/>
      <c r="O42" s="45"/>
      <c r="P42" s="45"/>
      <c r="Q42" s="45"/>
      <c r="R42" s="45"/>
      <c r="S42" s="101"/>
      <c r="T42" s="101"/>
      <c r="U42" s="45"/>
      <c r="V42" s="45"/>
      <c r="W42" s="45"/>
      <c r="X42" s="45"/>
      <c r="Y42" s="45"/>
      <c r="Z42" s="45"/>
      <c r="AA42" s="45"/>
      <c r="AB42" s="45"/>
      <c r="AC42" s="45"/>
      <c r="AD42" s="45"/>
      <c r="AE42" s="45"/>
      <c r="AF42" s="45"/>
      <c r="AG42" s="79"/>
      <c r="AH42" s="45"/>
      <c r="AI42" s="45"/>
      <c r="AJ42" s="45"/>
      <c r="AK42" s="45"/>
      <c r="AL42" s="45"/>
      <c r="AM42" s="45"/>
      <c r="AN42" s="45"/>
      <c r="AO42" s="45"/>
      <c r="AP42" s="45"/>
      <c r="AQ42" s="45"/>
      <c r="AR42" s="45"/>
      <c r="AS42" s="45"/>
      <c r="AT42" s="79"/>
      <c r="AU42" s="45"/>
      <c r="AV42" s="45"/>
      <c r="AW42" s="45"/>
      <c r="AX42" s="45"/>
      <c r="AY42" s="45"/>
      <c r="AZ42" s="45"/>
      <c r="BA42" s="45"/>
      <c r="BB42" s="45"/>
      <c r="BC42" s="45"/>
      <c r="BD42" s="45"/>
      <c r="BE42" s="45"/>
      <c r="BF42" s="45"/>
      <c r="BG42" s="45"/>
      <c r="BH42" s="45"/>
      <c r="BI42" s="46"/>
      <c r="BK42" s="22"/>
      <c r="BS42" s="140" t="s">
        <v>156</v>
      </c>
      <c r="BT42" s="140">
        <v>15.0</v>
      </c>
    </row>
    <row r="43">
      <c r="B43" s="40"/>
      <c r="C43" s="165"/>
      <c r="D43" s="38"/>
      <c r="E43" s="164" t="s">
        <v>64</v>
      </c>
      <c r="F43" s="42">
        <f>1000*I42</f>
        <v>1000</v>
      </c>
      <c r="G43" s="43"/>
      <c r="H43" s="44"/>
      <c r="I43" s="45"/>
      <c r="J43" s="45"/>
      <c r="K43" s="45"/>
      <c r="L43" s="45"/>
      <c r="M43" s="45"/>
      <c r="N43" s="45"/>
      <c r="O43" s="45"/>
      <c r="P43" s="45"/>
      <c r="Q43" s="45"/>
      <c r="R43" s="45"/>
      <c r="S43" s="101"/>
      <c r="T43" s="101"/>
      <c r="U43" s="45"/>
      <c r="V43" s="45"/>
      <c r="W43" s="45"/>
      <c r="X43" s="45"/>
      <c r="Y43" s="45"/>
      <c r="Z43" s="45"/>
      <c r="AA43" s="45"/>
      <c r="AB43" s="45"/>
      <c r="AC43" s="45"/>
      <c r="AD43" s="45"/>
      <c r="AE43" s="45"/>
      <c r="AF43" s="45"/>
      <c r="AG43" s="79"/>
      <c r="AH43" s="45"/>
      <c r="AI43" s="45"/>
      <c r="AJ43" s="45"/>
      <c r="AK43" s="45"/>
      <c r="AL43" s="45"/>
      <c r="AM43" s="45"/>
      <c r="AN43" s="45"/>
      <c r="AO43" s="45"/>
      <c r="AP43" s="45"/>
      <c r="AQ43" s="45"/>
      <c r="AR43" s="45"/>
      <c r="AS43" s="45"/>
      <c r="AT43" s="79"/>
      <c r="AU43" s="45"/>
      <c r="AV43" s="45"/>
      <c r="AW43" s="45"/>
      <c r="AX43" s="45"/>
      <c r="AY43" s="45"/>
      <c r="AZ43" s="45"/>
      <c r="BA43" s="45"/>
      <c r="BB43" s="45"/>
      <c r="BC43" s="45"/>
      <c r="BD43" s="45"/>
      <c r="BE43" s="45"/>
      <c r="BF43" s="45"/>
      <c r="BG43" s="45"/>
      <c r="BH43" s="45"/>
      <c r="BI43" s="46"/>
      <c r="BK43" s="22"/>
      <c r="BS43" s="140" t="s">
        <v>158</v>
      </c>
      <c r="BT43" s="140">
        <v>10.0</v>
      </c>
    </row>
    <row r="44">
      <c r="B44" s="40"/>
      <c r="C44" s="165"/>
      <c r="D44" s="38"/>
      <c r="E44" s="164" t="s">
        <v>248</v>
      </c>
      <c r="F44" s="42">
        <f>1000*I42</f>
        <v>1000</v>
      </c>
      <c r="G44" s="79"/>
      <c r="H44" s="45"/>
      <c r="I44" s="45"/>
      <c r="J44" s="45"/>
      <c r="K44" s="45"/>
      <c r="L44" s="45"/>
      <c r="M44" s="45"/>
      <c r="N44" s="45"/>
      <c r="O44" s="45"/>
      <c r="P44" s="45"/>
      <c r="Q44" s="45"/>
      <c r="R44" s="45"/>
      <c r="S44" s="101"/>
      <c r="T44" s="101"/>
      <c r="U44" s="45"/>
      <c r="V44" s="45"/>
      <c r="W44" s="45"/>
      <c r="X44" s="45"/>
      <c r="Y44" s="45"/>
      <c r="Z44" s="45"/>
      <c r="AA44" s="45"/>
      <c r="AB44" s="45"/>
      <c r="AC44" s="45"/>
      <c r="AD44" s="45"/>
      <c r="AE44" s="45"/>
      <c r="AF44" s="45"/>
      <c r="AG44" s="79"/>
      <c r="AH44" s="45"/>
      <c r="AI44" s="45"/>
      <c r="AJ44" s="45"/>
      <c r="AK44" s="45"/>
      <c r="AL44" s="45"/>
      <c r="AM44" s="45"/>
      <c r="AN44" s="45"/>
      <c r="AO44" s="45"/>
      <c r="AP44" s="45"/>
      <c r="AQ44" s="45"/>
      <c r="AR44" s="45"/>
      <c r="AS44" s="45"/>
      <c r="AT44" s="79"/>
      <c r="AU44" s="45"/>
      <c r="AV44" s="45"/>
      <c r="AW44" s="45"/>
      <c r="AX44" s="45"/>
      <c r="AY44" s="45"/>
      <c r="AZ44" s="45"/>
      <c r="BA44" s="45"/>
      <c r="BB44" s="45"/>
      <c r="BC44" s="45"/>
      <c r="BD44" s="45"/>
      <c r="BE44" s="45"/>
      <c r="BF44" s="45"/>
      <c r="BG44" s="45"/>
      <c r="BH44" s="45"/>
      <c r="BI44" s="46"/>
      <c r="BK44" s="22"/>
      <c r="BS44" s="140" t="s">
        <v>159</v>
      </c>
      <c r="BT44" s="140">
        <v>-216.0</v>
      </c>
    </row>
    <row r="45">
      <c r="B45" s="135"/>
      <c r="C45" s="136"/>
      <c r="D45" s="137"/>
      <c r="E45" s="137"/>
      <c r="F45" s="137"/>
      <c r="G45" s="138"/>
      <c r="H45" s="137"/>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8"/>
      <c r="AH45" s="137"/>
      <c r="AI45" s="137"/>
      <c r="AJ45" s="137"/>
      <c r="AK45" s="137"/>
      <c r="AL45" s="137"/>
      <c r="AM45" s="137"/>
      <c r="AN45" s="137"/>
      <c r="AO45" s="137"/>
      <c r="AP45" s="137"/>
      <c r="AQ45" s="137"/>
      <c r="AR45" s="137"/>
      <c r="AS45" s="137"/>
      <c r="AT45" s="138"/>
      <c r="AU45" s="137"/>
      <c r="AV45" s="137"/>
      <c r="AW45" s="137"/>
      <c r="AX45" s="137"/>
      <c r="AY45" s="137"/>
      <c r="AZ45" s="137"/>
      <c r="BA45" s="137"/>
      <c r="BB45" s="137"/>
      <c r="BC45" s="137"/>
      <c r="BD45" s="137"/>
      <c r="BE45" s="137"/>
      <c r="BF45" s="137"/>
      <c r="BG45" s="137"/>
      <c r="BH45" s="137"/>
      <c r="BI45" s="139"/>
      <c r="BK45" s="22"/>
      <c r="BS45" s="6" t="s">
        <v>264</v>
      </c>
      <c r="BT45" s="6">
        <v>-2.0</v>
      </c>
    </row>
    <row r="46">
      <c r="B46" s="141" t="s">
        <v>832</v>
      </c>
      <c r="C46" s="142"/>
      <c r="D46" s="143"/>
      <c r="E46" s="143"/>
      <c r="F46" s="144"/>
      <c r="G46" s="145"/>
      <c r="H46" s="167" t="s">
        <v>355</v>
      </c>
      <c r="I46" s="147" t="str">
        <f>VLOOKUP(H46,'Machine List'!$A$1:$I$300,9,FALSE)</f>
        <v>1T</v>
      </c>
      <c r="J46" s="147">
        <f>IF(VLOOKUP(H46,'Machine List'!$A$1:$I$300,5,FALSE)="Multi",IF(VLOOKUP(H46,'Machine List'!$A$1:$I$300,6,FALSE)="Yes",AI46*3*10^AB46,AI46*(2*3)*10^(AB46-1)),0)</f>
        <v>0</v>
      </c>
      <c r="K46" s="147">
        <f>J46+IF(ISNUMBER(I46),I46,
  SWITCH(
      I46,
      "1T",1*10^AB46,
      "2T",2*10^AB46,
      "3T",3*10^AB46,
      "4T",4*10^AB46,
      "4000+500(7O-5)",4000+500*(7*I47-5),
      "13500 + 16C",13500+16*VLOOKUP(J48,'Machine Helper Sheet'!$G$1:$K$16,5,FALSE),
      1
  )
)</f>
        <v>10</v>
      </c>
      <c r="L46" s="147">
        <f>IF(VLOOKUP(H46,'Machine List'!$A$1:$I$300,5,FALSE)="Multi",IF(VLOOKUP(H46,'Machine List'!$A$1:$I$300,6,FALSE)="Yes",AW46*3*10^AV46,AW46*(2*3)*10^(AV46-1)),0)</f>
        <v>0</v>
      </c>
      <c r="M46" s="147">
        <f>L46+IF(ISNUMBER(I46),I46,
  SWITCH(
      I46,
      "1T",1*10^AV46,
      "2T",2*10^AV46,
      "3T",3*10^AV46,
      "4T",4*10^AV46,
      "4000+500(7O-5)",4000+500*(7*I47-5),
      1
  )
)</f>
        <v>100000</v>
      </c>
      <c r="N46" s="147" t="str">
        <f>VLOOKUP(H46,'Machine List'!$A$1:$I$300,8,FALSE)</f>
        <v>Tier</v>
      </c>
      <c r="O46" s="147">
        <f>IF(ISNUMBER(N46),N46,10^AB46)</f>
        <v>10</v>
      </c>
      <c r="P46" s="147">
        <f>IF(ISNUMBER(N46),N46,10^AV46)</f>
        <v>100000</v>
      </c>
      <c r="Q46" s="147">
        <f>VLOOKUP(H46,'Machine List'!$A$1:$B$138,2,FALSE)</f>
        <v>1</v>
      </c>
      <c r="R46" s="147" t="s">
        <v>277</v>
      </c>
      <c r="S46" s="143">
        <f>IF(ISNUMBER(Q46),Q46,
  SWITCH(
      Q46,
      "1",1,
      "2T",AB46*2,
      "4T",AB46*4,
      "6T",AB46*6,
      "8T",AB46*8,
      "10T",AB46*10,
      "12T",AB46*12,
      "14T",AB46*14,
      "16T",AB46*16,
      "24T",AB46*24,
      "2(T+1)",2*(AB46+1),
      "1T*C",AB46*J48,
      "2*P",L48*2,
      1
  )
)</f>
        <v>1</v>
      </c>
      <c r="T46" s="38" t="s">
        <v>277</v>
      </c>
      <c r="U46" s="147">
        <f>IF(OR(T46="No",T46=""),S46,T46)</f>
        <v>1</v>
      </c>
      <c r="V46" s="147">
        <f>IF(ISNUMBER(Q46),Q46,
  SWITCH(
      Q46,
      "1",1,
      "2T",AV46*2,
      "4T",AV46*4,
      "6T",AV46*6,
      "8T",AV46*8,
      "10T",AV46*10,
      "12T",AV46*12,
      "14T",AV46*14,
      "16T",AV46*16,
      "24T",AV46*24,
      "2(T+1)",2*(AV46+1),
      "1T*C",AV46*J48,
      "2*P",L48*2,
      1
  )
)</f>
        <v>1</v>
      </c>
      <c r="W46" s="147" t="str">
        <f>T46</f>
        <v>No</v>
      </c>
      <c r="X46" s="147">
        <f>IF(OR(W46="No",W46=""),V46,W46)</f>
        <v>1</v>
      </c>
      <c r="Y46" s="38">
        <f>VLOOKUP(H46,'Machine List'!$A$1:$C$138,3,FALSE)</f>
        <v>1</v>
      </c>
      <c r="Z46" s="38">
        <f>VLOOKUP(H46,'Machine List'!$A$1:$D$138,4,FALSE)</f>
        <v>1</v>
      </c>
      <c r="AA46" s="168" t="s">
        <v>390</v>
      </c>
      <c r="AB46" s="147">
        <f>VLOOKUP(AA46,'Item Helper Sheet'!$A$2:$B$16,2,FALSE)</f>
        <v>1</v>
      </c>
      <c r="AC46" s="147">
        <v>30.0</v>
      </c>
      <c r="AD46" s="147">
        <f>1.5*20</f>
        <v>30</v>
      </c>
      <c r="AE46" s="147">
        <f>AD46*I48</f>
        <v>30</v>
      </c>
      <c r="AF46" s="147">
        <f>AC46*AE46</f>
        <v>900</v>
      </c>
      <c r="AG46" s="148"/>
      <c r="AH46" s="147" t="str">
        <f>AA46</f>
        <v>01 - LV</v>
      </c>
      <c r="AI46" s="147">
        <v>1.0</v>
      </c>
      <c r="AJ46" s="147">
        <v>1.0</v>
      </c>
      <c r="AK46" s="147">
        <f>AJ46*8*4^AB46</f>
        <v>32</v>
      </c>
      <c r="AL46" s="147">
        <f>MIN(ROUNDDOWN(AK46/AN46,0),U46)</f>
        <v>1</v>
      </c>
      <c r="AM46" s="147">
        <f>IF(OR(T46="No",T46=""),AI46*S46,AI46*T46)</f>
        <v>1</v>
      </c>
      <c r="AN46" s="147">
        <f>ROUNDUP(AC46*VLOOKUP(H46,'Machine List'!$A$2:$D$219,4,FALSE),0)</f>
        <v>30</v>
      </c>
      <c r="AO46" s="147">
        <f>AN46*AM46</f>
        <v>30</v>
      </c>
      <c r="AP46" s="147">
        <f>ROUNDUP(AD46*I48,0)</f>
        <v>30</v>
      </c>
      <c r="AQ46" s="38">
        <f>IF(ISNUMBER(Y46),ROUNDUP(AP46/Y46,0),
  SWITCH(
      Y46,
      "1+0.5C",ROUNDUP(AP46/(1+0.5*VLOOKUP(J48,'Machine Helper Sheet'!$G$1:$K$16,2,FALSE)),0),
      ROUNDUP(AP46/1,0)
  )
)</f>
        <v>30</v>
      </c>
      <c r="AR46" s="147">
        <f>ROUNDUP(AQ46/AM46,0)</f>
        <v>30</v>
      </c>
      <c r="AS46" s="147">
        <f>AO46*AR46</f>
        <v>900</v>
      </c>
      <c r="AT46" s="148"/>
      <c r="AU46" s="168" t="s">
        <v>405</v>
      </c>
      <c r="AV46" s="147">
        <f>VLOOKUP(AU46,'Item Helper Sheet'!$A$2:$B$16,2,FALSE)</f>
        <v>5</v>
      </c>
      <c r="AW46" s="147">
        <f>AI46</f>
        <v>1</v>
      </c>
      <c r="AX46" s="147">
        <v>1.0</v>
      </c>
      <c r="AY46" s="147">
        <f>AX46*8*4^AV46</f>
        <v>8192</v>
      </c>
      <c r="AZ46" s="147">
        <f>MIN(ROUNDDOWN(AY46/AN46,0),X46)</f>
        <v>1</v>
      </c>
      <c r="BA46" s="147">
        <f>AZ46*AW46</f>
        <v>1</v>
      </c>
      <c r="BB46" s="147">
        <f>AN46</f>
        <v>30</v>
      </c>
      <c r="BC46" s="147">
        <f>MIN(AV46-AB46,IF(AY46&gt;=BB47*4,
IF(AY46&gt;=BB47*4^2,
IF(AY46&gt;=BB47*4^3,
IF(AY46&gt;=BB47*4^4,
IF(AY46&gt;=BB47*4^5,
IF(AY46&gt;=BB47*4^6,
IF(AY46&gt;=BB47*4^7,
IF(AY46&gt;=BB47*4^8,
IF(AY46&gt;=BB47*4^9,
IF(AY46&gt;=BB47*4^10,
9),
8),
7),
6),
5),
4),
3),
2),
1),
0))</f>
        <v>4</v>
      </c>
      <c r="BD46" s="147">
        <f>BB46*AZ46*4^BC46</f>
        <v>7680</v>
      </c>
      <c r="BE46" s="147">
        <f>BD46*AW46</f>
        <v>7680</v>
      </c>
      <c r="BF46" s="143">
        <f>ROUNDUP(IF(R46="Yes",AP46/(2^((BC46)*2)),AP46/(2^(BC46))),0)</f>
        <v>2</v>
      </c>
      <c r="BG46" s="45">
        <f>IF(ISNUMBER(Y46),ROUNDUP(BF46/Y46,0),
  SWITCH(
      Y46,
      "1+0.5C",ROUNDUP(BF46/(1+0.5*VLOOKUP(J48,'Machine Helper Sheet'!$G$1:$K$16,2,FALSE)),0),
      ROUNDUP(BF46/1,0)
  )
)</f>
        <v>2</v>
      </c>
      <c r="BH46" s="143">
        <f>ROUNDUP(BG46/BA46,0)</f>
        <v>2</v>
      </c>
      <c r="BI46" s="149">
        <f>BH46*BE46</f>
        <v>15360</v>
      </c>
      <c r="BK46" s="22"/>
      <c r="BS46" s="6" t="s">
        <v>160</v>
      </c>
      <c r="BT46" s="6">
        <v>7200.0</v>
      </c>
    </row>
    <row r="47">
      <c r="B47" s="141" t="s">
        <v>833</v>
      </c>
      <c r="C47" s="169" t="s">
        <v>55</v>
      </c>
      <c r="D47" s="147">
        <f>1000*I48</f>
        <v>1000</v>
      </c>
      <c r="E47" s="168" t="s">
        <v>27</v>
      </c>
      <c r="F47" s="152">
        <f>2000*I48</f>
        <v>2000</v>
      </c>
      <c r="G47" s="138"/>
      <c r="H47" s="153" t="s">
        <v>584</v>
      </c>
      <c r="I47" s="45">
        <f t="array" ref="I47">match(TRUE,ISBLANK(F47:F59),0)-1</f>
        <v>1</v>
      </c>
      <c r="J47" s="154" t="s">
        <v>420</v>
      </c>
      <c r="K47" s="154" t="s">
        <v>585</v>
      </c>
      <c r="L47" s="100" t="s">
        <v>704</v>
      </c>
      <c r="M47" s="147"/>
      <c r="N47" s="147"/>
      <c r="O47" s="147"/>
      <c r="P47" s="147"/>
      <c r="Q47" s="147"/>
      <c r="R47" s="155"/>
      <c r="S47" s="155"/>
      <c r="T47" s="155"/>
      <c r="U47" s="143"/>
      <c r="V47" s="143"/>
      <c r="W47" s="143"/>
      <c r="X47" s="143"/>
      <c r="Y47" s="143"/>
      <c r="Z47" s="143"/>
      <c r="AA47" s="143"/>
      <c r="AB47" s="143"/>
      <c r="AC47" s="143"/>
      <c r="AD47" s="143"/>
      <c r="AE47" s="143"/>
      <c r="AF47" s="143"/>
      <c r="AG47" s="156"/>
      <c r="AH47" s="143"/>
      <c r="AI47" s="143"/>
      <c r="AJ47" s="143"/>
      <c r="AK47" s="143"/>
      <c r="AL47" s="143"/>
      <c r="AM47" s="143"/>
      <c r="AN47" s="143"/>
      <c r="AO47" s="143"/>
      <c r="AP47" s="143"/>
      <c r="AQ47" s="143"/>
      <c r="AR47" s="143"/>
      <c r="AS47" s="143"/>
      <c r="AT47" s="156"/>
      <c r="AU47" s="143"/>
      <c r="AV47" s="143"/>
      <c r="AW47" s="143"/>
      <c r="AX47" s="143"/>
      <c r="AY47" s="143"/>
      <c r="AZ47" s="143"/>
      <c r="BA47" s="143"/>
      <c r="BB47" s="143">
        <f>BB46*AZ46</f>
        <v>30</v>
      </c>
      <c r="BC47" s="143"/>
      <c r="BD47" s="143"/>
      <c r="BE47" s="143"/>
      <c r="BF47" s="143"/>
      <c r="BG47" s="143"/>
      <c r="BH47" s="143"/>
      <c r="BI47" s="149"/>
      <c r="BK47" s="22"/>
      <c r="BS47" s="140" t="s">
        <v>165</v>
      </c>
      <c r="BT47" s="140">
        <v>-8.0</v>
      </c>
    </row>
    <row r="48">
      <c r="B48" s="150"/>
      <c r="C48" s="169" t="s">
        <v>130</v>
      </c>
      <c r="D48" s="147">
        <f>1000*I48</f>
        <v>1000</v>
      </c>
      <c r="E48" s="168"/>
      <c r="F48" s="152"/>
      <c r="G48" s="138"/>
      <c r="H48" s="157" t="s">
        <v>502</v>
      </c>
      <c r="I48" s="170">
        <v>1.0</v>
      </c>
      <c r="J48" s="154" t="s">
        <v>424</v>
      </c>
      <c r="K48" s="154">
        <v>0.0</v>
      </c>
      <c r="L48" s="100">
        <v>0.0</v>
      </c>
      <c r="M48" s="143"/>
      <c r="N48" s="143"/>
      <c r="O48" s="143"/>
      <c r="P48" s="143"/>
      <c r="Q48" s="143"/>
      <c r="R48" s="143"/>
      <c r="S48" s="155"/>
      <c r="T48" s="155"/>
      <c r="U48" s="143"/>
      <c r="V48" s="143"/>
      <c r="W48" s="143"/>
      <c r="X48" s="143"/>
      <c r="Y48" s="143"/>
      <c r="Z48" s="143"/>
      <c r="AA48" s="143"/>
      <c r="AB48" s="143"/>
      <c r="AC48" s="143"/>
      <c r="AD48" s="143"/>
      <c r="AE48" s="143"/>
      <c r="AF48" s="143"/>
      <c r="AG48" s="156"/>
      <c r="AH48" s="143"/>
      <c r="AI48" s="143"/>
      <c r="AJ48" s="143"/>
      <c r="AK48" s="143"/>
      <c r="AL48" s="143"/>
      <c r="AM48" s="143"/>
      <c r="AN48" s="143"/>
      <c r="AO48" s="143"/>
      <c r="AP48" s="143"/>
      <c r="AQ48" s="143"/>
      <c r="AR48" s="143"/>
      <c r="AS48" s="143"/>
      <c r="AT48" s="156"/>
      <c r="AU48" s="143"/>
      <c r="AV48" s="143"/>
      <c r="AW48" s="143"/>
      <c r="AX48" s="143"/>
      <c r="AY48" s="143"/>
      <c r="AZ48" s="143"/>
      <c r="BA48" s="143"/>
      <c r="BB48" s="143"/>
      <c r="BC48" s="143"/>
      <c r="BD48" s="143"/>
      <c r="BE48" s="143"/>
      <c r="BF48" s="143"/>
      <c r="BG48" s="143"/>
      <c r="BH48" s="143"/>
      <c r="BI48" s="149"/>
      <c r="BK48" s="22"/>
      <c r="BS48" s="140" t="s">
        <v>177</v>
      </c>
      <c r="BT48" s="140">
        <v>-14.0</v>
      </c>
    </row>
    <row r="49">
      <c r="B49" s="135"/>
      <c r="C49" s="136"/>
      <c r="D49" s="137"/>
      <c r="E49" s="137"/>
      <c r="F49" s="137"/>
      <c r="G49" s="138"/>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8"/>
      <c r="AH49" s="137"/>
      <c r="AI49" s="137"/>
      <c r="AJ49" s="137"/>
      <c r="AK49" s="137"/>
      <c r="AL49" s="137"/>
      <c r="AM49" s="137"/>
      <c r="AN49" s="137"/>
      <c r="AO49" s="137"/>
      <c r="AP49" s="137"/>
      <c r="AQ49" s="137"/>
      <c r="AR49" s="137"/>
      <c r="AS49" s="137"/>
      <c r="AT49" s="138"/>
      <c r="AU49" s="137"/>
      <c r="AV49" s="137"/>
      <c r="AW49" s="137"/>
      <c r="AX49" s="137"/>
      <c r="AY49" s="137"/>
      <c r="AZ49" s="137"/>
      <c r="BA49" s="137"/>
      <c r="BB49" s="137"/>
      <c r="BC49" s="137"/>
      <c r="BD49" s="137"/>
      <c r="BE49" s="137"/>
      <c r="BF49" s="137"/>
      <c r="BG49" s="137"/>
      <c r="BH49" s="137"/>
      <c r="BI49" s="139"/>
      <c r="BK49" s="22"/>
      <c r="BS49" s="140" t="s">
        <v>182</v>
      </c>
      <c r="BT49" s="102">
        <v>-0.050000000000000044</v>
      </c>
    </row>
    <row r="50">
      <c r="B50" s="31" t="s">
        <v>834</v>
      </c>
      <c r="C50" s="54"/>
      <c r="D50" s="45"/>
      <c r="E50" s="45"/>
      <c r="F50" s="47"/>
      <c r="G50" s="35"/>
      <c r="H50" s="55" t="s">
        <v>349</v>
      </c>
      <c r="I50" s="38">
        <f>VLOOKUP(H50,'Machine List'!$A$1:$I$300,9,FALSE)</f>
        <v>4000</v>
      </c>
      <c r="J50" s="38">
        <f>IF(VLOOKUP(H50,'Machine List'!$A$1:$I$300,5,FALSE)="Multi",IF(VLOOKUP(H50,'Machine List'!$A$1:$I$300,6,FALSE)="Yes",AI50*3*10^AB50,AI50*(2*3)*10^(AB50-1)),0)</f>
        <v>600</v>
      </c>
      <c r="K50" s="38">
        <f>J50+IF(ISNUMBER(I50),I50,
  SWITCH(
      I50,
      "1T",1*10^AB50,
      "2T",2*10^AB50,
      "3T",3*10^AB50,
      "4T",4*10^AB50,
      "4000+500(7O-5)",4000+500*(7*I51-5),
      "13500 + 16C",13500+16*VLOOKUP(J52,'Machine Helper Sheet'!$G$1:$K$16,5,FALSE),
      1
  )
)</f>
        <v>4600</v>
      </c>
      <c r="L50" s="38">
        <f>IF(VLOOKUP(H50,'Machine List'!$A$1:$I$300,5,FALSE)="Multi",IF(VLOOKUP(H50,'Machine List'!$A$1:$I$300,6,FALSE)="Yes",AW50*3*10^AV50,AW50*(2*3)*10^(AV50-1)),0)</f>
        <v>1200000</v>
      </c>
      <c r="M50" s="38">
        <f>L50+IF(ISNUMBER(I50),I50,
  SWITCH(
      I50,
      "1T",1*10^AV50,
      "2T",2*10^AV50,
      "3T",3*10^AV50,
      "4T",4*10^AV50,
      "4000+500(7O-5)",4000+500*(7*I52-5),
      1
  )
)</f>
        <v>1204000</v>
      </c>
      <c r="N50" s="38" t="str">
        <f>VLOOKUP(H50,'Machine List'!$A$1:$I$300,8,FALSE)</f>
        <v>Tier</v>
      </c>
      <c r="O50" s="38">
        <f>IF(ISNUMBER(N50),N50,10^AB50)</f>
        <v>1000</v>
      </c>
      <c r="P50" s="38">
        <f>IF(ISNUMBER(N50),N50,10^AV50)</f>
        <v>1000000</v>
      </c>
      <c r="Q50" s="38">
        <f>VLOOKUP(H50,'Machine List'!$A$1:$B$138,2,FALSE)</f>
        <v>1</v>
      </c>
      <c r="R50" s="38" t="s">
        <v>594</v>
      </c>
      <c r="S50" s="45">
        <f>IF(ISNUMBER(Q50),Q50,
  SWITCH(
      Q50,
      "1",1,
      "2T",AB50*2,
      "4T",AB50*4,
      "6T",AB50*6,
      "8T",AB50*8,
      "10T",AB50*10,
      "12T",AB50*12,
      "14T",AB50*14,
      "16T",AB50*16,
      "24T",AB50*24,
      "2(T+1)",2*(AB50+1),
      "1T*C",AB50*J52,
      "2*P",L52*2,
      1
  )
)</f>
        <v>1</v>
      </c>
      <c r="T50" s="38" t="s">
        <v>277</v>
      </c>
      <c r="U50" s="38">
        <f>IF(OR(T50="No",T50=""),S50,T50)</f>
        <v>1</v>
      </c>
      <c r="V50" s="38">
        <f>IF(ISNUMBER(Q50),Q50,
  SWITCH(
      Q50,
      "1",1,
      "2T",AV50*2,
      "4T",AV50*4,
      "6T",AV50*6,
      "8T",AV50*8,
      "10T",AV50*10,
      "12T",AV50*12,
      "14T",AV50*14,
      "16T",AV50*16,
      "24T",AV50*24,
      "2(T+1)",2*(AV50+1),
      "1T*C",AV50*J52,
      "2*P",L52*2,
      1
  )
)</f>
        <v>1</v>
      </c>
      <c r="W50" s="38" t="str">
        <f>T50</f>
        <v>No</v>
      </c>
      <c r="X50" s="38">
        <f>IF(OR(W50="No",W50=""),V50,W50)</f>
        <v>1</v>
      </c>
      <c r="Y50" s="38">
        <f>VLOOKUP(H50,'Machine List'!$A$1:$C$138,3,FALSE)</f>
        <v>1</v>
      </c>
      <c r="Z50" s="38">
        <f>VLOOKUP(H50,'Machine List'!$A$1:$D$138,4,FALSE)</f>
        <v>1</v>
      </c>
      <c r="AA50" s="38" t="s">
        <v>397</v>
      </c>
      <c r="AB50" s="38">
        <f>VLOOKUP(AA50,'Item Helper Sheet'!$A$2:$B$16,2,FALSE)</f>
        <v>3</v>
      </c>
      <c r="AC50" s="38">
        <v>384.0</v>
      </c>
      <c r="AD50" s="38">
        <f>16*20</f>
        <v>320</v>
      </c>
      <c r="AE50" s="38">
        <f>AD50*I52</f>
        <v>320</v>
      </c>
      <c r="AF50" s="38">
        <f>AC50*AE50</f>
        <v>122880</v>
      </c>
      <c r="AG50" s="75"/>
      <c r="AH50" s="38" t="str">
        <f>AA50</f>
        <v>03 - HV</v>
      </c>
      <c r="AI50" s="38">
        <v>1.0</v>
      </c>
      <c r="AJ50" s="38">
        <v>1.0</v>
      </c>
      <c r="AK50" s="38">
        <f>AJ50*8*4^AB50</f>
        <v>512</v>
      </c>
      <c r="AL50" s="38">
        <f>MIN(ROUNDDOWN(AK50/AN50,0),U50)</f>
        <v>1</v>
      </c>
      <c r="AM50" s="38">
        <f>IF(OR(T50="No",T50=""),AI50*S50,AI50*T50)</f>
        <v>1</v>
      </c>
      <c r="AN50" s="38">
        <f>ROUNDUP(AC50*VLOOKUP(H50,'Machine List'!$A$2:$D$219,4,FALSE),0)</f>
        <v>384</v>
      </c>
      <c r="AO50" s="38">
        <f>AN50*AM50</f>
        <v>384</v>
      </c>
      <c r="AP50" s="38">
        <f>ROUNDUP(AD50*I52,0)</f>
        <v>320</v>
      </c>
      <c r="AQ50" s="38">
        <f>IF(ISNUMBER(Y50),ROUNDUP(AP50/Y50,0),
  SWITCH(
      Y50,
      "1+0.5C",ROUNDUP(AP50/(1+0.5*VLOOKUP(J52,#REF!,2,FALSE)),0),
      ROUNDUP(AP50/1,0)
  )
)</f>
        <v>320</v>
      </c>
      <c r="AR50" s="38">
        <f>ROUNDUP(AQ50/AM50,0)</f>
        <v>320</v>
      </c>
      <c r="AS50" s="38">
        <f>AO50*AR50</f>
        <v>122880</v>
      </c>
      <c r="AT50" s="75"/>
      <c r="AU50" s="38" t="s">
        <v>408</v>
      </c>
      <c r="AV50" s="38">
        <f>VLOOKUP(AU50,'Item Helper Sheet'!$A$2:$B$16,2,FALSE)</f>
        <v>6</v>
      </c>
      <c r="AW50" s="38">
        <v>2.0</v>
      </c>
      <c r="AX50" s="38">
        <v>1.0</v>
      </c>
      <c r="AY50" s="38">
        <f>AX50*8*4^AV50</f>
        <v>32768</v>
      </c>
      <c r="AZ50" s="38">
        <f>MIN(ROUNDDOWN(AY50/AN50,0),X50)</f>
        <v>1</v>
      </c>
      <c r="BA50" s="38">
        <f>AZ50*AW50</f>
        <v>2</v>
      </c>
      <c r="BB50" s="38">
        <f>AN50</f>
        <v>384</v>
      </c>
      <c r="BC50" s="38">
        <f>MIN(AV50-AB50,IF(AY50&gt;=BB51*4,
IF(AY50&gt;=BB51*4^2,
IF(AY50&gt;=BB51*4^3,
IF(AY50&gt;=BB51*4^4,
IF(AY50&gt;=BB51*4^5,
IF(AY50&gt;=BB51*4^6,
IF(AY50&gt;=BB51*4^7,
IF(AY50&gt;=BB51*4^8,
IF(AY50&gt;=BB51*4^9,
IF(AY50&gt;=BB51*4^10,
9),
8),
7),
6),
5),
4),
3),
2),
1),
0))</f>
        <v>3</v>
      </c>
      <c r="BD50" s="38">
        <f>BB50*AZ50*4^BC50</f>
        <v>24576</v>
      </c>
      <c r="BE50" s="38">
        <f>BD50*AW50</f>
        <v>49152</v>
      </c>
      <c r="BF50" s="45">
        <f>ROUNDUP(IF(R50="Yes",AP50/(2^((BC50)*2)),AP50/(2^(BC50))),0)</f>
        <v>5</v>
      </c>
      <c r="BG50" s="45">
        <f>IF(ISNUMBER(Y50),ROUNDUP(BF50/Y50,0),
  SWITCH(
      Y50,
      "1+0.5C",ROUNDUP(BF50/(1+0.5*VLOOKUP(J52,'Machine Helper Sheet'!$G$1:$K$16,2,FALSE)),0),
      ROUNDUP(BF50/1,0)
  )
)</f>
        <v>5</v>
      </c>
      <c r="BH50" s="45">
        <f>ROUNDUP(BG50/BA50,0)</f>
        <v>3</v>
      </c>
      <c r="BI50" s="46">
        <f>BH50*BE50</f>
        <v>147456</v>
      </c>
      <c r="BK50" s="22"/>
      <c r="BS50" s="6" t="s">
        <v>184</v>
      </c>
      <c r="BT50" s="140">
        <v>-2.0</v>
      </c>
    </row>
    <row r="51">
      <c r="B51" s="141" t="s">
        <v>833</v>
      </c>
      <c r="C51" s="41" t="s">
        <v>132</v>
      </c>
      <c r="D51" s="38">
        <f>1000*I52</f>
        <v>1000</v>
      </c>
      <c r="E51" s="38" t="s">
        <v>20</v>
      </c>
      <c r="F51" s="42">
        <f>1000*I52</f>
        <v>1000</v>
      </c>
      <c r="G51" s="43"/>
      <c r="H51" s="99" t="s">
        <v>584</v>
      </c>
      <c r="I51" s="45">
        <f t="array" ref="I51">match(TRUE,ISBLANK(F51:F63),0)-1</f>
        <v>1</v>
      </c>
      <c r="J51" s="100" t="s">
        <v>420</v>
      </c>
      <c r="K51" s="100" t="s">
        <v>585</v>
      </c>
      <c r="L51" s="38"/>
      <c r="M51" s="38"/>
      <c r="N51" s="38"/>
      <c r="O51" s="38"/>
      <c r="P51" s="38"/>
      <c r="Q51" s="38"/>
      <c r="R51" s="101"/>
      <c r="S51" s="101"/>
      <c r="T51" s="101"/>
      <c r="U51" s="45"/>
      <c r="V51" s="45"/>
      <c r="W51" s="45"/>
      <c r="X51" s="45"/>
      <c r="Y51" s="45"/>
      <c r="Z51" s="45"/>
      <c r="AA51" s="45"/>
      <c r="AB51" s="45"/>
      <c r="AC51" s="45"/>
      <c r="AD51" s="45"/>
      <c r="AE51" s="45"/>
      <c r="AF51" s="45"/>
      <c r="AG51" s="79"/>
      <c r="AH51" s="45"/>
      <c r="AI51" s="45"/>
      <c r="AJ51" s="45"/>
      <c r="AK51" s="45"/>
      <c r="AL51" s="45"/>
      <c r="AM51" s="45"/>
      <c r="AN51" s="45"/>
      <c r="AO51" s="45"/>
      <c r="AP51" s="45"/>
      <c r="AQ51" s="45"/>
      <c r="AR51" s="45"/>
      <c r="AS51" s="45"/>
      <c r="AT51" s="79"/>
      <c r="AU51" s="45"/>
      <c r="AV51" s="45"/>
      <c r="AW51" s="45"/>
      <c r="AX51" s="45"/>
      <c r="AY51" s="45"/>
      <c r="AZ51" s="45"/>
      <c r="BA51" s="45"/>
      <c r="BB51" s="45">
        <f>BB50*AZ50</f>
        <v>384</v>
      </c>
      <c r="BC51" s="45"/>
      <c r="BD51" s="45"/>
      <c r="BE51" s="45"/>
      <c r="BF51" s="45"/>
      <c r="BG51" s="45"/>
      <c r="BH51" s="45"/>
      <c r="BI51" s="46"/>
      <c r="BK51" s="22"/>
      <c r="BS51" s="140" t="s">
        <v>185</v>
      </c>
      <c r="BT51" s="140">
        <v>0.0</v>
      </c>
    </row>
    <row r="52">
      <c r="B52" s="40"/>
      <c r="C52" s="41" t="s">
        <v>87</v>
      </c>
      <c r="D52" s="38">
        <f>3000*I52</f>
        <v>3000</v>
      </c>
      <c r="E52" s="38"/>
      <c r="F52" s="42"/>
      <c r="G52" s="43"/>
      <c r="H52" s="56" t="s">
        <v>502</v>
      </c>
      <c r="I52" s="57">
        <v>1.0</v>
      </c>
      <c r="J52" s="100" t="s">
        <v>424</v>
      </c>
      <c r="K52" s="100">
        <v>0.0</v>
      </c>
      <c r="L52" s="45"/>
      <c r="M52" s="45"/>
      <c r="N52" s="45"/>
      <c r="O52" s="45"/>
      <c r="P52" s="45"/>
      <c r="Q52" s="45"/>
      <c r="R52" s="45"/>
      <c r="S52" s="101"/>
      <c r="T52" s="101"/>
      <c r="U52" s="45"/>
      <c r="V52" s="45"/>
      <c r="W52" s="45"/>
      <c r="X52" s="45"/>
      <c r="Y52" s="45"/>
      <c r="Z52" s="45"/>
      <c r="AA52" s="45"/>
      <c r="AB52" s="45"/>
      <c r="AC52" s="45"/>
      <c r="AD52" s="45"/>
      <c r="AE52" s="45"/>
      <c r="AF52" s="45"/>
      <c r="AG52" s="79"/>
      <c r="AH52" s="45"/>
      <c r="AI52" s="45"/>
      <c r="AJ52" s="45"/>
      <c r="AK52" s="45"/>
      <c r="AL52" s="45"/>
      <c r="AM52" s="45"/>
      <c r="AN52" s="45"/>
      <c r="AO52" s="45"/>
      <c r="AP52" s="45"/>
      <c r="AQ52" s="45"/>
      <c r="AR52" s="45"/>
      <c r="AS52" s="45"/>
      <c r="AT52" s="79"/>
      <c r="AU52" s="45"/>
      <c r="AV52" s="45"/>
      <c r="AW52" s="45"/>
      <c r="AX52" s="45"/>
      <c r="AY52" s="45"/>
      <c r="AZ52" s="45"/>
      <c r="BA52" s="45"/>
      <c r="BB52" s="45"/>
      <c r="BC52" s="45"/>
      <c r="BD52" s="45"/>
      <c r="BE52" s="45"/>
      <c r="BF52" s="45"/>
      <c r="BG52" s="45"/>
      <c r="BH52" s="45"/>
      <c r="BI52" s="46"/>
      <c r="BK52" s="22"/>
      <c r="BS52" s="6" t="s">
        <v>186</v>
      </c>
      <c r="BT52" s="6">
        <v>0.0</v>
      </c>
    </row>
    <row r="53">
      <c r="B53" s="50"/>
      <c r="C53" s="51"/>
      <c r="D53" s="52"/>
      <c r="E53" s="52"/>
      <c r="F53" s="52"/>
      <c r="G53" s="43"/>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43"/>
      <c r="AH53" s="52"/>
      <c r="AI53" s="52"/>
      <c r="AJ53" s="52"/>
      <c r="AK53" s="52"/>
      <c r="AL53" s="52"/>
      <c r="AM53" s="52"/>
      <c r="AN53" s="52"/>
      <c r="AO53" s="52"/>
      <c r="AP53" s="52"/>
      <c r="AQ53" s="52"/>
      <c r="AR53" s="52"/>
      <c r="AS53" s="52"/>
      <c r="AT53" s="43"/>
      <c r="AU53" s="52"/>
      <c r="AV53" s="52"/>
      <c r="AW53" s="52"/>
      <c r="AX53" s="52"/>
      <c r="AY53" s="52"/>
      <c r="AZ53" s="52"/>
      <c r="BA53" s="52"/>
      <c r="BB53" s="52"/>
      <c r="BC53" s="52"/>
      <c r="BD53" s="52"/>
      <c r="BE53" s="52"/>
      <c r="BF53" s="52"/>
      <c r="BG53" s="52"/>
      <c r="BH53" s="52"/>
      <c r="BI53" s="53"/>
      <c r="BK53" s="22"/>
      <c r="BS53" s="6" t="s">
        <v>187</v>
      </c>
      <c r="BT53" s="6">
        <v>1.0</v>
      </c>
    </row>
    <row r="54">
      <c r="B54" s="31" t="s">
        <v>835</v>
      </c>
      <c r="C54" s="54"/>
      <c r="D54" s="45"/>
      <c r="E54" s="45"/>
      <c r="F54" s="47"/>
      <c r="G54" s="35"/>
      <c r="H54" s="55" t="s">
        <v>349</v>
      </c>
      <c r="I54" s="38">
        <f>VLOOKUP(H54,'Machine List'!$A$1:$I$300,9,FALSE)</f>
        <v>4000</v>
      </c>
      <c r="J54" s="38">
        <f>IF(VLOOKUP(H54,'Machine List'!$A$1:$I$300,5,FALSE)="Multi",IF(VLOOKUP(H54,'Machine List'!$A$1:$I$300,6,FALSE)="Yes",AI54*3*10^AB54,AI54*(2*3)*10^(AB54-1)),0)</f>
        <v>6</v>
      </c>
      <c r="K54" s="38">
        <f>J54+IF(ISNUMBER(I54),I54,
  SWITCH(
      I54,
      "1T",1*10^AB54,
      "2T",2*10^AB54,
      "3T",3*10^AB54,
      "4T",4*10^AB54,
      "4000+500(7O-5)",4000+500*(7*I55-5),
      "13500 + 16C",13500+16*VLOOKUP(J56,'Machine Helper Sheet'!$G$1:$K$16,5,FALSE),
      1
  )
)</f>
        <v>4006</v>
      </c>
      <c r="L54" s="38">
        <f>IF(VLOOKUP(H54,'Machine List'!$A$1:$I$300,5,FALSE)="Multi",IF(VLOOKUP(H54,'Machine List'!$A$1:$I$300,6,FALSE)="Yes",AW54*3*10^AV54,AW54*(2*3)*10^(AV54-1)),0)</f>
        <v>60000</v>
      </c>
      <c r="M54" s="38">
        <f>L54+IF(ISNUMBER(I54),I54,
  SWITCH(
      I54,
      "1T",1*10^AV54,
      "2T",2*10^AV54,
      "3T",3*10^AV54,
      "4T",4*10^AV54,
      "4000+500(7O-5)",4000+500*(7*I56-5),
      1
  )
)</f>
        <v>64000</v>
      </c>
      <c r="N54" s="38" t="str">
        <f>VLOOKUP(H54,'Machine List'!$A$1:$I$300,8,FALSE)</f>
        <v>Tier</v>
      </c>
      <c r="O54" s="38">
        <f>IF(ISNUMBER(N54),N54,10^AB54)</f>
        <v>10</v>
      </c>
      <c r="P54" s="38">
        <f>IF(ISNUMBER(N54),N54,10^AV54)</f>
        <v>100000</v>
      </c>
      <c r="Q54" s="38">
        <f>VLOOKUP(H54,'Machine List'!$A$1:$B$138,2,FALSE)</f>
        <v>1</v>
      </c>
      <c r="R54" s="38" t="s">
        <v>594</v>
      </c>
      <c r="S54" s="45">
        <f>IF(ISNUMBER(Q54),Q54,
  SWITCH(
      Q54,
      "1",1,
      "2T",AB54*2,
      "4T",AB54*4,
      "6T",AB54*6,
      "8T",AB54*8,
      "10T",AB54*10,
      "12T",AB54*12,
      "14T",AB54*14,
      "16T",AB54*16,
      "24T",AB54*24,
      "2(T+1)",2*(AB54+1),
      "1T*C",AB54*J56,
      "2*P",L56*2,
      1
  )
)</f>
        <v>1</v>
      </c>
      <c r="T54" s="38" t="s">
        <v>277</v>
      </c>
      <c r="U54" s="38">
        <f>IF(OR(T54="No",T54=""),S54,T54)</f>
        <v>1</v>
      </c>
      <c r="V54" s="38">
        <f>IF(ISNUMBER(Q54),Q54,
  SWITCH(
      Q54,
      "1",1,
      "2T",AV54*2,
      "4T",AV54*4,
      "6T",AV54*6,
      "8T",AV54*8,
      "10T",AV54*10,
      "12T",AV54*12,
      "14T",AV54*14,
      "16T",AV54*16,
      "24T",AV54*24,
      "2(T+1)",2*(AV54+1),
      "1T*C",AV54*J56,
      "2*P",L56*2,
      1
  )
)</f>
        <v>1</v>
      </c>
      <c r="W54" s="38" t="str">
        <f>T54</f>
        <v>No</v>
      </c>
      <c r="X54" s="38">
        <f>IF(OR(W54="No",W54=""),V54,W54)</f>
        <v>1</v>
      </c>
      <c r="Y54" s="38">
        <f>VLOOKUP(H54,'Machine List'!$A$1:$C$138,3,FALSE)</f>
        <v>1</v>
      </c>
      <c r="Z54" s="38">
        <f>VLOOKUP(H54,'Machine List'!$A$1:$D$138,4,FALSE)</f>
        <v>1</v>
      </c>
      <c r="AA54" s="38" t="s">
        <v>390</v>
      </c>
      <c r="AB54" s="38">
        <f>VLOOKUP(AA54,'Item Helper Sheet'!$A$2:$B$16,2,FALSE)</f>
        <v>1</v>
      </c>
      <c r="AC54" s="38">
        <v>30.0</v>
      </c>
      <c r="AD54" s="38">
        <f>16*20</f>
        <v>320</v>
      </c>
      <c r="AE54" s="38">
        <f>AD54*I56</f>
        <v>320</v>
      </c>
      <c r="AF54" s="38">
        <f>AC54*AE54</f>
        <v>9600</v>
      </c>
      <c r="AG54" s="75"/>
      <c r="AH54" s="38" t="str">
        <f>AA54</f>
        <v>01 - LV</v>
      </c>
      <c r="AI54" s="38">
        <v>1.0</v>
      </c>
      <c r="AJ54" s="38">
        <v>1.0</v>
      </c>
      <c r="AK54" s="38">
        <f>AJ54*8*4^AB54</f>
        <v>32</v>
      </c>
      <c r="AL54" s="38">
        <f>MIN(ROUNDDOWN(AK54/AN54,0),U54)</f>
        <v>1</v>
      </c>
      <c r="AM54" s="38">
        <f>IF(OR(T54="No",T54=""),AI54*S54,AI54*T54)</f>
        <v>1</v>
      </c>
      <c r="AN54" s="38">
        <f>ROUNDUP(AC54*VLOOKUP(H54,'Machine List'!$A$2:$D$219,4,FALSE),0)</f>
        <v>30</v>
      </c>
      <c r="AO54" s="38">
        <f>AN54*AM54</f>
        <v>30</v>
      </c>
      <c r="AP54" s="38">
        <f>ROUNDUP(AD54*I56,0)</f>
        <v>320</v>
      </c>
      <c r="AQ54" s="38">
        <f>IF(ISNUMBER(Y54),ROUNDUP(AP54/Y54,0),
  SWITCH(
      Y54,
      "1+0.5C",ROUNDUP(AP54/(1+0.5*VLOOKUP(J56,#REF!,2,FALSE)),0),
      ROUNDUP(AP54/1,0)
  )
)</f>
        <v>320</v>
      </c>
      <c r="AR54" s="38">
        <f>ROUNDUP(AQ54/AM54,0)</f>
        <v>320</v>
      </c>
      <c r="AS54" s="38">
        <f>AO54*AR54</f>
        <v>9600</v>
      </c>
      <c r="AT54" s="75"/>
      <c r="AU54" s="38" t="s">
        <v>405</v>
      </c>
      <c r="AV54" s="38">
        <f>VLOOKUP(AU54,'Item Helper Sheet'!$A$2:$B$16,2,FALSE)</f>
        <v>5</v>
      </c>
      <c r="AW54" s="38">
        <f>AI54</f>
        <v>1</v>
      </c>
      <c r="AX54" s="38">
        <v>1.0</v>
      </c>
      <c r="AY54" s="38">
        <f>AX54*8*4^AV54</f>
        <v>8192</v>
      </c>
      <c r="AZ54" s="38">
        <f>MIN(ROUNDDOWN(AY54/AN54,0),X54)</f>
        <v>1</v>
      </c>
      <c r="BA54" s="38">
        <f>AZ54*AW54</f>
        <v>1</v>
      </c>
      <c r="BB54" s="38">
        <f>AN54</f>
        <v>30</v>
      </c>
      <c r="BC54" s="38">
        <f>MIN(AV54-AB54,IF(AY54&gt;=BB55*4,
IF(AY54&gt;=BB55*4^2,
IF(AY54&gt;=BB55*4^3,
IF(AY54&gt;=BB55*4^4,
IF(AY54&gt;=BB55*4^5,
IF(AY54&gt;=BB55*4^6,
IF(AY54&gt;=BB55*4^7,
IF(AY54&gt;=BB55*4^8,
IF(AY54&gt;=BB55*4^9,
IF(AY54&gt;=BB55*4^10,
9),
8),
7),
6),
5),
4),
3),
2),
1),
0))</f>
        <v>4</v>
      </c>
      <c r="BD54" s="38">
        <f>BB54*AZ54*4^BC54</f>
        <v>7680</v>
      </c>
      <c r="BE54" s="38">
        <f>BD54*AW54</f>
        <v>7680</v>
      </c>
      <c r="BF54" s="45">
        <f>ROUNDUP(IF(R54="Yes",AP54/(2^((BC54)*2)),AP54/(2^(BC54))),0)</f>
        <v>2</v>
      </c>
      <c r="BG54" s="45">
        <f>IF(ISNUMBER(Y54),ROUNDUP(BF54/Y54,0),
  SWITCH(
      Y54,
      "1+0.5C",ROUNDUP(BF54/(1+0.5*VLOOKUP(J56,'Machine Helper Sheet'!$G$1:$K$16,2,FALSE)),0),
      ROUNDUP(BF54/1,0)
  )
)</f>
        <v>2</v>
      </c>
      <c r="BH54" s="45">
        <f>ROUNDUP(BG54/BA54,0)</f>
        <v>2</v>
      </c>
      <c r="BI54" s="46">
        <f>BH54*BE54</f>
        <v>15360</v>
      </c>
      <c r="BK54" s="22"/>
      <c r="BS54" s="140" t="s">
        <v>188</v>
      </c>
      <c r="BT54" s="102">
        <v>-0.050000000000000044</v>
      </c>
    </row>
    <row r="55">
      <c r="B55" s="141" t="s">
        <v>833</v>
      </c>
      <c r="C55" s="41" t="s">
        <v>20</v>
      </c>
      <c r="D55" s="38">
        <f>1000*I56</f>
        <v>1000</v>
      </c>
      <c r="E55" s="38" t="s">
        <v>130</v>
      </c>
      <c r="F55" s="42">
        <f>1000*I56</f>
        <v>1000</v>
      </c>
      <c r="G55" s="43"/>
      <c r="H55" s="99" t="s">
        <v>584</v>
      </c>
      <c r="I55" s="45">
        <f t="array" ref="I55">match(TRUE,ISBLANK(F55:F67),0)-1</f>
        <v>2</v>
      </c>
      <c r="J55" s="100" t="s">
        <v>420</v>
      </c>
      <c r="K55" s="100" t="s">
        <v>585</v>
      </c>
      <c r="L55" s="38"/>
      <c r="M55" s="38"/>
      <c r="N55" s="38"/>
      <c r="O55" s="38"/>
      <c r="P55" s="38"/>
      <c r="Q55" s="38"/>
      <c r="R55" s="101"/>
      <c r="S55" s="101"/>
      <c r="T55" s="101"/>
      <c r="U55" s="45"/>
      <c r="V55" s="45"/>
      <c r="W55" s="45"/>
      <c r="X55" s="45"/>
      <c r="Y55" s="45"/>
      <c r="Z55" s="45"/>
      <c r="AA55" s="45"/>
      <c r="AB55" s="45"/>
      <c r="AC55" s="45"/>
      <c r="AD55" s="45"/>
      <c r="AE55" s="45"/>
      <c r="AF55" s="45"/>
      <c r="AG55" s="79"/>
      <c r="AH55" s="45"/>
      <c r="AI55" s="45"/>
      <c r="AJ55" s="45"/>
      <c r="AK55" s="45"/>
      <c r="AL55" s="45"/>
      <c r="AM55" s="45"/>
      <c r="AN55" s="45"/>
      <c r="AO55" s="45"/>
      <c r="AP55" s="45"/>
      <c r="AQ55" s="45"/>
      <c r="AR55" s="45"/>
      <c r="AS55" s="45"/>
      <c r="AT55" s="79"/>
      <c r="AU55" s="45"/>
      <c r="AV55" s="45"/>
      <c r="AW55" s="45"/>
      <c r="AX55" s="45"/>
      <c r="AY55" s="45"/>
      <c r="AZ55" s="45"/>
      <c r="BA55" s="45"/>
      <c r="BB55" s="45">
        <f>BB54*AZ54</f>
        <v>30</v>
      </c>
      <c r="BC55" s="45"/>
      <c r="BD55" s="45"/>
      <c r="BE55" s="45"/>
      <c r="BF55" s="45"/>
      <c r="BG55" s="45"/>
      <c r="BH55" s="45"/>
      <c r="BI55" s="46"/>
      <c r="BK55" s="22"/>
      <c r="BS55" s="6" t="s">
        <v>189</v>
      </c>
      <c r="BT55" s="140">
        <v>0.0</v>
      </c>
    </row>
    <row r="56">
      <c r="B56" s="40"/>
      <c r="C56" s="41" t="s">
        <v>142</v>
      </c>
      <c r="D56" s="38">
        <f>4000*I56</f>
        <v>4000</v>
      </c>
      <c r="E56" s="38" t="s">
        <v>248</v>
      </c>
      <c r="F56" s="42">
        <f>1000*I56</f>
        <v>1000</v>
      </c>
      <c r="G56" s="43"/>
      <c r="H56" s="56" t="s">
        <v>502</v>
      </c>
      <c r="I56" s="57">
        <v>1.0</v>
      </c>
      <c r="J56" s="100" t="s">
        <v>424</v>
      </c>
      <c r="K56" s="100">
        <v>0.0</v>
      </c>
      <c r="L56" s="45"/>
      <c r="M56" s="45"/>
      <c r="N56" s="45"/>
      <c r="O56" s="45"/>
      <c r="P56" s="45"/>
      <c r="Q56" s="45"/>
      <c r="R56" s="45"/>
      <c r="S56" s="101"/>
      <c r="T56" s="101"/>
      <c r="U56" s="45"/>
      <c r="V56" s="45"/>
      <c r="W56" s="45"/>
      <c r="X56" s="45"/>
      <c r="Y56" s="45"/>
      <c r="Z56" s="45"/>
      <c r="AA56" s="45"/>
      <c r="AB56" s="45"/>
      <c r="AC56" s="45"/>
      <c r="AD56" s="45"/>
      <c r="AE56" s="45"/>
      <c r="AF56" s="45"/>
      <c r="AG56" s="79"/>
      <c r="AH56" s="45"/>
      <c r="AI56" s="45"/>
      <c r="AJ56" s="45"/>
      <c r="AK56" s="45"/>
      <c r="AL56" s="45"/>
      <c r="AM56" s="45"/>
      <c r="AN56" s="45"/>
      <c r="AO56" s="45"/>
      <c r="AP56" s="45"/>
      <c r="AQ56" s="45"/>
      <c r="AR56" s="45"/>
      <c r="AS56" s="45"/>
      <c r="AT56" s="79"/>
      <c r="AU56" s="45"/>
      <c r="AV56" s="45"/>
      <c r="AW56" s="45"/>
      <c r="AX56" s="45"/>
      <c r="AY56" s="45"/>
      <c r="AZ56" s="45"/>
      <c r="BA56" s="45"/>
      <c r="BB56" s="45"/>
      <c r="BC56" s="45"/>
      <c r="BD56" s="45"/>
      <c r="BE56" s="45"/>
      <c r="BF56" s="45"/>
      <c r="BG56" s="45"/>
      <c r="BH56" s="45"/>
      <c r="BI56" s="46"/>
      <c r="BK56" s="22"/>
      <c r="BS56" s="140" t="s">
        <v>191</v>
      </c>
      <c r="BT56" s="140">
        <v>0.0</v>
      </c>
    </row>
    <row r="57">
      <c r="B57" s="50"/>
      <c r="C57" s="51"/>
      <c r="D57" s="52"/>
      <c r="E57" s="52"/>
      <c r="F57" s="52"/>
      <c r="G57" s="43"/>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43"/>
      <c r="AH57" s="52"/>
      <c r="AI57" s="52"/>
      <c r="AJ57" s="52"/>
      <c r="AK57" s="52"/>
      <c r="AL57" s="52"/>
      <c r="AM57" s="52"/>
      <c r="AN57" s="52"/>
      <c r="AO57" s="52"/>
      <c r="AP57" s="52"/>
      <c r="AQ57" s="52"/>
      <c r="AR57" s="52"/>
      <c r="AS57" s="52"/>
      <c r="AT57" s="43"/>
      <c r="AU57" s="52"/>
      <c r="AV57" s="52"/>
      <c r="AW57" s="52"/>
      <c r="AX57" s="52"/>
      <c r="AY57" s="52"/>
      <c r="AZ57" s="52"/>
      <c r="BA57" s="52"/>
      <c r="BB57" s="52"/>
      <c r="BC57" s="52"/>
      <c r="BD57" s="52"/>
      <c r="BE57" s="52"/>
      <c r="BF57" s="52"/>
      <c r="BG57" s="52"/>
      <c r="BH57" s="52"/>
      <c r="BI57" s="53"/>
      <c r="BK57" s="22"/>
      <c r="BS57" s="140" t="s">
        <v>192</v>
      </c>
      <c r="BT57" s="140">
        <v>2.0</v>
      </c>
    </row>
    <row r="58">
      <c r="B58" s="141" t="s">
        <v>836</v>
      </c>
      <c r="C58" s="142"/>
      <c r="D58" s="143"/>
      <c r="E58" s="143"/>
      <c r="F58" s="144"/>
      <c r="G58" s="145"/>
      <c r="H58" s="167" t="s">
        <v>349</v>
      </c>
      <c r="I58" s="147">
        <f>VLOOKUP(H58,'Machine List'!$A$1:$I$300,9,FALSE)</f>
        <v>4000</v>
      </c>
      <c r="J58" s="147">
        <f>IF(VLOOKUP(H58,'Machine List'!$A$1:$I$300,5,FALSE)="Multi",IF(VLOOKUP(H58,'Machine List'!$A$1:$I$300,6,FALSE)="Yes",AI58*3*10^AB58,AI58*(2*3)*10^(AB58-1)),0)</f>
        <v>6</v>
      </c>
      <c r="K58" s="147">
        <f>J58+IF(ISNUMBER(I58),I58,
  SWITCH(
      I58,
      "1T",1*10^AB58,
      "2T",2*10^AB58,
      "3T",3*10^AB58,
      "4T",4*10^AB58,
      "4000+500(7O-5)",4000+500*(7*I59-5),
      "13500 + 16C",13500+16*VLOOKUP(J60,'Machine Helper Sheet'!$G$1:$K$16,5,FALSE),
      1
  )
)</f>
        <v>4006</v>
      </c>
      <c r="L58" s="147">
        <f>IF(VLOOKUP(H58,'Machine List'!$A$1:$I$300,5,FALSE)="Multi",IF(VLOOKUP(H58,'Machine List'!$A$1:$I$300,6,FALSE)="Yes",AW58*3*10^AV58,AW58*(2*3)*10^(AV58-1)),0)</f>
        <v>60000</v>
      </c>
      <c r="M58" s="147">
        <f>L58+IF(ISNUMBER(I58),I58,
  SWITCH(
      I58,
      "1T",1*10^AV58,
      "2T",2*10^AV58,
      "3T",3*10^AV58,
      "4T",4*10^AV58,
      "4000+500(7O-5)",4000+500*(7*I59-5),
      1
  )
)</f>
        <v>64000</v>
      </c>
      <c r="N58" s="147" t="str">
        <f>VLOOKUP(H58,'Machine List'!$A$1:$I$300,8,FALSE)</f>
        <v>Tier</v>
      </c>
      <c r="O58" s="147">
        <f>IF(ISNUMBER(N58),N58,10^AB58)</f>
        <v>10</v>
      </c>
      <c r="P58" s="147">
        <f>IF(ISNUMBER(N58),N58,10^AV58)</f>
        <v>100000</v>
      </c>
      <c r="Q58" s="147">
        <f>VLOOKUP(H58,'Machine List'!$A$1:$B$138,2,FALSE)</f>
        <v>1</v>
      </c>
      <c r="R58" s="147" t="s">
        <v>594</v>
      </c>
      <c r="S58" s="143">
        <f>IF(ISNUMBER(Q58),Q58,
  SWITCH(
      Q58,
      "1",1,
      "2T",AB58*2,
      "4T",AB58*4,
      "6T",AB58*6,
      "8T",AB58*8,
      "10T",AB58*10,
      "12T",AB58*12,
      "14T",AB58*14,
      "16T",AB58*16,
      "24T",AB58*24,
      "2(T+1)",2*(AB58+1),
      "1T*C",AB58*J60,
      "2*P",L60*2,
      1
  )
)</f>
        <v>1</v>
      </c>
      <c r="T58" s="38" t="s">
        <v>277</v>
      </c>
      <c r="U58" s="147">
        <f>IF(OR(T58="No",T58=""),S58,T58)</f>
        <v>1</v>
      </c>
      <c r="V58" s="147">
        <f>IF(ISNUMBER(Q58),Q58,
  SWITCH(
      Q58,
      "1",1,
      "2T",AV58*2,
      "4T",AV58*4,
      "6T",AV58*6,
      "8T",AV58*8,
      "10T",AV58*10,
      "12T",AV58*12,
      "14T",AV58*14,
      "16T",AV58*16,
      "24T",AV58*24,
      "2(T+1)",2*(AV58+1),
      "1T*C",AV58*J60,
      "2*P",L60*2,
      1
  )
)</f>
        <v>1</v>
      </c>
      <c r="W58" s="147" t="str">
        <f>T58</f>
        <v>No</v>
      </c>
      <c r="X58" s="147">
        <f>IF(OR(W58="No",W58=""),V58,W58)</f>
        <v>1</v>
      </c>
      <c r="Y58" s="38">
        <f>VLOOKUP(H58,'Machine List'!$A$1:$C$138,3,FALSE)</f>
        <v>1</v>
      </c>
      <c r="Z58" s="38">
        <f>VLOOKUP(H58,'Machine List'!$A$1:$D$138,4,FALSE)</f>
        <v>1</v>
      </c>
      <c r="AA58" s="168" t="s">
        <v>390</v>
      </c>
      <c r="AB58" s="147">
        <f>VLOOKUP(AA58,'Item Helper Sheet'!$A$2:$B$16,2,FALSE)</f>
        <v>1</v>
      </c>
      <c r="AC58" s="147">
        <v>30.0</v>
      </c>
      <c r="AD58" s="147">
        <f>0.75*20</f>
        <v>15</v>
      </c>
      <c r="AE58" s="147">
        <f>AD58*I60</f>
        <v>15</v>
      </c>
      <c r="AF58" s="147">
        <f>AC58*AE58</f>
        <v>450</v>
      </c>
      <c r="AG58" s="148"/>
      <c r="AH58" s="147" t="str">
        <f>AA58</f>
        <v>01 - LV</v>
      </c>
      <c r="AI58" s="147">
        <v>1.0</v>
      </c>
      <c r="AJ58" s="147">
        <v>1.0</v>
      </c>
      <c r="AK58" s="147">
        <f>AJ58*8*4^AB58</f>
        <v>32</v>
      </c>
      <c r="AL58" s="147">
        <f>MIN(ROUNDDOWN(AK58/AN58,0),U58)</f>
        <v>1</v>
      </c>
      <c r="AM58" s="147">
        <f>IF(OR(T58="No",T58=""),AI58*S58,AI58*T58)</f>
        <v>1</v>
      </c>
      <c r="AN58" s="147">
        <f>ROUNDUP(AC58*VLOOKUP(H58,'Machine List'!$A$2:$D$219,4,FALSE),0)</f>
        <v>30</v>
      </c>
      <c r="AO58" s="147">
        <f>AN58*AM58</f>
        <v>30</v>
      </c>
      <c r="AP58" s="147">
        <f>ROUNDUP(AD58*I60,0)</f>
        <v>15</v>
      </c>
      <c r="AQ58" s="38">
        <f>IF(ISNUMBER(Y58),ROUNDUP(AP58/Y58,0),
  SWITCH(
      Y58,
      "1+0.5C",ROUNDUP(AP58/(1+0.5*VLOOKUP(J60,'Machine Helper Sheet'!$G$1:$K$16,2,FALSE)),0),
      ROUNDUP(AP58/1,0)
  )
)</f>
        <v>15</v>
      </c>
      <c r="AR58" s="147">
        <f>ROUNDUP(AQ58/AM58,0)</f>
        <v>15</v>
      </c>
      <c r="AS58" s="147">
        <f>AO58*AR58</f>
        <v>450</v>
      </c>
      <c r="AT58" s="148"/>
      <c r="AU58" s="168" t="s">
        <v>405</v>
      </c>
      <c r="AV58" s="147">
        <f>VLOOKUP(AU58,'Item Helper Sheet'!$A$2:$B$16,2,FALSE)</f>
        <v>5</v>
      </c>
      <c r="AW58" s="147">
        <f>AI58</f>
        <v>1</v>
      </c>
      <c r="AX58" s="147">
        <v>1.0</v>
      </c>
      <c r="AY58" s="147">
        <f>AX58*8*4^AV58</f>
        <v>8192</v>
      </c>
      <c r="AZ58" s="147">
        <f>MIN(ROUNDDOWN(AY58/AN58,0),X58)</f>
        <v>1</v>
      </c>
      <c r="BA58" s="147">
        <f>AZ58*AW58</f>
        <v>1</v>
      </c>
      <c r="BB58" s="147">
        <f>AN58</f>
        <v>30</v>
      </c>
      <c r="BC58" s="147">
        <f>MIN(AV58-AB58,IF(AY58&gt;=BB59*4,
IF(AY58&gt;=BB59*4^2,
IF(AY58&gt;=BB59*4^3,
IF(AY58&gt;=BB59*4^4,
IF(AY58&gt;=BB59*4^5,
IF(AY58&gt;=BB59*4^6,
IF(AY58&gt;=BB59*4^7,
IF(AY58&gt;=BB59*4^8,
IF(AY58&gt;=BB59*4^9,
IF(AY58&gt;=BB59*4^10,
9),
8),
7),
6),
5),
4),
3),
2),
1),
0))</f>
        <v>4</v>
      </c>
      <c r="BD58" s="147">
        <f>BB58*AZ58*4^BC58</f>
        <v>7680</v>
      </c>
      <c r="BE58" s="147">
        <f>BD58*AW58</f>
        <v>7680</v>
      </c>
      <c r="BF58" s="143">
        <f>ROUNDUP(IF(R58="Yes",AP58/(2^((BC58)*2)),AP58/(2^(BC58))),0)</f>
        <v>1</v>
      </c>
      <c r="BG58" s="45">
        <f>IF(ISNUMBER(Y58),ROUNDUP(BF58/Y58,0),
  SWITCH(
      Y58,
      "1+0.5C",ROUNDUP(BF58/(1+0.5*VLOOKUP(J60,'Machine Helper Sheet'!$G$1:$K$16,2,FALSE)),0),
      ROUNDUP(BF58/1,0)
  )
)</f>
        <v>1</v>
      </c>
      <c r="BH58" s="143">
        <f>ROUNDUP(BG58/BA58,0)</f>
        <v>1</v>
      </c>
      <c r="BI58" s="149">
        <f>BH58*BE58</f>
        <v>7680</v>
      </c>
      <c r="BK58" s="22"/>
      <c r="BS58" s="6" t="s">
        <v>193</v>
      </c>
      <c r="BT58" s="140">
        <v>-800.0</v>
      </c>
    </row>
    <row r="59">
      <c r="B59" s="31" t="s">
        <v>837</v>
      </c>
      <c r="C59" s="169" t="s">
        <v>262</v>
      </c>
      <c r="D59" s="147">
        <f>2000*I60</f>
        <v>2000</v>
      </c>
      <c r="E59" s="168" t="s">
        <v>263</v>
      </c>
      <c r="F59" s="152">
        <f>7*I60</f>
        <v>7</v>
      </c>
      <c r="G59" s="138"/>
      <c r="H59" s="153" t="s">
        <v>584</v>
      </c>
      <c r="I59" s="45">
        <f t="array" ref="I59">match(TRUE,ISBLANK(F59:F71),0)-1</f>
        <v>2</v>
      </c>
      <c r="J59" s="154" t="s">
        <v>420</v>
      </c>
      <c r="K59" s="154" t="s">
        <v>585</v>
      </c>
      <c r="L59" s="100" t="s">
        <v>704</v>
      </c>
      <c r="M59" s="147"/>
      <c r="N59" s="147"/>
      <c r="O59" s="147"/>
      <c r="P59" s="147"/>
      <c r="Q59" s="147"/>
      <c r="R59" s="155"/>
      <c r="S59" s="155"/>
      <c r="T59" s="155"/>
      <c r="U59" s="143"/>
      <c r="V59" s="143"/>
      <c r="W59" s="143"/>
      <c r="X59" s="143"/>
      <c r="Y59" s="143"/>
      <c r="Z59" s="143"/>
      <c r="AA59" s="143"/>
      <c r="AB59" s="143"/>
      <c r="AC59" s="143"/>
      <c r="AD59" s="143"/>
      <c r="AE59" s="143"/>
      <c r="AF59" s="143"/>
      <c r="AG59" s="156"/>
      <c r="AH59" s="143"/>
      <c r="AI59" s="143"/>
      <c r="AJ59" s="143"/>
      <c r="AK59" s="143"/>
      <c r="AL59" s="143"/>
      <c r="AM59" s="143"/>
      <c r="AN59" s="143"/>
      <c r="AO59" s="143"/>
      <c r="AP59" s="143"/>
      <c r="AQ59" s="143"/>
      <c r="AR59" s="143"/>
      <c r="AS59" s="143"/>
      <c r="AT59" s="156"/>
      <c r="AU59" s="143"/>
      <c r="AV59" s="143"/>
      <c r="AW59" s="143"/>
      <c r="AX59" s="143"/>
      <c r="AY59" s="143"/>
      <c r="AZ59" s="143"/>
      <c r="BA59" s="143"/>
      <c r="BB59" s="143">
        <f>BB58*AZ58</f>
        <v>30</v>
      </c>
      <c r="BC59" s="143"/>
      <c r="BD59" s="143"/>
      <c r="BE59" s="143"/>
      <c r="BF59" s="143"/>
      <c r="BG59" s="143"/>
      <c r="BH59" s="143"/>
      <c r="BI59" s="149"/>
      <c r="BK59" s="22"/>
      <c r="BS59" s="6" t="s">
        <v>194</v>
      </c>
      <c r="BT59" s="140">
        <v>-38640.0</v>
      </c>
    </row>
    <row r="60">
      <c r="B60" s="150"/>
      <c r="C60" s="169" t="s">
        <v>227</v>
      </c>
      <c r="D60" s="147">
        <f>1000*I60</f>
        <v>1000</v>
      </c>
      <c r="E60" s="168" t="s">
        <v>73</v>
      </c>
      <c r="F60" s="152">
        <f>1000*I60</f>
        <v>1000</v>
      </c>
      <c r="G60" s="138"/>
      <c r="H60" s="157" t="s">
        <v>502</v>
      </c>
      <c r="I60" s="170">
        <v>1.0</v>
      </c>
      <c r="J60" s="154" t="s">
        <v>424</v>
      </c>
      <c r="K60" s="154">
        <v>0.0</v>
      </c>
      <c r="L60" s="100">
        <v>0.0</v>
      </c>
      <c r="M60" s="143"/>
      <c r="N60" s="143"/>
      <c r="O60" s="143"/>
      <c r="P60" s="143"/>
      <c r="Q60" s="143"/>
      <c r="R60" s="143"/>
      <c r="S60" s="155"/>
      <c r="T60" s="155"/>
      <c r="U60" s="143"/>
      <c r="V60" s="143"/>
      <c r="W60" s="143"/>
      <c r="X60" s="143"/>
      <c r="Y60" s="143"/>
      <c r="Z60" s="143"/>
      <c r="AA60" s="143"/>
      <c r="AB60" s="143"/>
      <c r="AC60" s="143"/>
      <c r="AD60" s="143"/>
      <c r="AE60" s="143"/>
      <c r="AF60" s="143"/>
      <c r="AG60" s="156"/>
      <c r="AH60" s="143"/>
      <c r="AI60" s="143"/>
      <c r="AJ60" s="143"/>
      <c r="AK60" s="143"/>
      <c r="AL60" s="143"/>
      <c r="AM60" s="143"/>
      <c r="AN60" s="143"/>
      <c r="AO60" s="143"/>
      <c r="AP60" s="143"/>
      <c r="AQ60" s="143"/>
      <c r="AR60" s="143"/>
      <c r="AS60" s="143"/>
      <c r="AT60" s="156"/>
      <c r="AU60" s="143"/>
      <c r="AV60" s="143"/>
      <c r="AW60" s="143"/>
      <c r="AX60" s="143"/>
      <c r="AY60" s="143"/>
      <c r="AZ60" s="143"/>
      <c r="BA60" s="143"/>
      <c r="BB60" s="143"/>
      <c r="BC60" s="143"/>
      <c r="BD60" s="143"/>
      <c r="BE60" s="143"/>
      <c r="BF60" s="143"/>
      <c r="BG60" s="143"/>
      <c r="BH60" s="143"/>
      <c r="BI60" s="149"/>
      <c r="BK60" s="22"/>
      <c r="BS60" s="6" t="s">
        <v>195</v>
      </c>
      <c r="BT60" s="6">
        <v>38000.0</v>
      </c>
    </row>
    <row r="61">
      <c r="B61" s="135"/>
      <c r="C61" s="136"/>
      <c r="D61" s="137"/>
      <c r="E61" s="137"/>
      <c r="F61" s="137"/>
      <c r="G61" s="138"/>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8"/>
      <c r="AH61" s="137"/>
      <c r="AI61" s="137"/>
      <c r="AJ61" s="137"/>
      <c r="AK61" s="137"/>
      <c r="AL61" s="137"/>
      <c r="AM61" s="137"/>
      <c r="AN61" s="137"/>
      <c r="AO61" s="137"/>
      <c r="AP61" s="137"/>
      <c r="AQ61" s="137"/>
      <c r="AR61" s="137"/>
      <c r="AS61" s="137"/>
      <c r="AT61" s="138"/>
      <c r="AU61" s="137"/>
      <c r="AV61" s="137"/>
      <c r="AW61" s="137"/>
      <c r="AX61" s="137"/>
      <c r="AY61" s="137"/>
      <c r="AZ61" s="137"/>
      <c r="BA61" s="137"/>
      <c r="BB61" s="137"/>
      <c r="BC61" s="137"/>
      <c r="BD61" s="137"/>
      <c r="BE61" s="137"/>
      <c r="BF61" s="137"/>
      <c r="BG61" s="137"/>
      <c r="BH61" s="137"/>
      <c r="BI61" s="139"/>
      <c r="BK61" s="22"/>
      <c r="BS61" s="6" t="s">
        <v>196</v>
      </c>
      <c r="BT61" s="6">
        <v>1.0</v>
      </c>
    </row>
    <row r="62">
      <c r="B62" s="141" t="s">
        <v>838</v>
      </c>
      <c r="C62" s="142"/>
      <c r="D62" s="143"/>
      <c r="E62" s="143"/>
      <c r="F62" s="144"/>
      <c r="G62" s="145"/>
      <c r="H62" s="167" t="s">
        <v>349</v>
      </c>
      <c r="I62" s="147">
        <f>VLOOKUP(H62,'Machine List'!$A$1:$I$300,9,FALSE)</f>
        <v>4000</v>
      </c>
      <c r="J62" s="147">
        <f>IF(VLOOKUP(H62,'Machine List'!$A$1:$I$300,5,FALSE)="Multi",IF(VLOOKUP(H62,'Machine List'!$A$1:$I$300,6,FALSE)="Yes",AI62*3*10^AB62,AI62*(2*3)*10^(AB62-1)),0)</f>
        <v>6</v>
      </c>
      <c r="K62" s="147">
        <f>J62+IF(ISNUMBER(I62),I62,
  SWITCH(
      I62,
      "1T",1*10^AB62,
      "2T",2*10^AB62,
      "3T",3*10^AB62,
      "4T",4*10^AB62,
      "4000+500(7O-5)",4000+500*(7*I63-5),
      "13500 + 16C",13500+16*VLOOKUP(J64,'Machine Helper Sheet'!$G$1:$K$16,5,FALSE),
      1
  )
)</f>
        <v>4006</v>
      </c>
      <c r="L62" s="147">
        <f>IF(VLOOKUP(H62,'Machine List'!$A$1:$I$300,5,FALSE)="Multi",IF(VLOOKUP(H62,'Machine List'!$A$1:$I$300,6,FALSE)="Yes",AW62*3*10^AV62,AW62*(2*3)*10^(AV62-1)),0)</f>
        <v>60000</v>
      </c>
      <c r="M62" s="147">
        <f>L62+IF(ISNUMBER(I62),I62,
  SWITCH(
      I62,
      "1T",1*10^AV62,
      "2T",2*10^AV62,
      "3T",3*10^AV62,
      "4T",4*10^AV62,
      "4000+500(7O-5)",4000+500*(7*I63-5),
      1
  )
)</f>
        <v>64000</v>
      </c>
      <c r="N62" s="147" t="str">
        <f>VLOOKUP(H62,'Machine List'!$A$1:$I$300,8,FALSE)</f>
        <v>Tier</v>
      </c>
      <c r="O62" s="147">
        <f>IF(ISNUMBER(N62),N62,10^AB62)</f>
        <v>10</v>
      </c>
      <c r="P62" s="147">
        <f>IF(ISNUMBER(N62),N62,10^AV62)</f>
        <v>100000</v>
      </c>
      <c r="Q62" s="147">
        <f>VLOOKUP(H62,'Machine List'!$A$1:$B$138,2,FALSE)</f>
        <v>1</v>
      </c>
      <c r="R62" s="147" t="s">
        <v>594</v>
      </c>
      <c r="S62" s="143">
        <f>IF(ISNUMBER(Q62),Q62,
  SWITCH(
      Q62,
      "1",1,
      "2T",AB62*2,
      "4T",AB62*4,
      "6T",AB62*6,
      "8T",AB62*8,
      "10T",AB62*10,
      "12T",AB62*12,
      "14T",AB62*14,
      "16T",AB62*16,
      "24T",AB62*24,
      "2(T+1)",2*(AB62+1),
      "1T*C",AB62*J64,
      "2*P",L64*2,
      1
  )
)</f>
        <v>1</v>
      </c>
      <c r="T62" s="38" t="s">
        <v>277</v>
      </c>
      <c r="U62" s="147">
        <f>IF(OR(T62="No",T62=""),S62,T62)</f>
        <v>1</v>
      </c>
      <c r="V62" s="147">
        <f>IF(ISNUMBER(Q62),Q62,
  SWITCH(
      Q62,
      "1",1,
      "2T",AV62*2,
      "4T",AV62*4,
      "6T",AV62*6,
      "8T",AV62*8,
      "10T",AV62*10,
      "12T",AV62*12,
      "14T",AV62*14,
      "16T",AV62*16,
      "24T",AV62*24,
      "2(T+1)",2*(AV62+1),
      "1T*C",AV62*J64,
      "2*P",L64*2,
      1
  )
)</f>
        <v>1</v>
      </c>
      <c r="W62" s="147" t="str">
        <f>T62</f>
        <v>No</v>
      </c>
      <c r="X62" s="147">
        <f>IF(OR(W62="No",W62=""),V62,W62)</f>
        <v>1</v>
      </c>
      <c r="Y62" s="38">
        <f>VLOOKUP(H62,'Machine List'!$A$1:$C$138,3,FALSE)</f>
        <v>1</v>
      </c>
      <c r="Z62" s="38">
        <f>VLOOKUP(H62,'Machine List'!$A$1:$D$138,4,FALSE)</f>
        <v>1</v>
      </c>
      <c r="AA62" s="168" t="s">
        <v>390</v>
      </c>
      <c r="AB62" s="147">
        <f>VLOOKUP(AA62,'Item Helper Sheet'!$A$2:$B$16,2,FALSE)</f>
        <v>1</v>
      </c>
      <c r="AC62" s="147">
        <v>30.0</v>
      </c>
      <c r="AD62" s="147">
        <f>0.75*20</f>
        <v>15</v>
      </c>
      <c r="AE62" s="147">
        <f>AD62*I64</f>
        <v>15</v>
      </c>
      <c r="AF62" s="147">
        <f>AC62*AE62</f>
        <v>450</v>
      </c>
      <c r="AG62" s="148"/>
      <c r="AH62" s="147" t="str">
        <f>AA62</f>
        <v>01 - LV</v>
      </c>
      <c r="AI62" s="147">
        <v>1.0</v>
      </c>
      <c r="AJ62" s="147">
        <v>1.0</v>
      </c>
      <c r="AK62" s="147">
        <f>AJ62*8*4^AB62</f>
        <v>32</v>
      </c>
      <c r="AL62" s="147">
        <f>MIN(ROUNDDOWN(AK62/AN62,0),U62)</f>
        <v>1</v>
      </c>
      <c r="AM62" s="147">
        <f>IF(OR(T62="No",T62=""),AI62*S62,AI62*T62)</f>
        <v>1</v>
      </c>
      <c r="AN62" s="147">
        <f>ROUNDUP(AC62*VLOOKUP(H62,'Machine List'!$A$2:$D$219,4,FALSE),0)</f>
        <v>30</v>
      </c>
      <c r="AO62" s="147">
        <f>AN62*AM62</f>
        <v>30</v>
      </c>
      <c r="AP62" s="147">
        <f>ROUNDUP(AD62*I64,0)</f>
        <v>15</v>
      </c>
      <c r="AQ62" s="38">
        <f>IF(ISNUMBER(Y62),ROUNDUP(AP62/Y62,0),
  SWITCH(
      Y62,
      "1+0.5C",ROUNDUP(AP62/(1+0.5*VLOOKUP(J64,'Machine Helper Sheet'!$G$1:$K$16,2,FALSE)),0),
      ROUNDUP(AP62/1,0)
  )
)</f>
        <v>15</v>
      </c>
      <c r="AR62" s="147">
        <f>ROUNDUP(AQ62/AM62,0)</f>
        <v>15</v>
      </c>
      <c r="AS62" s="147">
        <f>AO62*AR62</f>
        <v>450</v>
      </c>
      <c r="AT62" s="148"/>
      <c r="AU62" s="168" t="s">
        <v>405</v>
      </c>
      <c r="AV62" s="147">
        <f>VLOOKUP(AU62,'Item Helper Sheet'!$A$2:$B$16,2,FALSE)</f>
        <v>5</v>
      </c>
      <c r="AW62" s="147">
        <f>AI62</f>
        <v>1</v>
      </c>
      <c r="AX62" s="147">
        <v>1.0</v>
      </c>
      <c r="AY62" s="147">
        <f>AX62*8*4^AV62</f>
        <v>8192</v>
      </c>
      <c r="AZ62" s="147">
        <f>MIN(ROUNDDOWN(AY62/AN62,0),X62)</f>
        <v>1</v>
      </c>
      <c r="BA62" s="147">
        <f>AZ62*AW62</f>
        <v>1</v>
      </c>
      <c r="BB62" s="147">
        <f>AN62</f>
        <v>30</v>
      </c>
      <c r="BC62" s="147">
        <f>MIN(AV62-AB62,IF(AY62&gt;=BB63*4,
IF(AY62&gt;=BB63*4^2,
IF(AY62&gt;=BB63*4^3,
IF(AY62&gt;=BB63*4^4,
IF(AY62&gt;=BB63*4^5,
IF(AY62&gt;=BB63*4^6,
IF(AY62&gt;=BB63*4^7,
IF(AY62&gt;=BB63*4^8,
IF(AY62&gt;=BB63*4^9,
IF(AY62&gt;=BB63*4^10,
9),
8),
7),
6),
5),
4),
3),
2),
1),
0))</f>
        <v>4</v>
      </c>
      <c r="BD62" s="147">
        <f>BB62*AZ62*4^BC62</f>
        <v>7680</v>
      </c>
      <c r="BE62" s="147">
        <f>BD62*AW62</f>
        <v>7680</v>
      </c>
      <c r="BF62" s="143">
        <f>ROUNDUP(IF(R62="Yes",AP62/(2^((BC62)*2)),AP62/(2^(BC62))),0)</f>
        <v>1</v>
      </c>
      <c r="BG62" s="45">
        <f>IF(ISNUMBER(Y62),ROUNDUP(BF62/Y62,0),
  SWITCH(
      Y62,
      "1+0.5C",ROUNDUP(BF62/(1+0.5*VLOOKUP(J64,'Machine Helper Sheet'!$G$1:$K$16,2,FALSE)),0),
      ROUNDUP(BF62/1,0)
  )
)</f>
        <v>1</v>
      </c>
      <c r="BH62" s="143">
        <f>ROUNDUP(BG62/BA62,0)</f>
        <v>1</v>
      </c>
      <c r="BI62" s="149">
        <f>BH62*BE62</f>
        <v>7680</v>
      </c>
      <c r="BK62" s="22"/>
      <c r="BS62" s="6" t="s">
        <v>198</v>
      </c>
      <c r="BT62" s="140">
        <v>1999.0</v>
      </c>
    </row>
    <row r="63">
      <c r="B63" s="31" t="s">
        <v>837</v>
      </c>
      <c r="C63" s="169" t="s">
        <v>216</v>
      </c>
      <c r="D63" s="147">
        <f>3*I64</f>
        <v>3</v>
      </c>
      <c r="E63" s="168" t="s">
        <v>262</v>
      </c>
      <c r="F63" s="152">
        <f>1000*I64</f>
        <v>1000</v>
      </c>
      <c r="G63" s="138"/>
      <c r="H63" s="153" t="s">
        <v>584</v>
      </c>
      <c r="I63" s="45">
        <f t="array" ref="I63">match(TRUE,ISBLANK(F63:F74),0)-1</f>
        <v>1</v>
      </c>
      <c r="J63" s="154" t="s">
        <v>420</v>
      </c>
      <c r="K63" s="154" t="s">
        <v>585</v>
      </c>
      <c r="L63" s="100" t="s">
        <v>704</v>
      </c>
      <c r="M63" s="147"/>
      <c r="N63" s="147"/>
      <c r="O63" s="147"/>
      <c r="P63" s="147"/>
      <c r="Q63" s="147"/>
      <c r="R63" s="155"/>
      <c r="S63" s="155"/>
      <c r="T63" s="155"/>
      <c r="U63" s="143"/>
      <c r="V63" s="143"/>
      <c r="W63" s="143"/>
      <c r="X63" s="143"/>
      <c r="Y63" s="143"/>
      <c r="Z63" s="143"/>
      <c r="AA63" s="143"/>
      <c r="AB63" s="143"/>
      <c r="AC63" s="143"/>
      <c r="AD63" s="143"/>
      <c r="AE63" s="143"/>
      <c r="AF63" s="143"/>
      <c r="AG63" s="156"/>
      <c r="AH63" s="143"/>
      <c r="AI63" s="143"/>
      <c r="AJ63" s="143"/>
      <c r="AK63" s="143"/>
      <c r="AL63" s="143"/>
      <c r="AM63" s="143"/>
      <c r="AN63" s="143"/>
      <c r="AO63" s="143"/>
      <c r="AP63" s="143"/>
      <c r="AQ63" s="143"/>
      <c r="AR63" s="143"/>
      <c r="AS63" s="143"/>
      <c r="AT63" s="156"/>
      <c r="AU63" s="143"/>
      <c r="AV63" s="143"/>
      <c r="AW63" s="143"/>
      <c r="AX63" s="143"/>
      <c r="AY63" s="143"/>
      <c r="AZ63" s="143"/>
      <c r="BA63" s="143"/>
      <c r="BB63" s="143">
        <f>BB62*AZ62</f>
        <v>30</v>
      </c>
      <c r="BC63" s="143"/>
      <c r="BD63" s="143"/>
      <c r="BE63" s="143"/>
      <c r="BF63" s="143"/>
      <c r="BG63" s="143"/>
      <c r="BH63" s="143"/>
      <c r="BI63" s="149"/>
      <c r="BK63" s="22"/>
      <c r="BS63" s="140" t="s">
        <v>199</v>
      </c>
      <c r="BT63" s="140">
        <v>6200.0</v>
      </c>
    </row>
    <row r="64">
      <c r="B64" s="150"/>
      <c r="C64" s="169" t="s">
        <v>45</v>
      </c>
      <c r="D64" s="147">
        <f>1000*I64</f>
        <v>1000</v>
      </c>
      <c r="E64" s="168"/>
      <c r="F64" s="152"/>
      <c r="G64" s="138"/>
      <c r="H64" s="157" t="s">
        <v>502</v>
      </c>
      <c r="I64" s="170">
        <v>1.0</v>
      </c>
      <c r="J64" s="154" t="s">
        <v>424</v>
      </c>
      <c r="K64" s="154">
        <v>0.0</v>
      </c>
      <c r="L64" s="100">
        <v>0.0</v>
      </c>
      <c r="M64" s="143"/>
      <c r="N64" s="143"/>
      <c r="O64" s="143"/>
      <c r="P64" s="143"/>
      <c r="Q64" s="143"/>
      <c r="R64" s="143"/>
      <c r="S64" s="155"/>
      <c r="T64" s="155"/>
      <c r="U64" s="143"/>
      <c r="V64" s="143"/>
      <c r="W64" s="143"/>
      <c r="X64" s="143"/>
      <c r="Y64" s="143"/>
      <c r="Z64" s="143"/>
      <c r="AA64" s="143"/>
      <c r="AB64" s="143"/>
      <c r="AC64" s="143"/>
      <c r="AD64" s="143"/>
      <c r="AE64" s="143"/>
      <c r="AF64" s="143"/>
      <c r="AG64" s="156"/>
      <c r="AH64" s="143"/>
      <c r="AI64" s="143"/>
      <c r="AJ64" s="143"/>
      <c r="AK64" s="143"/>
      <c r="AL64" s="143"/>
      <c r="AM64" s="143"/>
      <c r="AN64" s="143"/>
      <c r="AO64" s="143"/>
      <c r="AP64" s="143"/>
      <c r="AQ64" s="143"/>
      <c r="AR64" s="143"/>
      <c r="AS64" s="143"/>
      <c r="AT64" s="156"/>
      <c r="AU64" s="143"/>
      <c r="AV64" s="143"/>
      <c r="AW64" s="143"/>
      <c r="AX64" s="143"/>
      <c r="AY64" s="143"/>
      <c r="AZ64" s="143"/>
      <c r="BA64" s="143"/>
      <c r="BB64" s="143"/>
      <c r="BC64" s="143"/>
      <c r="BD64" s="143"/>
      <c r="BE64" s="143"/>
      <c r="BF64" s="143"/>
      <c r="BG64" s="143"/>
      <c r="BH64" s="143"/>
      <c r="BI64" s="149"/>
      <c r="BK64" s="22"/>
      <c r="BS64" s="140" t="s">
        <v>200</v>
      </c>
      <c r="BT64" s="140">
        <v>8000.0</v>
      </c>
    </row>
    <row r="65">
      <c r="B65" s="135"/>
      <c r="C65" s="136"/>
      <c r="D65" s="137"/>
      <c r="E65" s="137"/>
      <c r="F65" s="137"/>
      <c r="G65" s="138"/>
      <c r="H65" s="137"/>
      <c r="I65" s="137"/>
      <c r="J65" s="137"/>
      <c r="K65" s="137"/>
      <c r="L65" s="137"/>
      <c r="M65" s="137"/>
      <c r="N65" s="137"/>
      <c r="O65" s="137"/>
      <c r="P65" s="137"/>
      <c r="Q65" s="137"/>
      <c r="R65" s="137"/>
      <c r="S65" s="137"/>
      <c r="T65" s="137"/>
      <c r="U65" s="137"/>
      <c r="V65" s="137"/>
      <c r="W65" s="137"/>
      <c r="X65" s="137"/>
      <c r="Y65" s="137"/>
      <c r="Z65" s="137"/>
      <c r="AA65" s="137"/>
      <c r="AB65" s="137"/>
      <c r="AC65" s="137"/>
      <c r="AD65" s="137"/>
      <c r="AE65" s="137"/>
      <c r="AF65" s="137"/>
      <c r="AG65" s="138"/>
      <c r="AH65" s="137"/>
      <c r="AI65" s="137"/>
      <c r="AJ65" s="137"/>
      <c r="AK65" s="137"/>
      <c r="AL65" s="137"/>
      <c r="AM65" s="137"/>
      <c r="AN65" s="137"/>
      <c r="AO65" s="137"/>
      <c r="AP65" s="137"/>
      <c r="AQ65" s="137"/>
      <c r="AR65" s="137"/>
      <c r="AS65" s="137"/>
      <c r="AT65" s="138"/>
      <c r="AU65" s="137"/>
      <c r="AV65" s="137"/>
      <c r="AW65" s="137"/>
      <c r="AX65" s="137"/>
      <c r="AY65" s="137"/>
      <c r="AZ65" s="137"/>
      <c r="BA65" s="137"/>
      <c r="BB65" s="137"/>
      <c r="BC65" s="137"/>
      <c r="BD65" s="137"/>
      <c r="BE65" s="137"/>
      <c r="BF65" s="137"/>
      <c r="BG65" s="137"/>
      <c r="BH65" s="137"/>
      <c r="BI65" s="139"/>
      <c r="BK65" s="22"/>
      <c r="BS65" s="6" t="s">
        <v>201</v>
      </c>
      <c r="BT65" s="6">
        <v>6.0</v>
      </c>
    </row>
    <row r="66">
      <c r="B66" s="141" t="s">
        <v>839</v>
      </c>
      <c r="C66" s="142"/>
      <c r="D66" s="143"/>
      <c r="E66" s="143"/>
      <c r="F66" s="144"/>
      <c r="G66" s="145"/>
      <c r="H66" s="167" t="s">
        <v>301</v>
      </c>
      <c r="I66" s="147">
        <f>VLOOKUP(H66,'Machine List'!$A$1:$I$300,9,FALSE)</f>
        <v>1000</v>
      </c>
      <c r="J66" s="147">
        <f>IF(VLOOKUP(H66,'Machine List'!$A$1:$I$300,5,FALSE)="Multi",IF(VLOOKUP(H66,'Machine List'!$A$1:$I$300,6,FALSE)="Yes",AI66*3*10^AB66,AI66*(2*3)*10^(AB66-1)),0)</f>
        <v>60</v>
      </c>
      <c r="K66" s="147">
        <f>J66+IF(ISNUMBER(I66),I66,
  SWITCH(
      I66,
      "1T",1*10^AB66,
      "2T",2*10^AB66,
      "3T",3*10^AB66,
      "4T",4*10^AB66,
      "4000+500(7O-5)",4000+500*(7*I67-5),
      "13500 + 16C",13500+16*VLOOKUP(J68,'Machine Helper Sheet'!$G$1:$K$16,5,FALSE),
      1
  )
)</f>
        <v>1060</v>
      </c>
      <c r="L66" s="147">
        <f>IF(VLOOKUP(H66,'Machine List'!$A$1:$I$300,5,FALSE)="Multi",IF(VLOOKUP(H66,'Machine List'!$A$1:$I$300,6,FALSE)="Yes",AW66*3*10^AV66,AW66*(2*3)*10^(AV66-1)),0)</f>
        <v>60000</v>
      </c>
      <c r="M66" s="147">
        <f>L66+IF(ISNUMBER(I66),I66,
  SWITCH(
      I66,
      "1T",1*10^AV66,
      "2T",2*10^AV66,
      "3T",3*10^AV66,
      "4T",4*10^AV66,
      "4000+500(7O-5)",4000+500*(7*I67-5),
      1
  )
)</f>
        <v>61000</v>
      </c>
      <c r="N66" s="147" t="str">
        <f>VLOOKUP(H66,'Machine List'!$A$1:$I$300,8,FALSE)</f>
        <v>Tier</v>
      </c>
      <c r="O66" s="147">
        <f>IF(ISNUMBER(N66),N66,10^AB66)</f>
        <v>100</v>
      </c>
      <c r="P66" s="147">
        <f>IF(ISNUMBER(N66),N66,10^AV66)</f>
        <v>100000</v>
      </c>
      <c r="Q66" s="147">
        <f>VLOOKUP(H66,'Machine List'!$A$1:$B$138,2,FALSE)</f>
        <v>1</v>
      </c>
      <c r="R66" s="147" t="s">
        <v>277</v>
      </c>
      <c r="S66" s="143">
        <f>IF(ISNUMBER(Q66),Q66,
  SWITCH(
      Q66,
      "1",1,
      "2T",AB66*2,
      "4T",AB66*4,
      "6T",AB66*6,
      "8T",AB66*8,
      "10T",AB66*10,
      "12T",AB66*12,
      "14T",AB66*14,
      "16T",AB66*16,
      "24T",AB66*24,
      "2(T+1)",2*(AB66+1),
      "1T*C",AB66*J68,
      "2*P",L68*2,
      1
  )
)</f>
        <v>1</v>
      </c>
      <c r="T66" s="38" t="s">
        <v>277</v>
      </c>
      <c r="U66" s="147">
        <f>IF(OR(T66="No",T66=""),S66,T66)</f>
        <v>1</v>
      </c>
      <c r="V66" s="147">
        <f>IF(ISNUMBER(Q66),Q66,
  SWITCH(
      Q66,
      "1",1,
      "2T",AV66*2,
      "4T",AV66*4,
      "6T",AV66*6,
      "8T",AV66*8,
      "10T",AV66*10,
      "12T",AV66*12,
      "14T",AV66*14,
      "16T",AV66*16,
      "24T",AV66*24,
      "2(T+1)",2*(AV66+1),
      "1T*C",AV66*J68,
      "2*P",L68*2,
      1
  )
)</f>
        <v>1</v>
      </c>
      <c r="W66" s="147" t="str">
        <f>T66</f>
        <v>No</v>
      </c>
      <c r="X66" s="147">
        <f>IF(OR(W66="No",W66=""),V66,W66)</f>
        <v>1</v>
      </c>
      <c r="Y66" s="38">
        <f>VLOOKUP(H66,'Machine List'!$A$1:$C$138,3,FALSE)</f>
        <v>1</v>
      </c>
      <c r="Z66" s="38">
        <f>VLOOKUP(H66,'Machine List'!$A$1:$D$138,4,FALSE)</f>
        <v>1</v>
      </c>
      <c r="AA66" s="168" t="s">
        <v>393</v>
      </c>
      <c r="AB66" s="147">
        <f>VLOOKUP(AA66,'Item Helper Sheet'!$A$2:$B$16,2,FALSE)</f>
        <v>2</v>
      </c>
      <c r="AC66" s="147">
        <v>120.0</v>
      </c>
      <c r="AD66" s="147">
        <f>10*20</f>
        <v>200</v>
      </c>
      <c r="AE66" s="147">
        <f>AD66*I68</f>
        <v>200</v>
      </c>
      <c r="AF66" s="147">
        <f>AC66*AE66</f>
        <v>24000</v>
      </c>
      <c r="AG66" s="148"/>
      <c r="AH66" s="147" t="str">
        <f>AA66</f>
        <v>02 - MV</v>
      </c>
      <c r="AI66" s="147">
        <v>1.0</v>
      </c>
      <c r="AJ66" s="147">
        <v>1.0</v>
      </c>
      <c r="AK66" s="147">
        <f>AJ66*8*4^AB66</f>
        <v>128</v>
      </c>
      <c r="AL66" s="147">
        <f>MIN(ROUNDDOWN(AK66/AN66,0),U66)</f>
        <v>1</v>
      </c>
      <c r="AM66" s="147">
        <f>IF(OR(T66="No",T66=""),AI66*S66,AI66*T66)</f>
        <v>1</v>
      </c>
      <c r="AN66" s="147">
        <f>ROUNDUP(AC66*VLOOKUP(H66,'Machine List'!$A$2:$D$219,4,FALSE),0)</f>
        <v>120</v>
      </c>
      <c r="AO66" s="147">
        <f>AN66*AM66</f>
        <v>120</v>
      </c>
      <c r="AP66" s="147">
        <f>ROUNDUP(AD66*I68,0)</f>
        <v>200</v>
      </c>
      <c r="AQ66" s="38">
        <f>IF(ISNUMBER(Y66),ROUNDUP(AP66/Y66,0),
  SWITCH(
      Y66,
      "1+0.5C",ROUNDUP(AP66/(1+0.5*VLOOKUP(J68,'Machine Helper Sheet'!$G$1:$K$16,2,FALSE)),0),
      ROUNDUP(AP66/1,0)
  )
)</f>
        <v>200</v>
      </c>
      <c r="AR66" s="147">
        <f>ROUNDUP(AQ66/AM66,0)</f>
        <v>200</v>
      </c>
      <c r="AS66" s="147">
        <f>AO66*AR66</f>
        <v>24000</v>
      </c>
      <c r="AT66" s="148"/>
      <c r="AU66" s="168" t="s">
        <v>405</v>
      </c>
      <c r="AV66" s="147">
        <f>VLOOKUP(AU66,'Item Helper Sheet'!$A$2:$B$16,2,FALSE)</f>
        <v>5</v>
      </c>
      <c r="AW66" s="147">
        <f>AI66</f>
        <v>1</v>
      </c>
      <c r="AX66" s="147">
        <v>1.0</v>
      </c>
      <c r="AY66" s="147">
        <f>AX66*8*4^AV66</f>
        <v>8192</v>
      </c>
      <c r="AZ66" s="147">
        <f>MIN(ROUNDDOWN(AY66/AN66,0),X66)</f>
        <v>1</v>
      </c>
      <c r="BA66" s="147">
        <f>AZ66*AW66</f>
        <v>1</v>
      </c>
      <c r="BB66" s="147">
        <f>AN66</f>
        <v>120</v>
      </c>
      <c r="BC66" s="147">
        <f>MIN(AV66-AB66,IF(AY66&gt;=BB67*4,
IF(AY66&gt;=BB67*4^2,
IF(AY66&gt;=BB67*4^3,
IF(AY66&gt;=BB67*4^4,
IF(AY66&gt;=BB67*4^5,
IF(AY66&gt;=BB67*4^6,
IF(AY66&gt;=BB67*4^7,
IF(AY66&gt;=BB67*4^8,
IF(AY66&gt;=BB67*4^9,
IF(AY66&gt;=BB67*4^10,
9),
8),
7),
6),
5),
4),
3),
2),
1),
0))</f>
        <v>3</v>
      </c>
      <c r="BD66" s="147">
        <f>BB66*AZ66*4^BC66</f>
        <v>7680</v>
      </c>
      <c r="BE66" s="147">
        <f>BD66*AW66</f>
        <v>7680</v>
      </c>
      <c r="BF66" s="143">
        <f>ROUNDUP(IF(R66="Yes",AP66/(2^((BC66)*2)),AP66/(2^(BC66))),0)</f>
        <v>25</v>
      </c>
      <c r="BG66" s="45">
        <f>IF(ISNUMBER(Y66),ROUNDUP(BF66/Y66,0),
  SWITCH(
      Y66,
      "1+0.5C",ROUNDUP(BF66/(1+0.5*VLOOKUP(J68,'Machine Helper Sheet'!$G$1:$K$16,2,FALSE)),0),
      ROUNDUP(BF66/1,0)
  )
)</f>
        <v>25</v>
      </c>
      <c r="BH66" s="143">
        <f>ROUNDUP(BG66/BA66,0)</f>
        <v>25</v>
      </c>
      <c r="BI66" s="149">
        <f>BH66*BE66</f>
        <v>192000</v>
      </c>
      <c r="BK66" s="22"/>
      <c r="BS66" s="6" t="s">
        <v>202</v>
      </c>
      <c r="BT66" s="6">
        <v>-500.0</v>
      </c>
    </row>
    <row r="67">
      <c r="B67" s="141" t="s">
        <v>821</v>
      </c>
      <c r="C67" s="169" t="s">
        <v>155</v>
      </c>
      <c r="D67" s="147">
        <f>1*I68</f>
        <v>1</v>
      </c>
      <c r="E67" s="168" t="s">
        <v>99</v>
      </c>
      <c r="F67" s="152">
        <f>1*I68</f>
        <v>1</v>
      </c>
      <c r="G67" s="138"/>
      <c r="H67" s="153" t="s">
        <v>584</v>
      </c>
      <c r="I67" s="45">
        <f t="array" ref="I67">match(TRUE,ISBLANK(F67:F78),0)-1</f>
        <v>2</v>
      </c>
      <c r="J67" s="154" t="s">
        <v>420</v>
      </c>
      <c r="K67" s="154" t="s">
        <v>585</v>
      </c>
      <c r="L67" s="100" t="s">
        <v>704</v>
      </c>
      <c r="M67" s="147"/>
      <c r="N67" s="147"/>
      <c r="O67" s="147"/>
      <c r="P67" s="147"/>
      <c r="Q67" s="147"/>
      <c r="R67" s="155"/>
      <c r="S67" s="155"/>
      <c r="T67" s="155"/>
      <c r="U67" s="143"/>
      <c r="V67" s="143"/>
      <c r="W67" s="143"/>
      <c r="X67" s="143"/>
      <c r="Y67" s="143"/>
      <c r="Z67" s="143"/>
      <c r="AA67" s="143"/>
      <c r="AB67" s="143"/>
      <c r="AC67" s="143"/>
      <c r="AD67" s="143"/>
      <c r="AE67" s="143"/>
      <c r="AF67" s="143"/>
      <c r="AG67" s="156"/>
      <c r="AH67" s="143"/>
      <c r="AI67" s="143"/>
      <c r="AJ67" s="143"/>
      <c r="AK67" s="143"/>
      <c r="AL67" s="143"/>
      <c r="AM67" s="143"/>
      <c r="AN67" s="143"/>
      <c r="AO67" s="143"/>
      <c r="AP67" s="143"/>
      <c r="AQ67" s="143"/>
      <c r="AR67" s="143"/>
      <c r="AS67" s="143"/>
      <c r="AT67" s="156"/>
      <c r="AU67" s="143"/>
      <c r="AV67" s="143"/>
      <c r="AW67" s="143"/>
      <c r="AX67" s="143"/>
      <c r="AY67" s="143"/>
      <c r="AZ67" s="143"/>
      <c r="BA67" s="143"/>
      <c r="BB67" s="143">
        <f>BB66*AZ66</f>
        <v>120</v>
      </c>
      <c r="BC67" s="143"/>
      <c r="BD67" s="143"/>
      <c r="BE67" s="143"/>
      <c r="BF67" s="143"/>
      <c r="BG67" s="143"/>
      <c r="BH67" s="143"/>
      <c r="BI67" s="149"/>
      <c r="BK67" s="22"/>
      <c r="BS67" s="6" t="s">
        <v>203</v>
      </c>
      <c r="BT67" s="6">
        <v>-10.0</v>
      </c>
    </row>
    <row r="68">
      <c r="B68" s="150"/>
      <c r="C68" s="169" t="s">
        <v>159</v>
      </c>
      <c r="D68" s="147">
        <f>360*I68</f>
        <v>360</v>
      </c>
      <c r="E68" s="168" t="s">
        <v>194</v>
      </c>
      <c r="F68" s="152">
        <f>360*I68</f>
        <v>360</v>
      </c>
      <c r="G68" s="138"/>
      <c r="H68" s="157" t="s">
        <v>502</v>
      </c>
      <c r="I68" s="170">
        <v>1.0</v>
      </c>
      <c r="J68" s="154" t="s">
        <v>427</v>
      </c>
      <c r="K68" s="154">
        <v>0.0</v>
      </c>
      <c r="L68" s="100">
        <v>0.0</v>
      </c>
      <c r="M68" s="143"/>
      <c r="N68" s="143"/>
      <c r="O68" s="143"/>
      <c r="P68" s="143"/>
      <c r="Q68" s="143"/>
      <c r="R68" s="143"/>
      <c r="S68" s="155"/>
      <c r="T68" s="155"/>
      <c r="U68" s="143"/>
      <c r="V68" s="143"/>
      <c r="W68" s="143"/>
      <c r="X68" s="143"/>
      <c r="Y68" s="143"/>
      <c r="Z68" s="143"/>
      <c r="AA68" s="143"/>
      <c r="AB68" s="143"/>
      <c r="AC68" s="143"/>
      <c r="AD68" s="143"/>
      <c r="AE68" s="143"/>
      <c r="AF68" s="143"/>
      <c r="AG68" s="156"/>
      <c r="AH68" s="143"/>
      <c r="AI68" s="143"/>
      <c r="AJ68" s="143"/>
      <c r="AK68" s="143"/>
      <c r="AL68" s="143"/>
      <c r="AM68" s="143"/>
      <c r="AN68" s="143"/>
      <c r="AO68" s="143"/>
      <c r="AP68" s="143"/>
      <c r="AQ68" s="143"/>
      <c r="AR68" s="143"/>
      <c r="AS68" s="143"/>
      <c r="AT68" s="156"/>
      <c r="AU68" s="143"/>
      <c r="AV68" s="143"/>
      <c r="AW68" s="143"/>
      <c r="AX68" s="143"/>
      <c r="AY68" s="143"/>
      <c r="AZ68" s="143"/>
      <c r="BA68" s="143"/>
      <c r="BB68" s="143"/>
      <c r="BC68" s="143"/>
      <c r="BD68" s="143"/>
      <c r="BE68" s="143"/>
      <c r="BF68" s="143"/>
      <c r="BG68" s="143"/>
      <c r="BH68" s="143"/>
      <c r="BI68" s="149"/>
      <c r="BK68" s="22"/>
      <c r="BS68" s="6" t="s">
        <v>208</v>
      </c>
      <c r="BT68" s="140">
        <v>10.0</v>
      </c>
    </row>
    <row r="69">
      <c r="B69" s="135"/>
      <c r="C69" s="136"/>
      <c r="D69" s="137"/>
      <c r="E69" s="137"/>
      <c r="F69" s="137"/>
      <c r="G69" s="138"/>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8"/>
      <c r="AH69" s="137"/>
      <c r="AI69" s="137"/>
      <c r="AJ69" s="137"/>
      <c r="AK69" s="137"/>
      <c r="AL69" s="137"/>
      <c r="AM69" s="137"/>
      <c r="AN69" s="137"/>
      <c r="AO69" s="137"/>
      <c r="AP69" s="137"/>
      <c r="AQ69" s="137"/>
      <c r="AR69" s="137"/>
      <c r="AS69" s="137"/>
      <c r="AT69" s="138"/>
      <c r="AU69" s="137"/>
      <c r="AV69" s="137"/>
      <c r="AW69" s="137"/>
      <c r="AX69" s="137"/>
      <c r="AY69" s="137"/>
      <c r="AZ69" s="137"/>
      <c r="BA69" s="137"/>
      <c r="BB69" s="137"/>
      <c r="BC69" s="137"/>
      <c r="BD69" s="137"/>
      <c r="BE69" s="137"/>
      <c r="BF69" s="137"/>
      <c r="BG69" s="137"/>
      <c r="BH69" s="137"/>
      <c r="BI69" s="139"/>
      <c r="BK69" s="22"/>
      <c r="BS69" s="6" t="s">
        <v>213</v>
      </c>
      <c r="BT69" s="6">
        <v>-1.0</v>
      </c>
    </row>
    <row r="70">
      <c r="B70" s="31" t="s">
        <v>840</v>
      </c>
      <c r="C70" s="54"/>
      <c r="D70" s="45"/>
      <c r="E70" s="45"/>
      <c r="F70" s="47"/>
      <c r="G70" s="35"/>
      <c r="H70" s="163" t="s">
        <v>349</v>
      </c>
      <c r="I70" s="38">
        <f>VLOOKUP(H70,'Machine List'!$A$1:$I$300,9,FALSE)</f>
        <v>4000</v>
      </c>
      <c r="J70" s="38">
        <f>IF(VLOOKUP(H70,'Machine List'!$A$1:$I$300,5,FALSE)="Multi",IF(VLOOKUP(H70,'Machine List'!$A$1:$I$300,6,FALSE)="Yes",AI70*3*10^AB70,AI70*(2*3)*10^(AB70-1)),0)</f>
        <v>6</v>
      </c>
      <c r="K70" s="38">
        <f>J70+IF(ISNUMBER(I70),I70,
  SWITCH(
      I70,
      "1T",1*10^AB70,
      "2T",2*10^AB70,
      "3T",3*10^AB70,
      "4T",4*10^AB70,
      "4000+500(7O-5)",4000+500*(7*I71-5),
      "13500 + 16C",13500+16*VLOOKUP(J72,'Machine Helper Sheet'!$G$1:$K$16,5,FALSE),
      1
  )
)</f>
        <v>4006</v>
      </c>
      <c r="L70" s="38">
        <f>IF(VLOOKUP(H70,'Machine List'!$A$1:$I$300,5,FALSE)="Multi",IF(VLOOKUP(H70,'Machine List'!$A$1:$I$300,6,FALSE)="Yes",AW70*3*10^AV70,AW70*(2*3)*10^(AV70-1)),0)</f>
        <v>60000</v>
      </c>
      <c r="M70" s="38">
        <f>L70+IF(ISNUMBER(I70),I70,
  SWITCH(
      I70,
      "1T",1*10^AV70,
      "2T",2*10^AV70,
      "3T",3*10^AV70,
      "4T",4*10^AV70,
      "4000+500(7O-5)",4000+500*(7*I71-5),
      1
  )
)</f>
        <v>64000</v>
      </c>
      <c r="N70" s="38" t="str">
        <f>VLOOKUP(H70,'Machine List'!$A$1:$I$300,8,FALSE)</f>
        <v>Tier</v>
      </c>
      <c r="O70" s="38">
        <f>IF(ISNUMBER(N70),N70,10^AB70)</f>
        <v>10</v>
      </c>
      <c r="P70" s="38">
        <f>IF(ISNUMBER(N70),N70,10^AV70)</f>
        <v>100000</v>
      </c>
      <c r="Q70" s="38">
        <f>VLOOKUP(H70,'Machine List'!$A$1:$B$138,2,FALSE)</f>
        <v>1</v>
      </c>
      <c r="R70" s="164" t="s">
        <v>594</v>
      </c>
      <c r="S70" s="45">
        <f>IF(ISNUMBER(Q70),Q70,
  SWITCH(
      Q70,
      "1",1,
      "2T",AB70*2,
      "4T",AB70*4,
      "6T",AB70*6,
      "8T",AB70*8,
      "10T",AB70*10,
      "12T",AB70*12,
      "14T",AB70*14,
      "16T",AB70*16,
      "24T",AB70*24,
      "2(T+1)",2*(AB70+1),
      "1T*C",AB70*J72,
      "2*P",L72*2,
      1
  )
)</f>
        <v>1</v>
      </c>
      <c r="T70" s="38" t="s">
        <v>277</v>
      </c>
      <c r="U70" s="38">
        <f>IF(OR(T70="No",T70=""),S70,T70)</f>
        <v>1</v>
      </c>
      <c r="V70" s="38">
        <f>IF(ISNUMBER(Q70),Q70,
  SWITCH(
      Q70,
      "1",1,
      "2T",AV70*2,
      "4T",AV70*4,
      "6T",AV70*6,
      "8T",AV70*8,
      "10T",AV70*10,
      "12T",AV70*12,
      "14T",AV70*14,
      "16T",AV70*16,
      "24T",AV70*24,
      "2(T+1)",2*(AV70+1),
      "1T*C",AV70*J72,
      "2*P",L72*2,
      1
  )
)</f>
        <v>1</v>
      </c>
      <c r="W70" s="38" t="str">
        <f>T70</f>
        <v>No</v>
      </c>
      <c r="X70" s="38">
        <f>IF(OR(W70="No",W70=""),V70,W70)</f>
        <v>1</v>
      </c>
      <c r="Y70" s="38">
        <f>VLOOKUP(H70,'Machine List'!$A$1:$C$138,3,FALSE)</f>
        <v>1</v>
      </c>
      <c r="Z70" s="38">
        <f>VLOOKUP(H70,'Machine List'!$A$1:$D$138,4,FALSE)</f>
        <v>1</v>
      </c>
      <c r="AA70" s="164" t="s">
        <v>390</v>
      </c>
      <c r="AB70" s="38">
        <f>VLOOKUP(AA70,'Item Helper Sheet'!$A$2:$B$16,2,FALSE)</f>
        <v>1</v>
      </c>
      <c r="AC70" s="164">
        <v>30.0</v>
      </c>
      <c r="AD70" s="38">
        <f>60*20</f>
        <v>1200</v>
      </c>
      <c r="AE70" s="38">
        <f>AD70*I72</f>
        <v>1200</v>
      </c>
      <c r="AF70" s="38">
        <f>AC70*AE70</f>
        <v>36000</v>
      </c>
      <c r="AG70" s="75"/>
      <c r="AH70" s="38" t="str">
        <f>AA70</f>
        <v>01 - LV</v>
      </c>
      <c r="AI70" s="38">
        <v>1.0</v>
      </c>
      <c r="AJ70" s="38">
        <v>1.0</v>
      </c>
      <c r="AK70" s="38">
        <f>AJ70*8*4^AB70</f>
        <v>32</v>
      </c>
      <c r="AL70" s="38">
        <f>MIN(ROUNDDOWN(AK70/AN70,0),U70)</f>
        <v>1</v>
      </c>
      <c r="AM70" s="38">
        <f>IF(OR(T70="No",T70=""),AI70*S70,AI70*T70)</f>
        <v>1</v>
      </c>
      <c r="AN70" s="38">
        <f>ROUNDUP(AC70*VLOOKUP(H70,'Machine List'!$A$2:$D$219,4,FALSE),0)</f>
        <v>30</v>
      </c>
      <c r="AO70" s="38">
        <f>AN70*AM70</f>
        <v>30</v>
      </c>
      <c r="AP70" s="38">
        <f>ROUNDUP(AD70*I72,0)</f>
        <v>1200</v>
      </c>
      <c r="AQ70" s="38">
        <f>IF(ISNUMBER(Y70),ROUNDUP(AP70/Y70,0),
  SWITCH(
      Y70,
      "1+0.5C",ROUNDUP(AP70/(1+0.5*VLOOKUP(J72,'Machine Helper Sheet'!$G$1:$K$16,2,FALSE)),0),
      ROUNDUP(AP70/1,0)
  )
)</f>
        <v>1200</v>
      </c>
      <c r="AR70" s="38">
        <f>ROUNDUP(AQ70/AM70,0)</f>
        <v>1200</v>
      </c>
      <c r="AS70" s="38">
        <f>AO70*AR70</f>
        <v>36000</v>
      </c>
      <c r="AT70" s="75"/>
      <c r="AU70" s="164" t="s">
        <v>405</v>
      </c>
      <c r="AV70" s="38">
        <f>VLOOKUP(AU70,'Item Helper Sheet'!$A$2:$B$16,2,FALSE)</f>
        <v>5</v>
      </c>
      <c r="AW70" s="38">
        <f>AI70</f>
        <v>1</v>
      </c>
      <c r="AX70" s="38">
        <v>1.0</v>
      </c>
      <c r="AY70" s="38">
        <f>AX70*8*4^AV70</f>
        <v>8192</v>
      </c>
      <c r="AZ70" s="38">
        <f>MIN(ROUNDDOWN(AY70/AN70,0),X70)</f>
        <v>1</v>
      </c>
      <c r="BA70" s="38">
        <f>AZ70*AW70</f>
        <v>1</v>
      </c>
      <c r="BB70" s="38">
        <f>AN70</f>
        <v>30</v>
      </c>
      <c r="BC70" s="38">
        <f>MIN(AV70-AB70,IF(AY70&gt;=BB71*4,
IF(AY70&gt;=BB71*4^2,
IF(AY70&gt;=BB71*4^3,
IF(AY70&gt;=BB71*4^4,
IF(AY70&gt;=BB71*4^5,
IF(AY70&gt;=BB71*4^6,
IF(AY70&gt;=BB71*4^7,
IF(AY70&gt;=BB71*4^8,
IF(AY70&gt;=BB71*4^9,
IF(AY70&gt;=BB71*4^10,
9),
8),
7),
6),
5),
4),
3),
2),
1),
0))</f>
        <v>4</v>
      </c>
      <c r="BD70" s="38">
        <f>BB70*AZ70*4^BC70</f>
        <v>7680</v>
      </c>
      <c r="BE70" s="38">
        <f>BD70*AW70</f>
        <v>7680</v>
      </c>
      <c r="BF70" s="45">
        <f>ROUNDUP(IF(R70="Yes",AP70/(2^((BC70)*2)),AP70/(2^(BC70))),0)</f>
        <v>5</v>
      </c>
      <c r="BG70" s="45">
        <f>IF(ISNUMBER(Y70),ROUNDUP(BF70/Y70,0),
  SWITCH(
      Y70,
      "1+0.5C",ROUNDUP(BF70/(1+0.5*VLOOKUP(J72,'Machine Helper Sheet'!$G$1:$K$16,2,FALSE)),0),
      ROUNDUP(BF70/1,0)
  )
)</f>
        <v>5</v>
      </c>
      <c r="BH70" s="45">
        <f>ROUNDUP(BG70/BA70,0)</f>
        <v>5</v>
      </c>
      <c r="BI70" s="46">
        <f>BH70*BE70</f>
        <v>38400</v>
      </c>
      <c r="BK70" s="22"/>
      <c r="BS70" s="140" t="s">
        <v>262</v>
      </c>
      <c r="BT70" s="140">
        <v>-1000.0</v>
      </c>
    </row>
    <row r="71">
      <c r="B71" s="141" t="s">
        <v>841</v>
      </c>
      <c r="C71" s="165" t="s">
        <v>194</v>
      </c>
      <c r="D71" s="38">
        <f>39000*I72</f>
        <v>39000</v>
      </c>
      <c r="E71" s="164" t="s">
        <v>99</v>
      </c>
      <c r="F71" s="42">
        <f>4*I72</f>
        <v>4</v>
      </c>
      <c r="G71" s="43"/>
      <c r="H71" s="99" t="s">
        <v>584</v>
      </c>
      <c r="I71" s="45">
        <f t="array" ref="I71">match(TRUE,ISBLANK(F71:F81),0)-1</f>
        <v>3</v>
      </c>
      <c r="J71" s="100" t="s">
        <v>420</v>
      </c>
      <c r="K71" s="100" t="s">
        <v>585</v>
      </c>
      <c r="L71" s="100" t="s">
        <v>704</v>
      </c>
      <c r="M71" s="38"/>
      <c r="N71" s="38"/>
      <c r="O71" s="38"/>
      <c r="P71" s="38"/>
      <c r="Q71" s="38"/>
      <c r="R71" s="101"/>
      <c r="S71" s="101"/>
      <c r="T71" s="101"/>
      <c r="U71" s="45"/>
      <c r="V71" s="45"/>
      <c r="W71" s="45"/>
      <c r="X71" s="45"/>
      <c r="Y71" s="45"/>
      <c r="Z71" s="45"/>
      <c r="AA71" s="45"/>
      <c r="AB71" s="45"/>
      <c r="AC71" s="45"/>
      <c r="AD71" s="45"/>
      <c r="AE71" s="45"/>
      <c r="AF71" s="45"/>
      <c r="AG71" s="79"/>
      <c r="AH71" s="45"/>
      <c r="AI71" s="45"/>
      <c r="AJ71" s="45"/>
      <c r="AK71" s="45"/>
      <c r="AL71" s="45"/>
      <c r="AM71" s="45"/>
      <c r="AN71" s="45"/>
      <c r="AO71" s="45"/>
      <c r="AP71" s="45"/>
      <c r="AQ71" s="45"/>
      <c r="AR71" s="45"/>
      <c r="AS71" s="45"/>
      <c r="AT71" s="79"/>
      <c r="AU71" s="45"/>
      <c r="AV71" s="45"/>
      <c r="AW71" s="45"/>
      <c r="AX71" s="45"/>
      <c r="AY71" s="45"/>
      <c r="AZ71" s="45"/>
      <c r="BA71" s="45"/>
      <c r="BB71" s="45">
        <f>BB70*AZ70</f>
        <v>30</v>
      </c>
      <c r="BC71" s="45"/>
      <c r="BD71" s="45"/>
      <c r="BE71" s="45"/>
      <c r="BF71" s="45"/>
      <c r="BG71" s="45"/>
      <c r="BH71" s="45"/>
      <c r="BI71" s="46"/>
      <c r="BK71" s="22"/>
      <c r="BS71" s="140" t="s">
        <v>216</v>
      </c>
      <c r="BT71" s="140">
        <v>-3.0</v>
      </c>
    </row>
    <row r="72">
      <c r="B72" s="40"/>
      <c r="C72" s="165" t="s">
        <v>248</v>
      </c>
      <c r="D72" s="38">
        <f>36000*I72</f>
        <v>36000</v>
      </c>
      <c r="E72" s="164" t="s">
        <v>195</v>
      </c>
      <c r="F72" s="42">
        <f>39000*I72</f>
        <v>39000</v>
      </c>
      <c r="G72" s="43"/>
      <c r="H72" s="56" t="s">
        <v>502</v>
      </c>
      <c r="I72" s="166">
        <v>1.0</v>
      </c>
      <c r="J72" s="100" t="s">
        <v>424</v>
      </c>
      <c r="K72" s="100">
        <v>0.0</v>
      </c>
      <c r="L72" s="100">
        <v>0.0</v>
      </c>
      <c r="M72" s="45"/>
      <c r="N72" s="45"/>
      <c r="O72" s="45"/>
      <c r="P72" s="45"/>
      <c r="Q72" s="45"/>
      <c r="R72" s="45"/>
      <c r="S72" s="101"/>
      <c r="T72" s="101"/>
      <c r="U72" s="45"/>
      <c r="V72" s="45"/>
      <c r="W72" s="45"/>
      <c r="X72" s="45"/>
      <c r="Y72" s="45"/>
      <c r="Z72" s="45"/>
      <c r="AA72" s="45"/>
      <c r="AB72" s="45"/>
      <c r="AC72" s="45"/>
      <c r="AD72" s="45"/>
      <c r="AE72" s="45"/>
      <c r="AF72" s="45"/>
      <c r="AG72" s="79"/>
      <c r="AH72" s="45"/>
      <c r="AI72" s="45"/>
      <c r="AJ72" s="45"/>
      <c r="AK72" s="45"/>
      <c r="AL72" s="45"/>
      <c r="AM72" s="45"/>
      <c r="AN72" s="45"/>
      <c r="AO72" s="45"/>
      <c r="AP72" s="45"/>
      <c r="AQ72" s="45"/>
      <c r="AR72" s="45"/>
      <c r="AS72" s="45"/>
      <c r="AT72" s="79"/>
      <c r="AU72" s="45"/>
      <c r="AV72" s="45"/>
      <c r="AW72" s="45"/>
      <c r="AX72" s="45"/>
      <c r="AY72" s="45"/>
      <c r="AZ72" s="45"/>
      <c r="BA72" s="45"/>
      <c r="BB72" s="45"/>
      <c r="BC72" s="45"/>
      <c r="BD72" s="45"/>
      <c r="BE72" s="45"/>
      <c r="BF72" s="45"/>
      <c r="BG72" s="45"/>
      <c r="BH72" s="45"/>
      <c r="BI72" s="46"/>
      <c r="BK72" s="22"/>
      <c r="BS72" s="6" t="s">
        <v>217</v>
      </c>
      <c r="BT72" s="6">
        <v>0.0</v>
      </c>
    </row>
    <row r="73">
      <c r="B73" s="40"/>
      <c r="C73" s="165"/>
      <c r="D73" s="38"/>
      <c r="E73" s="164" t="s">
        <v>160</v>
      </c>
      <c r="F73" s="42">
        <f>7200*I72</f>
        <v>7200</v>
      </c>
      <c r="G73" s="43"/>
      <c r="H73" s="44"/>
      <c r="I73" s="45"/>
      <c r="J73" s="45"/>
      <c r="K73" s="45"/>
      <c r="L73" s="45"/>
      <c r="M73" s="45"/>
      <c r="N73" s="45"/>
      <c r="O73" s="45"/>
      <c r="P73" s="45"/>
      <c r="Q73" s="45"/>
      <c r="R73" s="45"/>
      <c r="S73" s="101"/>
      <c r="T73" s="101"/>
      <c r="U73" s="45"/>
      <c r="V73" s="45"/>
      <c r="W73" s="45"/>
      <c r="X73" s="45"/>
      <c r="Y73" s="45"/>
      <c r="Z73" s="45"/>
      <c r="AA73" s="45"/>
      <c r="AB73" s="45"/>
      <c r="AC73" s="45"/>
      <c r="AD73" s="45"/>
      <c r="AE73" s="45"/>
      <c r="AF73" s="45"/>
      <c r="AG73" s="79"/>
      <c r="AH73" s="45"/>
      <c r="AI73" s="45"/>
      <c r="AJ73" s="45"/>
      <c r="AK73" s="45"/>
      <c r="AL73" s="45"/>
      <c r="AM73" s="45"/>
      <c r="AN73" s="45"/>
      <c r="AO73" s="45"/>
      <c r="AP73" s="45"/>
      <c r="AQ73" s="45"/>
      <c r="AR73" s="45"/>
      <c r="AS73" s="45"/>
      <c r="AT73" s="79"/>
      <c r="AU73" s="45"/>
      <c r="AV73" s="45"/>
      <c r="AW73" s="45"/>
      <c r="AX73" s="45"/>
      <c r="AY73" s="45"/>
      <c r="AZ73" s="45"/>
      <c r="BA73" s="45"/>
      <c r="BB73" s="45"/>
      <c r="BC73" s="45"/>
      <c r="BD73" s="45"/>
      <c r="BE73" s="45"/>
      <c r="BF73" s="45"/>
      <c r="BG73" s="45"/>
      <c r="BH73" s="45"/>
      <c r="BI73" s="46"/>
      <c r="BK73" s="22"/>
      <c r="BS73" s="6" t="s">
        <v>218</v>
      </c>
      <c r="BT73" s="6">
        <v>-3.0</v>
      </c>
    </row>
    <row r="74">
      <c r="B74" s="135"/>
      <c r="C74" s="136"/>
      <c r="D74" s="137"/>
      <c r="E74" s="137"/>
      <c r="F74" s="137"/>
      <c r="G74" s="138"/>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8"/>
      <c r="AH74" s="137"/>
      <c r="AI74" s="137"/>
      <c r="AJ74" s="137"/>
      <c r="AK74" s="137"/>
      <c r="AL74" s="137"/>
      <c r="AM74" s="137"/>
      <c r="AN74" s="137"/>
      <c r="AO74" s="137"/>
      <c r="AP74" s="137"/>
      <c r="AQ74" s="137"/>
      <c r="AR74" s="137"/>
      <c r="AS74" s="137"/>
      <c r="AT74" s="138"/>
      <c r="AU74" s="137"/>
      <c r="AV74" s="137"/>
      <c r="AW74" s="137"/>
      <c r="AX74" s="137"/>
      <c r="AY74" s="137"/>
      <c r="AZ74" s="137"/>
      <c r="BA74" s="137"/>
      <c r="BB74" s="137"/>
      <c r="BC74" s="137"/>
      <c r="BD74" s="137"/>
      <c r="BE74" s="137"/>
      <c r="BF74" s="137"/>
      <c r="BG74" s="137"/>
      <c r="BH74" s="137"/>
      <c r="BI74" s="139"/>
      <c r="BK74" s="22"/>
      <c r="BS74" s="6" t="s">
        <v>263</v>
      </c>
      <c r="BT74" s="140">
        <v>7.0</v>
      </c>
    </row>
    <row r="75">
      <c r="B75" s="31" t="s">
        <v>842</v>
      </c>
      <c r="C75" s="54"/>
      <c r="D75" s="45"/>
      <c r="E75" s="45"/>
      <c r="F75" s="47"/>
      <c r="G75" s="35"/>
      <c r="H75" s="163" t="s">
        <v>349</v>
      </c>
      <c r="I75" s="38">
        <f>VLOOKUP(H75,'Machine List'!$A$1:$I$300,9,FALSE)</f>
        <v>4000</v>
      </c>
      <c r="J75" s="38">
        <f>IF(VLOOKUP(H75,'Machine List'!$A$1:$I$300,5,FALSE)="Multi",IF(VLOOKUP(H75,'Machine List'!$A$1:$I$300,6,FALSE)="Yes",AI75*3*10^AB75,AI75*(2*3)*10^(AB75-1)),0)</f>
        <v>6</v>
      </c>
      <c r="K75" s="38">
        <f>J75+IF(ISNUMBER(I75),I75,
  SWITCH(
      I75,
      "1T",1*10^AB75,
      "2T",2*10^AB75,
      "3T",3*10^AB75,
      "4T",4*10^AB75,
      "4000+500(7O-5)",4000+500*(7*I76-5),
      "13500 + 16C",13500+16*VLOOKUP(J77,'Machine Helper Sheet'!$G$1:$K$16,5,FALSE),
      1
  )
)</f>
        <v>4006</v>
      </c>
      <c r="L75" s="38">
        <f>IF(VLOOKUP(H75,'Machine List'!$A$1:$I$300,5,FALSE)="Multi",IF(VLOOKUP(H75,'Machine List'!$A$1:$I$300,6,FALSE)="Yes",AW75*3*10^AV75,AW75*(2*3)*10^(AV75-1)),0)</f>
        <v>60000</v>
      </c>
      <c r="M75" s="38">
        <f>L75+IF(ISNUMBER(I75),I75,
  SWITCH(
      I75,
      "1T",1*10^AV75,
      "2T",2*10^AV75,
      "3T",3*10^AV75,
      "4T",4*10^AV75,
      "4000+500(7O-5)",4000+500*(7*I76-5),
      1
  )
)</f>
        <v>64000</v>
      </c>
      <c r="N75" s="38" t="str">
        <f>VLOOKUP(H75,'Machine List'!$A$1:$I$300,8,FALSE)</f>
        <v>Tier</v>
      </c>
      <c r="O75" s="38">
        <f>IF(ISNUMBER(N75),N75,10^AB75)</f>
        <v>10</v>
      </c>
      <c r="P75" s="38">
        <f>IF(ISNUMBER(N75),N75,10^AV75)</f>
        <v>100000</v>
      </c>
      <c r="Q75" s="38">
        <f>VLOOKUP(H75,'Machine List'!$A$1:$B$138,2,FALSE)</f>
        <v>1</v>
      </c>
      <c r="R75" s="164" t="s">
        <v>594</v>
      </c>
      <c r="S75" s="45">
        <f>IF(ISNUMBER(Q75),Q75,
  SWITCH(
      Q75,
      "1",1,
      "2T",AB75*2,
      "4T",AB75*4,
      "6T",AB75*6,
      "8T",AB75*8,
      "10T",AB75*10,
      "12T",AB75*12,
      "14T",AB75*14,
      "16T",AB75*16,
      "24T",AB75*24,
      "2(T+1)",2*(AB75+1),
      "1T*C",AB75*J77,
      "2*P",L77*2,
      1
  )
)</f>
        <v>1</v>
      </c>
      <c r="T75" s="38" t="s">
        <v>277</v>
      </c>
      <c r="U75" s="38">
        <f>IF(OR(T75="No",T75=""),S75,T75)</f>
        <v>1</v>
      </c>
      <c r="V75" s="38">
        <f>IF(ISNUMBER(Q75),Q75,
  SWITCH(
      Q75,
      "1",1,
      "2T",AV75*2,
      "4T",AV75*4,
      "6T",AV75*6,
      "8T",AV75*8,
      "10T",AV75*10,
      "12T",AV75*12,
      "14T",AV75*14,
      "16T",AV75*16,
      "24T",AV75*24,
      "2(T+1)",2*(AV75+1),
      "1T*C",AV75*J77,
      "2*P",L77*2,
      1
  )
)</f>
        <v>1</v>
      </c>
      <c r="W75" s="38" t="str">
        <f>T75</f>
        <v>No</v>
      </c>
      <c r="X75" s="38">
        <f>IF(OR(W75="No",W75=""),V75,W75)</f>
        <v>1</v>
      </c>
      <c r="Y75" s="38">
        <f>VLOOKUP(H75,'Machine List'!$A$1:$C$138,3,FALSE)</f>
        <v>1</v>
      </c>
      <c r="Z75" s="38">
        <f>VLOOKUP(H75,'Machine List'!$A$1:$D$138,4,FALSE)</f>
        <v>1</v>
      </c>
      <c r="AA75" s="164" t="s">
        <v>390</v>
      </c>
      <c r="AB75" s="38">
        <f>VLOOKUP(AA75,'Item Helper Sheet'!$A$2:$B$16,2,FALSE)</f>
        <v>1</v>
      </c>
      <c r="AC75" s="164">
        <v>30.0</v>
      </c>
      <c r="AD75" s="38">
        <f>15*20</f>
        <v>300</v>
      </c>
      <c r="AE75" s="38">
        <f>AD75*I77</f>
        <v>300</v>
      </c>
      <c r="AF75" s="38">
        <f>AC75*AE75</f>
        <v>9000</v>
      </c>
      <c r="AG75" s="75"/>
      <c r="AH75" s="38" t="str">
        <f>AA75</f>
        <v>01 - LV</v>
      </c>
      <c r="AI75" s="38">
        <v>1.0</v>
      </c>
      <c r="AJ75" s="38">
        <v>1.0</v>
      </c>
      <c r="AK75" s="38">
        <f>AJ75*8*4^AB75</f>
        <v>32</v>
      </c>
      <c r="AL75" s="38">
        <f>MIN(ROUNDDOWN(AK75/AN75,0),U75)</f>
        <v>1</v>
      </c>
      <c r="AM75" s="38">
        <f>IF(OR(T75="No",T75=""),AI75*S75,AI75*T75)</f>
        <v>1</v>
      </c>
      <c r="AN75" s="38">
        <f>ROUNDUP(AC75*VLOOKUP(H75,'Machine List'!$A$2:$D$219,4,FALSE),0)</f>
        <v>30</v>
      </c>
      <c r="AO75" s="38">
        <f>AN75*AM75</f>
        <v>30</v>
      </c>
      <c r="AP75" s="38">
        <f>ROUNDUP(AD75*I77,0)</f>
        <v>300</v>
      </c>
      <c r="AQ75" s="38">
        <f>IF(ISNUMBER(Y75),ROUNDUP(AP75/Y75,0),
  SWITCH(
      Y75,
      "1+0.5C",ROUNDUP(AP75/(1+0.5*VLOOKUP(J77,'Machine Helper Sheet'!$G$1:$K$16,2,FALSE)),0),
      ROUNDUP(AP75/1,0)
  )
)</f>
        <v>300</v>
      </c>
      <c r="AR75" s="38">
        <f>ROUNDUP(AQ75/AM75,0)</f>
        <v>300</v>
      </c>
      <c r="AS75" s="38">
        <f>AO75*AR75</f>
        <v>9000</v>
      </c>
      <c r="AT75" s="75"/>
      <c r="AU75" s="164" t="s">
        <v>405</v>
      </c>
      <c r="AV75" s="38">
        <f>VLOOKUP(AU75,'Item Helper Sheet'!$A$2:$B$16,2,FALSE)</f>
        <v>5</v>
      </c>
      <c r="AW75" s="38">
        <f>AI75</f>
        <v>1</v>
      </c>
      <c r="AX75" s="38">
        <v>1.0</v>
      </c>
      <c r="AY75" s="38">
        <f>AX75*8*4^AV75</f>
        <v>8192</v>
      </c>
      <c r="AZ75" s="38">
        <f>MIN(ROUNDDOWN(AY75/AN75,0),X75)</f>
        <v>1</v>
      </c>
      <c r="BA75" s="38">
        <f>AZ75*AW75</f>
        <v>1</v>
      </c>
      <c r="BB75" s="38">
        <f>AN75</f>
        <v>30</v>
      </c>
      <c r="BC75" s="38">
        <f>MIN(AV75-AB75,IF(AY75&gt;=BB76*4,
IF(AY75&gt;=BB76*4^2,
IF(AY75&gt;=BB76*4^3,
IF(AY75&gt;=BB76*4^4,
IF(AY75&gt;=BB76*4^5,
IF(AY75&gt;=BB76*4^6,
IF(AY75&gt;=BB76*4^7,
IF(AY75&gt;=BB76*4^8,
IF(AY75&gt;=BB76*4^9,
IF(AY75&gt;=BB76*4^10,
9),
8),
7),
6),
5),
4),
3),
2),
1),
0))</f>
        <v>4</v>
      </c>
      <c r="BD75" s="38">
        <f>BB75*AZ75*4^BC75</f>
        <v>7680</v>
      </c>
      <c r="BE75" s="38">
        <f>BD75*AW75</f>
        <v>7680</v>
      </c>
      <c r="BF75" s="45">
        <f>ROUNDUP(IF(R75="Yes",AP75/(2^((BC75)*2)),AP75/(2^(BC75))),0)</f>
        <v>2</v>
      </c>
      <c r="BG75" s="45">
        <f>IF(ISNUMBER(Y75),ROUNDUP(BF75/Y75,0),
  SWITCH(
      Y75,
      "1+0.5C",ROUNDUP(BF75/(1+0.5*VLOOKUP(J77,'Machine Helper Sheet'!$G$1:$K$16,2,FALSE)),0),
      ROUNDUP(BF75/1,0)
  )
)</f>
        <v>2</v>
      </c>
      <c r="BH75" s="45">
        <f>ROUNDUP(BG75/BA75,0)</f>
        <v>2</v>
      </c>
      <c r="BI75" s="46">
        <f>BH75*BE75</f>
        <v>15360</v>
      </c>
      <c r="BK75" s="22"/>
      <c r="BS75" s="6" t="s">
        <v>226</v>
      </c>
      <c r="BT75" s="6">
        <v>1000.0</v>
      </c>
    </row>
    <row r="76">
      <c r="B76" s="141" t="s">
        <v>841</v>
      </c>
      <c r="C76" s="165" t="s">
        <v>254</v>
      </c>
      <c r="D76" s="38">
        <f>1*I77</f>
        <v>1</v>
      </c>
      <c r="E76" s="164" t="s">
        <v>53</v>
      </c>
      <c r="F76" s="42">
        <f>1*I77</f>
        <v>1</v>
      </c>
      <c r="G76" s="43"/>
      <c r="H76" s="99" t="s">
        <v>584</v>
      </c>
      <c r="I76" s="45">
        <f t="array" ref="I76">match(TRUE,ISBLANK(F76:F86),0)-1</f>
        <v>2</v>
      </c>
      <c r="J76" s="100" t="s">
        <v>420</v>
      </c>
      <c r="K76" s="100" t="s">
        <v>585</v>
      </c>
      <c r="L76" s="100" t="s">
        <v>704</v>
      </c>
      <c r="M76" s="38"/>
      <c r="N76" s="38"/>
      <c r="O76" s="38"/>
      <c r="P76" s="38"/>
      <c r="Q76" s="38"/>
      <c r="R76" s="101"/>
      <c r="S76" s="101"/>
      <c r="T76" s="101"/>
      <c r="U76" s="45"/>
      <c r="V76" s="45"/>
      <c r="W76" s="45"/>
      <c r="X76" s="45"/>
      <c r="Y76" s="45"/>
      <c r="Z76" s="45"/>
      <c r="AA76" s="45"/>
      <c r="AB76" s="45"/>
      <c r="AC76" s="45"/>
      <c r="AD76" s="45"/>
      <c r="AE76" s="45"/>
      <c r="AF76" s="45"/>
      <c r="AG76" s="79"/>
      <c r="AH76" s="45"/>
      <c r="AI76" s="45"/>
      <c r="AJ76" s="45"/>
      <c r="AK76" s="45"/>
      <c r="AL76" s="45"/>
      <c r="AM76" s="45"/>
      <c r="AN76" s="45"/>
      <c r="AO76" s="45"/>
      <c r="AP76" s="45"/>
      <c r="AQ76" s="45"/>
      <c r="AR76" s="45"/>
      <c r="AS76" s="45"/>
      <c r="AT76" s="79"/>
      <c r="AU76" s="45"/>
      <c r="AV76" s="45"/>
      <c r="AW76" s="45"/>
      <c r="AX76" s="45"/>
      <c r="AY76" s="45"/>
      <c r="AZ76" s="45"/>
      <c r="BA76" s="45"/>
      <c r="BB76" s="45">
        <f>BB75*AZ75</f>
        <v>30</v>
      </c>
      <c r="BC76" s="45"/>
      <c r="BD76" s="45"/>
      <c r="BE76" s="45"/>
      <c r="BF76" s="45"/>
      <c r="BG76" s="45"/>
      <c r="BH76" s="45"/>
      <c r="BI76" s="46"/>
      <c r="BK76" s="22"/>
      <c r="BS76" s="6" t="s">
        <v>265</v>
      </c>
      <c r="BT76" s="6">
        <v>-2.0</v>
      </c>
    </row>
    <row r="77">
      <c r="B77" s="40"/>
      <c r="C77" s="165" t="s">
        <v>195</v>
      </c>
      <c r="D77" s="38">
        <f>1000*I77</f>
        <v>1000</v>
      </c>
      <c r="E77" s="164" t="s">
        <v>255</v>
      </c>
      <c r="F77" s="42">
        <f>6*I77</f>
        <v>6</v>
      </c>
      <c r="G77" s="43"/>
      <c r="H77" s="56" t="s">
        <v>502</v>
      </c>
      <c r="I77" s="166">
        <v>1.0</v>
      </c>
      <c r="J77" s="100" t="s">
        <v>424</v>
      </c>
      <c r="K77" s="100">
        <v>0.0</v>
      </c>
      <c r="L77" s="100">
        <v>0.0</v>
      </c>
      <c r="M77" s="45"/>
      <c r="N77" s="45"/>
      <c r="O77" s="45"/>
      <c r="P77" s="45"/>
      <c r="Q77" s="45"/>
      <c r="R77" s="45"/>
      <c r="S77" s="101"/>
      <c r="T77" s="101"/>
      <c r="U77" s="45"/>
      <c r="V77" s="45"/>
      <c r="W77" s="45"/>
      <c r="X77" s="45"/>
      <c r="Y77" s="45"/>
      <c r="Z77" s="45"/>
      <c r="AA77" s="45"/>
      <c r="AB77" s="45"/>
      <c r="AC77" s="45"/>
      <c r="AD77" s="45"/>
      <c r="AE77" s="45"/>
      <c r="AF77" s="45"/>
      <c r="AG77" s="79"/>
      <c r="AH77" s="45"/>
      <c r="AI77" s="45"/>
      <c r="AJ77" s="45"/>
      <c r="AK77" s="45"/>
      <c r="AL77" s="45"/>
      <c r="AM77" s="45"/>
      <c r="AN77" s="45"/>
      <c r="AO77" s="45"/>
      <c r="AP77" s="45"/>
      <c r="AQ77" s="45"/>
      <c r="AR77" s="45"/>
      <c r="AS77" s="45"/>
      <c r="AT77" s="79"/>
      <c r="AU77" s="45"/>
      <c r="AV77" s="45"/>
      <c r="AW77" s="45"/>
      <c r="AX77" s="45"/>
      <c r="AY77" s="45"/>
      <c r="AZ77" s="45"/>
      <c r="BA77" s="45"/>
      <c r="BB77" s="45"/>
      <c r="BC77" s="45"/>
      <c r="BD77" s="45"/>
      <c r="BE77" s="45"/>
      <c r="BF77" s="45"/>
      <c r="BG77" s="45"/>
      <c r="BH77" s="45"/>
      <c r="BI77" s="46"/>
      <c r="BK77" s="22"/>
      <c r="BS77" s="140" t="s">
        <v>227</v>
      </c>
      <c r="BT77" s="140">
        <v>-1000.0</v>
      </c>
    </row>
    <row r="78">
      <c r="B78" s="135"/>
      <c r="C78" s="136"/>
      <c r="D78" s="137"/>
      <c r="E78" s="137"/>
      <c r="F78" s="137"/>
      <c r="G78" s="138"/>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8"/>
      <c r="AH78" s="137"/>
      <c r="AI78" s="137"/>
      <c r="AJ78" s="137"/>
      <c r="AK78" s="137"/>
      <c r="AL78" s="137"/>
      <c r="AM78" s="137"/>
      <c r="AN78" s="137"/>
      <c r="AO78" s="137"/>
      <c r="AP78" s="137"/>
      <c r="AQ78" s="137"/>
      <c r="AR78" s="137"/>
      <c r="AS78" s="137"/>
      <c r="AT78" s="138"/>
      <c r="AU78" s="137"/>
      <c r="AV78" s="137"/>
      <c r="AW78" s="137"/>
      <c r="AX78" s="137"/>
      <c r="AY78" s="137"/>
      <c r="AZ78" s="137"/>
      <c r="BA78" s="137"/>
      <c r="BB78" s="137"/>
      <c r="BC78" s="137"/>
      <c r="BD78" s="137"/>
      <c r="BE78" s="137"/>
      <c r="BF78" s="137"/>
      <c r="BG78" s="137"/>
      <c r="BH78" s="137"/>
      <c r="BI78" s="139"/>
      <c r="BK78" s="22"/>
      <c r="BS78" s="6" t="s">
        <v>248</v>
      </c>
      <c r="BT78" s="6">
        <v>-20900.0</v>
      </c>
    </row>
    <row r="79">
      <c r="B79" s="31" t="s">
        <v>843</v>
      </c>
      <c r="C79" s="54"/>
      <c r="D79" s="45"/>
      <c r="E79" s="45"/>
      <c r="F79" s="47"/>
      <c r="G79" s="35"/>
      <c r="H79" s="163" t="s">
        <v>301</v>
      </c>
      <c r="I79" s="38">
        <f>VLOOKUP(H79,'Machine List'!$A$1:$I$300,9,FALSE)</f>
        <v>1000</v>
      </c>
      <c r="J79" s="38">
        <f>IF(VLOOKUP(H79,'Machine List'!$A$1:$I$300,5,FALSE)="Multi",IF(VLOOKUP(H79,'Machine List'!$A$1:$I$300,6,FALSE)="Yes",AI79*3*10^AB79,AI79*(2*3)*10^(AB79-1)),0)</f>
        <v>60</v>
      </c>
      <c r="K79" s="38">
        <f>J79+IF(ISNUMBER(I79),I79,
  SWITCH(
      I79,
      "1T",1*10^AB79,
      "2T",2*10^AB79,
      "3T",3*10^AB79,
      "4T",4*10^AB79,
      "4000+500(7O-5)",4000+500*(7*I80-5),
      "13500 + 16C",13500+16*VLOOKUP(J81,'Machine Helper Sheet'!$G$1:$K$16,5,FALSE),
      1
  )
)</f>
        <v>1060</v>
      </c>
      <c r="L79" s="38">
        <f>IF(VLOOKUP(H79,'Machine List'!$A$1:$I$300,5,FALSE)="Multi",IF(VLOOKUP(H79,'Machine List'!$A$1:$I$300,6,FALSE)="Yes",AW79*3*10^AV79,AW79*(2*3)*10^(AV79-1)),0)</f>
        <v>60000</v>
      </c>
      <c r="M79" s="38">
        <f>L79+IF(ISNUMBER(I79),I79,
  SWITCH(
      I79,
      "1T",1*10^AV79,
      "2T",2*10^AV79,
      "3T",3*10^AV79,
      "4T",4*10^AV79,
      "4000+500(7O-5)",4000+500*(7*I80-5),
      1
  )
)</f>
        <v>61000</v>
      </c>
      <c r="N79" s="38" t="str">
        <f>VLOOKUP(H79,'Machine List'!$A$1:$I$300,8,FALSE)</f>
        <v>Tier</v>
      </c>
      <c r="O79" s="38">
        <f>IF(ISNUMBER(N79),N79,10^AB79)</f>
        <v>100</v>
      </c>
      <c r="P79" s="38">
        <f>IF(ISNUMBER(N79),N79,10^AV79)</f>
        <v>100000</v>
      </c>
      <c r="Q79" s="38">
        <f>VLOOKUP(H79,'Machine List'!$A$1:$B$138,2,FALSE)</f>
        <v>1</v>
      </c>
      <c r="R79" s="164" t="s">
        <v>594</v>
      </c>
      <c r="S79" s="45">
        <f>IF(ISNUMBER(Q79),Q79,
  SWITCH(
      Q79,
      "1",1,
      "2T",AB79*2,
      "4T",AB79*4,
      "6T",AB79*6,
      "8T",AB79*8,
      "10T",AB79*10,
      "12T",AB79*12,
      "14T",AB79*14,
      "16T",AB79*16,
      "24T",AB79*24,
      "2(T+1)",2*(AB79+1),
      "1T*C",AB79*J81,
      "2*P",L81*2,
      1
  )
)</f>
        <v>1</v>
      </c>
      <c r="T79" s="38" t="s">
        <v>277</v>
      </c>
      <c r="U79" s="38">
        <f>IF(OR(T79="No",T79=""),S79,T79)</f>
        <v>1</v>
      </c>
      <c r="V79" s="38">
        <f>IF(ISNUMBER(Q79),Q79,
  SWITCH(
      Q79,
      "1",1,
      "2T",AV79*2,
      "4T",AV79*4,
      "6T",AV79*6,
      "8T",AV79*8,
      "10T",AV79*10,
      "12T",AV79*12,
      "14T",AV79*14,
      "16T",AV79*16,
      "24T",AV79*24,
      "2(T+1)",2*(AV79+1),
      "1T*C",AV79*J81,
      "2*P",L81*2,
      1
  )
)</f>
        <v>1</v>
      </c>
      <c r="W79" s="38" t="str">
        <f>T79</f>
        <v>No</v>
      </c>
      <c r="X79" s="38">
        <f>IF(OR(W79="No",W79=""),V79,W79)</f>
        <v>1</v>
      </c>
      <c r="Y79" s="38">
        <f>VLOOKUP(H79,'Machine List'!$A$1:$C$138,3,FALSE)</f>
        <v>1</v>
      </c>
      <c r="Z79" s="38">
        <f>VLOOKUP(H79,'Machine List'!$A$1:$D$138,4,FALSE)</f>
        <v>1</v>
      </c>
      <c r="AA79" s="164" t="s">
        <v>393</v>
      </c>
      <c r="AB79" s="38">
        <f>VLOOKUP(AA79,'Item Helper Sheet'!$A$2:$B$16,2,FALSE)</f>
        <v>2</v>
      </c>
      <c r="AC79" s="164">
        <v>120.0</v>
      </c>
      <c r="AD79" s="38">
        <f>15*20</f>
        <v>300</v>
      </c>
      <c r="AE79" s="38">
        <f>AD79*I81</f>
        <v>300</v>
      </c>
      <c r="AF79" s="38">
        <f>AC79*AE79</f>
        <v>36000</v>
      </c>
      <c r="AG79" s="75"/>
      <c r="AH79" s="38" t="str">
        <f>AA79</f>
        <v>02 - MV</v>
      </c>
      <c r="AI79" s="38">
        <v>1.0</v>
      </c>
      <c r="AJ79" s="38">
        <v>1.0</v>
      </c>
      <c r="AK79" s="38">
        <f>AJ79*8*4^AB79</f>
        <v>128</v>
      </c>
      <c r="AL79" s="38">
        <f>MIN(ROUNDDOWN(AK79/AN79,0),U79)</f>
        <v>1</v>
      </c>
      <c r="AM79" s="38">
        <f>IF(OR(T79="No",T79=""),AI79*S79,AI79*T79)</f>
        <v>1</v>
      </c>
      <c r="AN79" s="38">
        <f>ROUNDUP(AC79*VLOOKUP(H79,'Machine List'!$A$2:$D$219,4,FALSE),0)</f>
        <v>120</v>
      </c>
      <c r="AO79" s="38">
        <f>AN79*AM79</f>
        <v>120</v>
      </c>
      <c r="AP79" s="38">
        <f>ROUNDUP(AD79*I81,0)</f>
        <v>300</v>
      </c>
      <c r="AQ79" s="38">
        <f>IF(ISNUMBER(Y79),ROUNDUP(AP79/Y79,0),
  SWITCH(
      Y79,
      "1+0.5C",ROUNDUP(AP79/(1+0.5*VLOOKUP(J81,'Machine Helper Sheet'!$G$1:$K$16,2,FALSE)),0),
      ROUNDUP(AP79/1,0)
  )
)</f>
        <v>300</v>
      </c>
      <c r="AR79" s="38">
        <f>ROUNDUP(AQ79/AM79,0)</f>
        <v>300</v>
      </c>
      <c r="AS79" s="38">
        <f>AO79*AR79</f>
        <v>36000</v>
      </c>
      <c r="AT79" s="75"/>
      <c r="AU79" s="164" t="s">
        <v>405</v>
      </c>
      <c r="AV79" s="38">
        <f>VLOOKUP(AU79,'Item Helper Sheet'!$A$2:$B$16,2,FALSE)</f>
        <v>5</v>
      </c>
      <c r="AW79" s="38">
        <f>AI79</f>
        <v>1</v>
      </c>
      <c r="AX79" s="38">
        <v>1.0</v>
      </c>
      <c r="AY79" s="38">
        <f>AX79*8*4^AV79</f>
        <v>8192</v>
      </c>
      <c r="AZ79" s="38">
        <f>MIN(ROUNDDOWN(AY79/AN79,0),X79)</f>
        <v>1</v>
      </c>
      <c r="BA79" s="38">
        <f>AZ79*AW79</f>
        <v>1</v>
      </c>
      <c r="BB79" s="38">
        <f>AN79</f>
        <v>120</v>
      </c>
      <c r="BC79" s="38">
        <f>MIN(AV79-AB79,IF(AY79&gt;=BB80*4,
IF(AY79&gt;=BB80*4^2,
IF(AY79&gt;=BB80*4^3,
IF(AY79&gt;=BB80*4^4,
IF(AY79&gt;=BB80*4^5,
IF(AY79&gt;=BB80*4^6,
IF(AY79&gt;=BB80*4^7,
IF(AY79&gt;=BB80*4^8,
IF(AY79&gt;=BB80*4^9,
IF(AY79&gt;=BB80*4^10,
9),
8),
7),
6),
5),
4),
3),
2),
1),
0))</f>
        <v>3</v>
      </c>
      <c r="BD79" s="38">
        <f>BB79*AZ79*4^BC79</f>
        <v>7680</v>
      </c>
      <c r="BE79" s="38">
        <f>BD79*AW79</f>
        <v>7680</v>
      </c>
      <c r="BF79" s="45">
        <f>ROUNDUP(IF(R79="Yes",AP79/(2^((BC79)*2)),AP79/(2^(BC79))),0)</f>
        <v>5</v>
      </c>
      <c r="BG79" s="45">
        <f>IF(ISNUMBER(Y79),ROUNDUP(BF79/Y79,0),
  SWITCH(
      Y79,
      "1+0.5C",ROUNDUP(BF79/(1+0.5*VLOOKUP(J81,'Machine Helper Sheet'!$G$1:$K$16,2,FALSE)),0),
      ROUNDUP(BF79/1,0)
  )
)</f>
        <v>5</v>
      </c>
      <c r="BH79" s="45">
        <f>ROUNDUP(BG79/BA79,0)</f>
        <v>5</v>
      </c>
      <c r="BI79" s="46">
        <f>BH79*BE79</f>
        <v>38400</v>
      </c>
      <c r="BK79" s="22"/>
      <c r="BS79" s="6" t="s">
        <v>254</v>
      </c>
      <c r="BT79" s="6">
        <v>-1.0</v>
      </c>
    </row>
    <row r="80">
      <c r="B80" s="141" t="s">
        <v>841</v>
      </c>
      <c r="C80" s="165" t="s">
        <v>53</v>
      </c>
      <c r="D80" s="38">
        <f>1*I81</f>
        <v>1</v>
      </c>
      <c r="E80" s="164" t="s">
        <v>192</v>
      </c>
      <c r="F80" s="42">
        <f>3*I81</f>
        <v>3</v>
      </c>
      <c r="G80" s="43"/>
      <c r="H80" s="99" t="s">
        <v>584</v>
      </c>
      <c r="I80" s="45">
        <f t="array" ref="I80">match(TRUE,ISBLANK(F80:F90),0)-1</f>
        <v>1</v>
      </c>
      <c r="J80" s="100" t="s">
        <v>420</v>
      </c>
      <c r="K80" s="100" t="s">
        <v>585</v>
      </c>
      <c r="L80" s="100" t="s">
        <v>704</v>
      </c>
      <c r="M80" s="38"/>
      <c r="N80" s="38"/>
      <c r="O80" s="38"/>
      <c r="P80" s="38"/>
      <c r="Q80" s="38"/>
      <c r="R80" s="101"/>
      <c r="S80" s="101"/>
      <c r="T80" s="101"/>
      <c r="U80" s="45"/>
      <c r="V80" s="45"/>
      <c r="W80" s="45"/>
      <c r="X80" s="45"/>
      <c r="Y80" s="45"/>
      <c r="Z80" s="45"/>
      <c r="AA80" s="45"/>
      <c r="AB80" s="45"/>
      <c r="AC80" s="45"/>
      <c r="AD80" s="45"/>
      <c r="AE80" s="45"/>
      <c r="AF80" s="45"/>
      <c r="AG80" s="79"/>
      <c r="AH80" s="45"/>
      <c r="AI80" s="45"/>
      <c r="AJ80" s="45"/>
      <c r="AK80" s="45"/>
      <c r="AL80" s="45"/>
      <c r="AM80" s="45"/>
      <c r="AN80" s="45"/>
      <c r="AO80" s="45"/>
      <c r="AP80" s="45"/>
      <c r="AQ80" s="45"/>
      <c r="AR80" s="45"/>
      <c r="AS80" s="45"/>
      <c r="AT80" s="79"/>
      <c r="AU80" s="45"/>
      <c r="AV80" s="45"/>
      <c r="AW80" s="45"/>
      <c r="AX80" s="45"/>
      <c r="AY80" s="45"/>
      <c r="AZ80" s="45"/>
      <c r="BA80" s="45"/>
      <c r="BB80" s="45">
        <f>BB79*AZ79</f>
        <v>120</v>
      </c>
      <c r="BC80" s="45"/>
      <c r="BD80" s="45"/>
      <c r="BE80" s="45"/>
      <c r="BF80" s="45"/>
      <c r="BG80" s="45"/>
      <c r="BH80" s="45"/>
      <c r="BI80" s="46"/>
      <c r="BK80" s="22"/>
      <c r="BS80" s="6" t="s">
        <v>255</v>
      </c>
      <c r="BT80" s="6">
        <v>6.0</v>
      </c>
    </row>
    <row r="81">
      <c r="B81" s="40"/>
      <c r="C81" s="165" t="s">
        <v>201</v>
      </c>
      <c r="D81" s="38">
        <f>1*I81</f>
        <v>1</v>
      </c>
      <c r="E81" s="164"/>
      <c r="F81" s="42"/>
      <c r="G81" s="43"/>
      <c r="H81" s="56" t="s">
        <v>502</v>
      </c>
      <c r="I81" s="166">
        <v>1.0</v>
      </c>
      <c r="J81" s="100" t="s">
        <v>427</v>
      </c>
      <c r="K81" s="100">
        <v>0.0</v>
      </c>
      <c r="L81" s="100">
        <v>0.0</v>
      </c>
      <c r="M81" s="45"/>
      <c r="N81" s="45"/>
      <c r="O81" s="45"/>
      <c r="P81" s="45"/>
      <c r="Q81" s="45"/>
      <c r="R81" s="45"/>
      <c r="S81" s="101"/>
      <c r="T81" s="101"/>
      <c r="U81" s="45"/>
      <c r="V81" s="45"/>
      <c r="W81" s="45"/>
      <c r="X81" s="45"/>
      <c r="Y81" s="45"/>
      <c r="Z81" s="45"/>
      <c r="AA81" s="45"/>
      <c r="AB81" s="45"/>
      <c r="AC81" s="45"/>
      <c r="AD81" s="45"/>
      <c r="AE81" s="45"/>
      <c r="AF81" s="45"/>
      <c r="AG81" s="79"/>
      <c r="AH81" s="45"/>
      <c r="AI81" s="45"/>
      <c r="AJ81" s="45"/>
      <c r="AK81" s="45"/>
      <c r="AL81" s="45"/>
      <c r="AM81" s="45"/>
      <c r="AN81" s="45"/>
      <c r="AO81" s="45"/>
      <c r="AP81" s="45"/>
      <c r="AQ81" s="45"/>
      <c r="AR81" s="45"/>
      <c r="AS81" s="45"/>
      <c r="AT81" s="79"/>
      <c r="AU81" s="45"/>
      <c r="AV81" s="45"/>
      <c r="AW81" s="45"/>
      <c r="AX81" s="45"/>
      <c r="AY81" s="45"/>
      <c r="AZ81" s="45"/>
      <c r="BA81" s="45"/>
      <c r="BB81" s="45"/>
      <c r="BC81" s="45"/>
      <c r="BD81" s="45"/>
      <c r="BE81" s="45"/>
      <c r="BF81" s="45"/>
      <c r="BG81" s="45"/>
      <c r="BH81" s="45"/>
      <c r="BI81" s="46"/>
      <c r="BK81" s="22"/>
    </row>
    <row r="82">
      <c r="B82" s="40"/>
      <c r="C82" s="165" t="s">
        <v>48</v>
      </c>
      <c r="D82" s="38">
        <f>1000*I81</f>
        <v>1000</v>
      </c>
      <c r="E82" s="164"/>
      <c r="F82" s="42"/>
      <c r="G82" s="43"/>
      <c r="H82" s="44"/>
      <c r="I82" s="45"/>
      <c r="J82" s="45"/>
      <c r="K82" s="45"/>
      <c r="L82" s="45"/>
      <c r="M82" s="45"/>
      <c r="N82" s="45"/>
      <c r="O82" s="45"/>
      <c r="P82" s="45"/>
      <c r="Q82" s="45"/>
      <c r="R82" s="45"/>
      <c r="S82" s="101"/>
      <c r="T82" s="101"/>
      <c r="U82" s="45"/>
      <c r="V82" s="45"/>
      <c r="W82" s="45"/>
      <c r="X82" s="45"/>
      <c r="Y82" s="45"/>
      <c r="Z82" s="45"/>
      <c r="AA82" s="45"/>
      <c r="AB82" s="45"/>
      <c r="AC82" s="45"/>
      <c r="AD82" s="45"/>
      <c r="AE82" s="45"/>
      <c r="AF82" s="45"/>
      <c r="AG82" s="79"/>
      <c r="AH82" s="45"/>
      <c r="AI82" s="45"/>
      <c r="AJ82" s="45"/>
      <c r="AK82" s="45"/>
      <c r="AL82" s="45"/>
      <c r="AM82" s="45"/>
      <c r="AN82" s="45"/>
      <c r="AO82" s="45"/>
      <c r="AP82" s="45"/>
      <c r="AQ82" s="45"/>
      <c r="AR82" s="45"/>
      <c r="AS82" s="45"/>
      <c r="AT82" s="79"/>
      <c r="AU82" s="45"/>
      <c r="AV82" s="45"/>
      <c r="AW82" s="45"/>
      <c r="AX82" s="45"/>
      <c r="AY82" s="45"/>
      <c r="AZ82" s="45"/>
      <c r="BA82" s="45"/>
      <c r="BB82" s="45"/>
      <c r="BC82" s="45"/>
      <c r="BD82" s="45"/>
      <c r="BE82" s="45"/>
      <c r="BF82" s="45"/>
      <c r="BG82" s="45"/>
      <c r="BH82" s="45"/>
      <c r="BI82" s="46"/>
      <c r="BK82" s="22"/>
    </row>
    <row r="83">
      <c r="B83" s="135"/>
      <c r="C83" s="136"/>
      <c r="D83" s="137"/>
      <c r="E83" s="137"/>
      <c r="F83" s="137"/>
      <c r="G83" s="138"/>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8"/>
      <c r="AH83" s="137"/>
      <c r="AI83" s="137"/>
      <c r="AJ83" s="137"/>
      <c r="AK83" s="137"/>
      <c r="AL83" s="137"/>
      <c r="AM83" s="137"/>
      <c r="AN83" s="137"/>
      <c r="AO83" s="137"/>
      <c r="AP83" s="137"/>
      <c r="AQ83" s="137"/>
      <c r="AR83" s="137"/>
      <c r="AS83" s="137"/>
      <c r="AT83" s="138"/>
      <c r="AU83" s="137"/>
      <c r="AV83" s="137"/>
      <c r="AW83" s="137"/>
      <c r="AX83" s="137"/>
      <c r="AY83" s="137"/>
      <c r="AZ83" s="137"/>
      <c r="BA83" s="137"/>
      <c r="BB83" s="137"/>
      <c r="BC83" s="137"/>
      <c r="BD83" s="137"/>
      <c r="BE83" s="137"/>
      <c r="BF83" s="137"/>
      <c r="BG83" s="137"/>
      <c r="BH83" s="137"/>
      <c r="BI83" s="139"/>
      <c r="BK83" s="22"/>
    </row>
    <row r="84">
      <c r="B84" s="141" t="s">
        <v>844</v>
      </c>
      <c r="C84" s="142"/>
      <c r="D84" s="143"/>
      <c r="E84" s="143"/>
      <c r="F84" s="144"/>
      <c r="G84" s="145"/>
      <c r="H84" s="167" t="s">
        <v>355</v>
      </c>
      <c r="I84" s="147" t="str">
        <f>VLOOKUP(H84,'Machine List'!$A$1:$I$300,9,FALSE)</f>
        <v>1T</v>
      </c>
      <c r="J84" s="147">
        <f>IF(VLOOKUP(H84,'Machine List'!$A$1:$I$300,5,FALSE)="Multi",IF(VLOOKUP(H84,'Machine List'!$A$1:$I$300,6,FALSE)="Yes",AI84*3*10^AB84,AI84*(2*3)*10^(AB84-1)),0)</f>
        <v>0</v>
      </c>
      <c r="K84" s="147">
        <f>J84+IF(ISNUMBER(I84),I84,
  SWITCH(
      I84,
      "1T",1*10^AB84,
      "2T",2*10^AB84,
      "3T",3*10^AB84,
      "4T",4*10^AB84,
      "4000+500(7O-5)",4000+500*(7*I85-5),
      "13500 + 16C",13500+16*VLOOKUP(J86,'Machine Helper Sheet'!$G$1:$K$16,5,FALSE),
      1
  )
)</f>
        <v>10</v>
      </c>
      <c r="L84" s="147">
        <f>IF(VLOOKUP(H84,'Machine List'!$A$1:$I$300,5,FALSE)="Multi",IF(VLOOKUP(H84,'Machine List'!$A$1:$I$300,6,FALSE)="Yes",AW84*3*10^AV84,AW84*(2*3)*10^(AV84-1)),0)</f>
        <v>0</v>
      </c>
      <c r="M84" s="147">
        <f>L84+IF(ISNUMBER(I84),I84,
  SWITCH(
      I84,
      "1T",1*10^AV84,
      "2T",2*10^AV84,
      "3T",3*10^AV84,
      "4T",4*10^AV84,
      "4000+500(7O-5)",4000+500*(7*I85-5),
      1
  )
)</f>
        <v>100000</v>
      </c>
      <c r="N84" s="147" t="str">
        <f>VLOOKUP(H84,'Machine List'!$A$1:$I$300,8,FALSE)</f>
        <v>Tier</v>
      </c>
      <c r="O84" s="147">
        <f>IF(ISNUMBER(N84),N84,10^AB84)</f>
        <v>10</v>
      </c>
      <c r="P84" s="147">
        <f>IF(ISNUMBER(N84),N84,10^AV84)</f>
        <v>100000</v>
      </c>
      <c r="Q84" s="147">
        <f>VLOOKUP(H84,'Machine List'!$A$1:$B$138,2,FALSE)</f>
        <v>1</v>
      </c>
      <c r="R84" s="147" t="s">
        <v>277</v>
      </c>
      <c r="S84" s="143">
        <f>IF(ISNUMBER(Q84),Q84,
  SWITCH(
      Q84,
      "1",1,
      "2T",AB84*2,
      "4T",AB84*4,
      "6T",AB84*6,
      "8T",AB84*8,
      "10T",AB84*10,
      "12T",AB84*12,
      "14T",AB84*14,
      "16T",AB84*16,
      "24T",AB84*24,
      "2(T+1)",2*(AB84+1),
      "1T*C",AB84*J86,
      "2*P",L86*2,
      1
  )
)</f>
        <v>1</v>
      </c>
      <c r="T84" s="38" t="s">
        <v>277</v>
      </c>
      <c r="U84" s="147">
        <f>IF(OR(T84="No",T84=""),S84,T84)</f>
        <v>1</v>
      </c>
      <c r="V84" s="147">
        <f>IF(ISNUMBER(Q84),Q84,
  SWITCH(
      Q84,
      "1",1,
      "2T",AV84*2,
      "4T",AV84*4,
      "6T",AV84*6,
      "8T",AV84*8,
      "10T",AV84*10,
      "12T",AV84*12,
      "14T",AV84*14,
      "16T",AV84*16,
      "24T",AV84*24,
      "2(T+1)",2*(AV84+1),
      "1T*C",AV84*J86,
      "2*P",L86*2,
      1
  )
)</f>
        <v>1</v>
      </c>
      <c r="W84" s="147" t="str">
        <f>T84</f>
        <v>No</v>
      </c>
      <c r="X84" s="147">
        <f>IF(OR(W84="No",W84=""),V84,W84)</f>
        <v>1</v>
      </c>
      <c r="Y84" s="38">
        <f>VLOOKUP(H84,'Machine List'!$A$1:$C$138,3,FALSE)</f>
        <v>1</v>
      </c>
      <c r="Z84" s="38">
        <f>VLOOKUP(H84,'Machine List'!$A$1:$D$138,4,FALSE)</f>
        <v>1</v>
      </c>
      <c r="AA84" s="168" t="s">
        <v>390</v>
      </c>
      <c r="AB84" s="147">
        <f>VLOOKUP(AA84,'Item Helper Sheet'!$A$2:$B$16,2,FALSE)</f>
        <v>1</v>
      </c>
      <c r="AC84" s="147">
        <v>30.0</v>
      </c>
      <c r="AD84" s="147">
        <f>1.5*20</f>
        <v>30</v>
      </c>
      <c r="AE84" s="147">
        <f>AD84*I86</f>
        <v>30</v>
      </c>
      <c r="AF84" s="147">
        <f>AC84*AE84</f>
        <v>900</v>
      </c>
      <c r="AG84" s="148"/>
      <c r="AH84" s="147" t="str">
        <f>AA84</f>
        <v>01 - LV</v>
      </c>
      <c r="AI84" s="147">
        <v>1.0</v>
      </c>
      <c r="AJ84" s="147">
        <v>1.0</v>
      </c>
      <c r="AK84" s="147">
        <f>AJ84*8*4^AB84</f>
        <v>32</v>
      </c>
      <c r="AL84" s="147">
        <f>MIN(ROUNDDOWN(AK84/AN84,0),U84)</f>
        <v>1</v>
      </c>
      <c r="AM84" s="147">
        <f>IF(OR(T84="No",T84=""),AI84*S84,AI84*T84)</f>
        <v>1</v>
      </c>
      <c r="AN84" s="147">
        <f>ROUNDUP(AC84*VLOOKUP(H84,'Machine List'!$A$2:$D$219,4,FALSE),0)</f>
        <v>30</v>
      </c>
      <c r="AO84" s="147">
        <f>AN84*AM84</f>
        <v>30</v>
      </c>
      <c r="AP84" s="147">
        <f>ROUNDUP(AD84*I86,0)</f>
        <v>30</v>
      </c>
      <c r="AQ84" s="38">
        <f>IF(ISNUMBER(Y84),ROUNDUP(AP84/Y84,0),
  SWITCH(
      Y84,
      "1+0.5C",ROUNDUP(AP84/(1+0.5*VLOOKUP(J86,'Machine Helper Sheet'!$G$1:$K$16,2,FALSE)),0),
      ROUNDUP(AP84/1,0)
  )
)</f>
        <v>30</v>
      </c>
      <c r="AR84" s="147">
        <f>ROUNDUP(AQ84/AM84,0)</f>
        <v>30</v>
      </c>
      <c r="AS84" s="147">
        <f>AO84*AR84</f>
        <v>900</v>
      </c>
      <c r="AT84" s="148"/>
      <c r="AU84" s="168" t="s">
        <v>405</v>
      </c>
      <c r="AV84" s="147">
        <f>VLOOKUP(AU84,'Item Helper Sheet'!$A$2:$B$16,2,FALSE)</f>
        <v>5</v>
      </c>
      <c r="AW84" s="147">
        <f>AI84</f>
        <v>1</v>
      </c>
      <c r="AX84" s="147">
        <v>1.0</v>
      </c>
      <c r="AY84" s="147">
        <f>AX84*8*4^AV84</f>
        <v>8192</v>
      </c>
      <c r="AZ84" s="147">
        <f>MIN(ROUNDDOWN(AY84/AN84,0),X84)</f>
        <v>1</v>
      </c>
      <c r="BA84" s="147">
        <f>AZ84*AW84</f>
        <v>1</v>
      </c>
      <c r="BB84" s="147">
        <f>AN84</f>
        <v>30</v>
      </c>
      <c r="BC84" s="147">
        <f>MIN(AV84-AB84,IF(AY84&gt;=BB85*4,
IF(AY84&gt;=BB85*4^2,
IF(AY84&gt;=BB85*4^3,
IF(AY84&gt;=BB85*4^4,
IF(AY84&gt;=BB85*4^5,
IF(AY84&gt;=BB85*4^6,
IF(AY84&gt;=BB85*4^7,
IF(AY84&gt;=BB85*4^8,
IF(AY84&gt;=BB85*4^9,
IF(AY84&gt;=BB85*4^10,
9),
8),
7),
6),
5),
4),
3),
2),
1),
0))</f>
        <v>4</v>
      </c>
      <c r="BD84" s="147">
        <f>BB84*AZ84*4^BC84</f>
        <v>7680</v>
      </c>
      <c r="BE84" s="147">
        <f>BD84*AW84</f>
        <v>7680</v>
      </c>
      <c r="BF84" s="143">
        <f>ROUNDUP(IF(R84="Yes",AP84/(2^((BC84)*2)),AP84/(2^(BC84))),0)</f>
        <v>2</v>
      </c>
      <c r="BG84" s="45">
        <f>IF(ISNUMBER(Y84),ROUNDUP(BF84/Y84,0),
  SWITCH(
      Y84,
      "1+0.5C",ROUNDUP(BF84/(1+0.5*VLOOKUP(J86,'Machine Helper Sheet'!$G$1:$K$16,2,FALSE)),0),
      ROUNDUP(BF84/1,0)
  )
)</f>
        <v>2</v>
      </c>
      <c r="BH84" s="143">
        <f>ROUNDUP(BG84/BA84,0)</f>
        <v>2</v>
      </c>
      <c r="BI84" s="149">
        <f>BH84*BE84</f>
        <v>15360</v>
      </c>
      <c r="BK84" s="22"/>
    </row>
    <row r="85">
      <c r="B85" s="141" t="s">
        <v>841</v>
      </c>
      <c r="C85" s="169" t="s">
        <v>192</v>
      </c>
      <c r="D85" s="147">
        <f>1*I86</f>
        <v>1</v>
      </c>
      <c r="E85" s="168" t="s">
        <v>193</v>
      </c>
      <c r="F85" s="152">
        <f>200*I86</f>
        <v>200</v>
      </c>
      <c r="G85" s="138"/>
      <c r="H85" s="153" t="s">
        <v>584</v>
      </c>
      <c r="I85" s="45">
        <f t="array" ref="I85">match(TRUE,ISBLANK(F85:F97),0)-1</f>
        <v>1</v>
      </c>
      <c r="J85" s="154" t="s">
        <v>420</v>
      </c>
      <c r="K85" s="154" t="s">
        <v>585</v>
      </c>
      <c r="L85" s="100" t="s">
        <v>704</v>
      </c>
      <c r="M85" s="147"/>
      <c r="N85" s="147"/>
      <c r="O85" s="147"/>
      <c r="P85" s="147"/>
      <c r="Q85" s="147"/>
      <c r="R85" s="155"/>
      <c r="S85" s="155"/>
      <c r="T85" s="155"/>
      <c r="U85" s="143"/>
      <c r="V85" s="143"/>
      <c r="W85" s="143"/>
      <c r="X85" s="143"/>
      <c r="Y85" s="143"/>
      <c r="Z85" s="143"/>
      <c r="AA85" s="143"/>
      <c r="AB85" s="143"/>
      <c r="AC85" s="143"/>
      <c r="AD85" s="143"/>
      <c r="AE85" s="143"/>
      <c r="AF85" s="143"/>
      <c r="AG85" s="156"/>
      <c r="AH85" s="143"/>
      <c r="AI85" s="143"/>
      <c r="AJ85" s="143"/>
      <c r="AK85" s="143"/>
      <c r="AL85" s="143"/>
      <c r="AM85" s="143"/>
      <c r="AN85" s="143"/>
      <c r="AO85" s="143"/>
      <c r="AP85" s="143"/>
      <c r="AQ85" s="143"/>
      <c r="AR85" s="143"/>
      <c r="AS85" s="143"/>
      <c r="AT85" s="156"/>
      <c r="AU85" s="143"/>
      <c r="AV85" s="143"/>
      <c r="AW85" s="143"/>
      <c r="AX85" s="143"/>
      <c r="AY85" s="143"/>
      <c r="AZ85" s="143"/>
      <c r="BA85" s="143"/>
      <c r="BB85" s="143">
        <f>BB84*AZ84</f>
        <v>30</v>
      </c>
      <c r="BC85" s="143"/>
      <c r="BD85" s="143"/>
      <c r="BE85" s="143"/>
      <c r="BF85" s="143"/>
      <c r="BG85" s="143"/>
      <c r="BH85" s="143"/>
      <c r="BI85" s="149"/>
      <c r="BK85" s="22"/>
    </row>
    <row r="86">
      <c r="B86" s="150"/>
      <c r="C86" s="169" t="s">
        <v>248</v>
      </c>
      <c r="D86" s="147">
        <f>200*I86</f>
        <v>200</v>
      </c>
      <c r="E86" s="168"/>
      <c r="F86" s="152"/>
      <c r="G86" s="138"/>
      <c r="H86" s="157" t="s">
        <v>502</v>
      </c>
      <c r="I86" s="170">
        <v>1.0</v>
      </c>
      <c r="J86" s="154" t="s">
        <v>424</v>
      </c>
      <c r="K86" s="154">
        <v>0.0</v>
      </c>
      <c r="L86" s="100">
        <v>0.0</v>
      </c>
      <c r="M86" s="143"/>
      <c r="N86" s="143"/>
      <c r="O86" s="143"/>
      <c r="P86" s="143"/>
      <c r="Q86" s="143"/>
      <c r="R86" s="143"/>
      <c r="S86" s="155"/>
      <c r="T86" s="155"/>
      <c r="U86" s="143"/>
      <c r="V86" s="143"/>
      <c r="W86" s="143"/>
      <c r="X86" s="143"/>
      <c r="Y86" s="143"/>
      <c r="Z86" s="143"/>
      <c r="AA86" s="143"/>
      <c r="AB86" s="143"/>
      <c r="AC86" s="143"/>
      <c r="AD86" s="143"/>
      <c r="AE86" s="143"/>
      <c r="AF86" s="143"/>
      <c r="AG86" s="156"/>
      <c r="AH86" s="143"/>
      <c r="AI86" s="143"/>
      <c r="AJ86" s="143"/>
      <c r="AK86" s="143"/>
      <c r="AL86" s="143"/>
      <c r="AM86" s="143"/>
      <c r="AN86" s="143"/>
      <c r="AO86" s="143"/>
      <c r="AP86" s="143"/>
      <c r="AQ86" s="143"/>
      <c r="AR86" s="143"/>
      <c r="AS86" s="143"/>
      <c r="AT86" s="156"/>
      <c r="AU86" s="143"/>
      <c r="AV86" s="143"/>
      <c r="AW86" s="143"/>
      <c r="AX86" s="143"/>
      <c r="AY86" s="143"/>
      <c r="AZ86" s="143"/>
      <c r="BA86" s="143"/>
      <c r="BB86" s="143"/>
      <c r="BC86" s="143"/>
      <c r="BD86" s="143"/>
      <c r="BE86" s="143"/>
      <c r="BF86" s="143"/>
      <c r="BG86" s="143"/>
      <c r="BH86" s="143"/>
      <c r="BI86" s="149"/>
      <c r="BK86" s="22"/>
    </row>
    <row r="87">
      <c r="B87" s="135"/>
      <c r="C87" s="136"/>
      <c r="D87" s="137"/>
      <c r="E87" s="137"/>
      <c r="F87" s="137"/>
      <c r="G87" s="138"/>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8"/>
      <c r="AH87" s="137"/>
      <c r="AI87" s="137"/>
      <c r="AJ87" s="137"/>
      <c r="AK87" s="137"/>
      <c r="AL87" s="137"/>
      <c r="AM87" s="137"/>
      <c r="AN87" s="137"/>
      <c r="AO87" s="137"/>
      <c r="AP87" s="137"/>
      <c r="AQ87" s="137"/>
      <c r="AR87" s="137"/>
      <c r="AS87" s="137"/>
      <c r="AT87" s="138"/>
      <c r="AU87" s="137"/>
      <c r="AV87" s="137"/>
      <c r="AW87" s="137"/>
      <c r="AX87" s="137"/>
      <c r="AY87" s="137"/>
      <c r="AZ87" s="137"/>
      <c r="BA87" s="137"/>
      <c r="BB87" s="137"/>
      <c r="BC87" s="137"/>
      <c r="BD87" s="137"/>
      <c r="BE87" s="137"/>
      <c r="BF87" s="137"/>
      <c r="BG87" s="137"/>
      <c r="BH87" s="137"/>
      <c r="BI87" s="139"/>
      <c r="BK87" s="22"/>
    </row>
    <row r="88">
      <c r="B88" s="31" t="s">
        <v>845</v>
      </c>
      <c r="C88" s="54"/>
      <c r="D88" s="45"/>
      <c r="E88" s="45"/>
      <c r="F88" s="47"/>
      <c r="G88" s="35"/>
      <c r="H88" s="163" t="s">
        <v>349</v>
      </c>
      <c r="I88" s="38">
        <f>VLOOKUP(H88,'Machine List'!$A$1:$I$300,9,FALSE)</f>
        <v>4000</v>
      </c>
      <c r="J88" s="38">
        <f>IF(VLOOKUP(H88,'Machine List'!$A$1:$I$300,5,FALSE)="Multi",IF(VLOOKUP(H88,'Machine List'!$A$1:$I$300,6,FALSE)="Yes",AI88*3*10^AB88,AI88*(2*3)*10^(AB88-1)),0)</f>
        <v>6</v>
      </c>
      <c r="K88" s="38">
        <f>J88+IF(ISNUMBER(I88),I88,
  SWITCH(
      I88,
      "1T",1*10^AB88,
      "2T",2*10^AB88,
      "3T",3*10^AB88,
      "4T",4*10^AB88,
      "4000+500(7O-5)",4000+500*(7*I89-5),
      "13500 + 16C",13500+16*VLOOKUP(J90,'Machine Helper Sheet'!$G$1:$K$16,5,FALSE),
      1
  )
)</f>
        <v>4006</v>
      </c>
      <c r="L88" s="38">
        <f>IF(VLOOKUP(H88,'Machine List'!$A$1:$I$300,5,FALSE)="Multi",IF(VLOOKUP(H88,'Machine List'!$A$1:$I$300,6,FALSE)="Yes",AW88*3*10^AV88,AW88*(2*3)*10^(AV88-1)),0)</f>
        <v>60000</v>
      </c>
      <c r="M88" s="38">
        <f>L88+IF(ISNUMBER(I88),I88,
  SWITCH(
      I88,
      "1T",1*10^AV88,
      "2T",2*10^AV88,
      "3T",3*10^AV88,
      "4T",4*10^AV88,
      "4000+500(7O-5)",4000+500*(7*I89-5),
      1
  )
)</f>
        <v>64000</v>
      </c>
      <c r="N88" s="38" t="str">
        <f>VLOOKUP(H88,'Machine List'!$A$1:$I$300,8,FALSE)</f>
        <v>Tier</v>
      </c>
      <c r="O88" s="38">
        <f>IF(ISNUMBER(N88),N88,10^AB88)</f>
        <v>10</v>
      </c>
      <c r="P88" s="38">
        <f>IF(ISNUMBER(N88),N88,10^AV88)</f>
        <v>100000</v>
      </c>
      <c r="Q88" s="38">
        <f>VLOOKUP(H88,'Machine List'!$A$1:$B$138,2,FALSE)</f>
        <v>1</v>
      </c>
      <c r="R88" s="164" t="s">
        <v>594</v>
      </c>
      <c r="S88" s="45">
        <f>IF(ISNUMBER(Q88),Q88,
  SWITCH(
      Q88,
      "1",1,
      "2T",AB88*2,
      "4T",AB88*4,
      "6T",AB88*6,
      "8T",AB88*8,
      "10T",AB88*10,
      "12T",AB88*12,
      "14T",AB88*14,
      "16T",AB88*16,
      "24T",AB88*24,
      "2(T+1)",2*(AB88+1),
      "1T*C",AB88*J90,
      "2*P",L90*2,
      1
  )
)</f>
        <v>1</v>
      </c>
      <c r="T88" s="38" t="s">
        <v>277</v>
      </c>
      <c r="U88" s="38">
        <f>IF(OR(T88="No",T88=""),S88,T88)</f>
        <v>1</v>
      </c>
      <c r="V88" s="38">
        <f>IF(ISNUMBER(Q88),Q88,
  SWITCH(
      Q88,
      "1",1,
      "2T",AV88*2,
      "4T",AV88*4,
      "6T",AV88*6,
      "8T",AV88*8,
      "10T",AV88*10,
      "12T",AV88*12,
      "14T",AV88*14,
      "16T",AV88*16,
      "24T",AV88*24,
      "2(T+1)",2*(AV88+1),
      "1T*C",AV88*J90,
      "2*P",L90*2,
      1
  )
)</f>
        <v>1</v>
      </c>
      <c r="W88" s="38" t="str">
        <f>T88</f>
        <v>No</v>
      </c>
      <c r="X88" s="38">
        <f>IF(OR(W88="No",W88=""),V88,W88)</f>
        <v>1</v>
      </c>
      <c r="Y88" s="38">
        <f>VLOOKUP(H88,'Machine List'!$A$1:$C$138,3,FALSE)</f>
        <v>1</v>
      </c>
      <c r="Z88" s="38">
        <f>VLOOKUP(H88,'Machine List'!$A$1:$D$138,4,FALSE)</f>
        <v>1</v>
      </c>
      <c r="AA88" s="164" t="s">
        <v>390</v>
      </c>
      <c r="AB88" s="38">
        <f>VLOOKUP(AA88,'Item Helper Sheet'!$A$2:$B$16,2,FALSE)</f>
        <v>1</v>
      </c>
      <c r="AC88" s="164">
        <v>30.0</v>
      </c>
      <c r="AD88" s="38">
        <f>15*20</f>
        <v>300</v>
      </c>
      <c r="AE88" s="38">
        <f>AD88*I90</f>
        <v>300</v>
      </c>
      <c r="AF88" s="38">
        <f>AC88*AE88</f>
        <v>9000</v>
      </c>
      <c r="AG88" s="75"/>
      <c r="AH88" s="38" t="str">
        <f>AA88</f>
        <v>01 - LV</v>
      </c>
      <c r="AI88" s="38">
        <v>1.0</v>
      </c>
      <c r="AJ88" s="38">
        <v>1.0</v>
      </c>
      <c r="AK88" s="38">
        <f>AJ88*8*4^AB88</f>
        <v>32</v>
      </c>
      <c r="AL88" s="38">
        <f>MIN(ROUNDDOWN(AK88/AN88,0),U88)</f>
        <v>1</v>
      </c>
      <c r="AM88" s="38">
        <f>IF(OR(T88="No",T88=""),AI88*S88,AI88*T88)</f>
        <v>1</v>
      </c>
      <c r="AN88" s="38">
        <f>ROUNDUP(AC88*VLOOKUP(H88,'Machine List'!$A$2:$D$219,4,FALSE),0)</f>
        <v>30</v>
      </c>
      <c r="AO88" s="38">
        <f>AN88*AM88</f>
        <v>30</v>
      </c>
      <c r="AP88" s="38">
        <f>ROUNDUP(AD88*I90,0)</f>
        <v>300</v>
      </c>
      <c r="AQ88" s="38">
        <f>IF(ISNUMBER(Y88),ROUNDUP(AP88/Y88,0),
  SWITCH(
      Y88,
      "1+0.5C",ROUNDUP(AP88/(1+0.5*VLOOKUP(J90,'Machine Helper Sheet'!$G$1:$K$16,2,FALSE)),0),
      ROUNDUP(AP88/1,0)
  )
)</f>
        <v>300</v>
      </c>
      <c r="AR88" s="38">
        <f>ROUNDUP(AQ88/AM88,0)</f>
        <v>300</v>
      </c>
      <c r="AS88" s="38">
        <f>AO88*AR88</f>
        <v>9000</v>
      </c>
      <c r="AT88" s="75"/>
      <c r="AU88" s="164" t="s">
        <v>405</v>
      </c>
      <c r="AV88" s="38">
        <f>VLOOKUP(AU88,'Item Helper Sheet'!$A$2:$B$16,2,FALSE)</f>
        <v>5</v>
      </c>
      <c r="AW88" s="38">
        <f>AI88</f>
        <v>1</v>
      </c>
      <c r="AX88" s="38">
        <v>1.0</v>
      </c>
      <c r="AY88" s="38">
        <f>AX88*8*4^AV88</f>
        <v>8192</v>
      </c>
      <c r="AZ88" s="38">
        <f>MIN(ROUNDDOWN(AY88/AN88,0),X88)</f>
        <v>1</v>
      </c>
      <c r="BA88" s="38">
        <f>AZ88*AW88</f>
        <v>1</v>
      </c>
      <c r="BB88" s="38">
        <f>AN88</f>
        <v>30</v>
      </c>
      <c r="BC88" s="38">
        <f>MIN(AV88-AB88,IF(AY88&gt;=BB89*4,
IF(AY88&gt;=BB89*4^2,
IF(AY88&gt;=BB89*4^3,
IF(AY88&gt;=BB89*4^4,
IF(AY88&gt;=BB89*4^5,
IF(AY88&gt;=BB89*4^6,
IF(AY88&gt;=BB89*4^7,
IF(AY88&gt;=BB89*4^8,
IF(AY88&gt;=BB89*4^9,
IF(AY88&gt;=BB89*4^10,
9),
8),
7),
6),
5),
4),
3),
2),
1),
0))</f>
        <v>4</v>
      </c>
      <c r="BD88" s="38">
        <f>BB88*AZ88*4^BC88</f>
        <v>7680</v>
      </c>
      <c r="BE88" s="38">
        <f>BD88*AW88</f>
        <v>7680</v>
      </c>
      <c r="BF88" s="45">
        <f>ROUNDUP(IF(R88="Yes",AP88/(2^((BC88)*2)),AP88/(2^(BC88))),0)</f>
        <v>2</v>
      </c>
      <c r="BG88" s="45">
        <f>IF(ISNUMBER(Y88),ROUNDUP(BF88/Y88,0),
  SWITCH(
      Y88,
      "1+0.5C",ROUNDUP(BF88/(1+0.5*VLOOKUP(J90,'Machine Helper Sheet'!$G$1:$K$16,2,FALSE)),0),
      ROUNDUP(BF88/1,0)
  )
)</f>
        <v>2</v>
      </c>
      <c r="BH88" s="45">
        <f>ROUNDUP(BG88/BA88,0)</f>
        <v>2</v>
      </c>
      <c r="BI88" s="46">
        <f>BH88*BE88</f>
        <v>15360</v>
      </c>
      <c r="BK88" s="22"/>
    </row>
    <row r="89">
      <c r="B89" s="141" t="s">
        <v>841</v>
      </c>
      <c r="C89" s="165" t="s">
        <v>217</v>
      </c>
      <c r="D89" s="38">
        <f>5*I90</f>
        <v>5</v>
      </c>
      <c r="E89" s="164" t="s">
        <v>191</v>
      </c>
      <c r="F89" s="42">
        <f>1*I90</f>
        <v>1</v>
      </c>
      <c r="G89" s="43"/>
      <c r="H89" s="99" t="s">
        <v>584</v>
      </c>
      <c r="I89" s="45">
        <f t="array" ref="I89">match(TRUE,ISBLANK(F89:F99),0)-1</f>
        <v>2</v>
      </c>
      <c r="J89" s="100" t="s">
        <v>420</v>
      </c>
      <c r="K89" s="100" t="s">
        <v>585</v>
      </c>
      <c r="L89" s="100" t="s">
        <v>704</v>
      </c>
      <c r="M89" s="38"/>
      <c r="N89" s="38"/>
      <c r="O89" s="38"/>
      <c r="P89" s="38"/>
      <c r="Q89" s="38"/>
      <c r="R89" s="101"/>
      <c r="S89" s="101"/>
      <c r="T89" s="101"/>
      <c r="U89" s="45"/>
      <c r="V89" s="45"/>
      <c r="W89" s="45"/>
      <c r="X89" s="45"/>
      <c r="Y89" s="45"/>
      <c r="Z89" s="45"/>
      <c r="AA89" s="45"/>
      <c r="AB89" s="45"/>
      <c r="AC89" s="45"/>
      <c r="AD89" s="45"/>
      <c r="AE89" s="45"/>
      <c r="AF89" s="45"/>
      <c r="AG89" s="79"/>
      <c r="AH89" s="45"/>
      <c r="AI89" s="45"/>
      <c r="AJ89" s="45"/>
      <c r="AK89" s="45"/>
      <c r="AL89" s="45"/>
      <c r="AM89" s="45"/>
      <c r="AN89" s="45"/>
      <c r="AO89" s="45"/>
      <c r="AP89" s="45"/>
      <c r="AQ89" s="45"/>
      <c r="AR89" s="45"/>
      <c r="AS89" s="45"/>
      <c r="AT89" s="79"/>
      <c r="AU89" s="45"/>
      <c r="AV89" s="45"/>
      <c r="AW89" s="45"/>
      <c r="AX89" s="45"/>
      <c r="AY89" s="45"/>
      <c r="AZ89" s="45"/>
      <c r="BA89" s="45"/>
      <c r="BB89" s="45">
        <f>BB88*AZ88</f>
        <v>30</v>
      </c>
      <c r="BC89" s="45"/>
      <c r="BD89" s="45"/>
      <c r="BE89" s="45"/>
      <c r="BF89" s="45"/>
      <c r="BG89" s="45"/>
      <c r="BH89" s="45"/>
      <c r="BI89" s="46"/>
      <c r="BK89" s="22"/>
    </row>
    <row r="90">
      <c r="B90" s="40"/>
      <c r="C90" s="165" t="s">
        <v>193</v>
      </c>
      <c r="D90" s="38">
        <f>1000*I90</f>
        <v>1000</v>
      </c>
      <c r="E90" s="164" t="s">
        <v>201</v>
      </c>
      <c r="F90" s="42">
        <f>2*I90</f>
        <v>2</v>
      </c>
      <c r="G90" s="43"/>
      <c r="H90" s="56" t="s">
        <v>502</v>
      </c>
      <c r="I90" s="166">
        <v>1.0</v>
      </c>
      <c r="J90" s="100" t="s">
        <v>424</v>
      </c>
      <c r="K90" s="100">
        <v>0.0</v>
      </c>
      <c r="L90" s="100">
        <v>0.0</v>
      </c>
      <c r="M90" s="45"/>
      <c r="N90" s="45"/>
      <c r="O90" s="45"/>
      <c r="P90" s="45"/>
      <c r="Q90" s="45"/>
      <c r="R90" s="45"/>
      <c r="S90" s="101"/>
      <c r="T90" s="101"/>
      <c r="U90" s="45"/>
      <c r="V90" s="45"/>
      <c r="W90" s="45"/>
      <c r="X90" s="45"/>
      <c r="Y90" s="45"/>
      <c r="Z90" s="45"/>
      <c r="AA90" s="45"/>
      <c r="AB90" s="45"/>
      <c r="AC90" s="45"/>
      <c r="AD90" s="45"/>
      <c r="AE90" s="45"/>
      <c r="AF90" s="45"/>
      <c r="AG90" s="79"/>
      <c r="AH90" s="45"/>
      <c r="AI90" s="45"/>
      <c r="AJ90" s="45"/>
      <c r="AK90" s="45"/>
      <c r="AL90" s="45"/>
      <c r="AM90" s="45"/>
      <c r="AN90" s="45"/>
      <c r="AO90" s="45"/>
      <c r="AP90" s="45"/>
      <c r="AQ90" s="45"/>
      <c r="AR90" s="45"/>
      <c r="AS90" s="45"/>
      <c r="AT90" s="79"/>
      <c r="AU90" s="45"/>
      <c r="AV90" s="45"/>
      <c r="AW90" s="45"/>
      <c r="AX90" s="45"/>
      <c r="AY90" s="45"/>
      <c r="AZ90" s="45"/>
      <c r="BA90" s="45"/>
      <c r="BB90" s="45"/>
      <c r="BC90" s="45"/>
      <c r="BD90" s="45"/>
      <c r="BE90" s="45"/>
      <c r="BF90" s="45"/>
      <c r="BG90" s="45"/>
      <c r="BH90" s="45"/>
      <c r="BI90" s="46"/>
      <c r="BK90" s="22"/>
    </row>
    <row r="91">
      <c r="B91" s="135"/>
      <c r="C91" s="136"/>
      <c r="D91" s="137"/>
      <c r="E91" s="137"/>
      <c r="F91" s="137"/>
      <c r="G91" s="138"/>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8"/>
      <c r="AH91" s="137"/>
      <c r="AI91" s="137"/>
      <c r="AJ91" s="137"/>
      <c r="AK91" s="137"/>
      <c r="AL91" s="137"/>
      <c r="AM91" s="137"/>
      <c r="AN91" s="137"/>
      <c r="AO91" s="137"/>
      <c r="AP91" s="137"/>
      <c r="AQ91" s="137"/>
      <c r="AR91" s="137"/>
      <c r="AS91" s="137"/>
      <c r="AT91" s="138"/>
      <c r="AU91" s="137"/>
      <c r="AV91" s="137"/>
      <c r="AW91" s="137"/>
      <c r="AX91" s="137"/>
      <c r="AY91" s="137"/>
      <c r="AZ91" s="137"/>
      <c r="BA91" s="137"/>
      <c r="BB91" s="137"/>
      <c r="BC91" s="137"/>
      <c r="BD91" s="137"/>
      <c r="BE91" s="137"/>
      <c r="BF91" s="137"/>
      <c r="BG91" s="137"/>
      <c r="BH91" s="137"/>
      <c r="BI91" s="139"/>
      <c r="BK91" s="22"/>
    </row>
    <row r="92">
      <c r="B92" s="141" t="s">
        <v>846</v>
      </c>
      <c r="C92" s="142"/>
      <c r="D92" s="143"/>
      <c r="E92" s="143"/>
      <c r="F92" s="144"/>
      <c r="G92" s="145"/>
      <c r="H92" s="167" t="s">
        <v>368</v>
      </c>
      <c r="I92" s="147" t="str">
        <f>VLOOKUP(H92,'Machine List'!$A$1:$I$300,9,FALSE)</f>
        <v>1T</v>
      </c>
      <c r="J92" s="147">
        <f>IF(VLOOKUP(H92,'Machine List'!$A$1:$I$300,5,FALSE)="Multi",IF(VLOOKUP(H92,'Machine List'!$A$1:$I$300,6,FALSE)="Yes",AI92*3*10^AB92,AI92*(2*3)*10^(AB92-1)),0)</f>
        <v>0</v>
      </c>
      <c r="K92" s="147">
        <f>J92+IF(ISNUMBER(I92),I92,
  SWITCH(
      I92,
      "1T",1*10^AB92,
      "2T",2*10^AB92,
      "3T",3*10^AB92,
      "4T",4*10^AB92,
      "4000+500(7O-5)",4000+500*(7*I93-5),
      "13500 + 16C",13500+16*VLOOKUP(J94,'Machine Helper Sheet'!$G$1:$K$16,5,FALSE),
      1
  )
)</f>
        <v>10</v>
      </c>
      <c r="L92" s="147">
        <f>IF(VLOOKUP(H92,'Machine List'!$A$1:$I$300,5,FALSE)="Multi",IF(VLOOKUP(H92,'Machine List'!$A$1:$I$300,6,FALSE)="Yes",AW92*3*10^AV92,AW92*(2*3)*10^(AV92-1)),0)</f>
        <v>0</v>
      </c>
      <c r="M92" s="147">
        <f>L92+IF(ISNUMBER(I92),I92,
  SWITCH(
      I92,
      "1T",1*10^AV92,
      "2T",2*10^AV92,
      "3T",3*10^AV92,
      "4T",4*10^AV92,
      "4000+500(7O-5)",4000+500*(7*I93-5),
      1
  )
)</f>
        <v>100000</v>
      </c>
      <c r="N92" s="147" t="str">
        <f>VLOOKUP(H92,'Machine List'!$A$1:$I$300,8,FALSE)</f>
        <v>Tier</v>
      </c>
      <c r="O92" s="147">
        <f>IF(ISNUMBER(N92),N92,10^AB92)</f>
        <v>10</v>
      </c>
      <c r="P92" s="147">
        <f>IF(ISNUMBER(N92),N92,10^AV92)</f>
        <v>100000</v>
      </c>
      <c r="Q92" s="147">
        <f>VLOOKUP(H92,'Machine List'!$A$1:$B$138,2,FALSE)</f>
        <v>1</v>
      </c>
      <c r="R92" s="147" t="s">
        <v>277</v>
      </c>
      <c r="S92" s="143">
        <f>IF(ISNUMBER(Q92),Q92,
  SWITCH(
      Q92,
      "1",1,
      "2T",AB92*2,
      "4T",AB92*4,
      "6T",AB92*6,
      "8T",AB92*8,
      "10T",AB92*10,
      "12T",AB92*12,
      "14T",AB92*14,
      "16T",AB92*16,
      "24T",AB92*24,
      "2(T+1)",2*(AB92+1),
      "1T*C",AB92*J94,
      "2*P",L94*2,
      1
  )
)</f>
        <v>1</v>
      </c>
      <c r="T92" s="38" t="s">
        <v>277</v>
      </c>
      <c r="U92" s="147">
        <f>IF(OR(T92="No",T92=""),S92,T92)</f>
        <v>1</v>
      </c>
      <c r="V92" s="147">
        <f>IF(ISNUMBER(Q92),Q92,
  SWITCH(
      Q92,
      "1",1,
      "2T",AV92*2,
      "4T",AV92*4,
      "6T",AV92*6,
      "8T",AV92*8,
      "10T",AV92*10,
      "12T",AV92*12,
      "14T",AV92*14,
      "16T",AV92*16,
      "24T",AV92*24,
      "2(T+1)",2*(AV92+1),
      "1T*C",AV92*J94,
      "2*P",L94*2,
      1
  )
)</f>
        <v>1</v>
      </c>
      <c r="W92" s="147" t="str">
        <f>T92</f>
        <v>No</v>
      </c>
      <c r="X92" s="147">
        <f>IF(OR(W92="No",W92=""),V92,W92)</f>
        <v>1</v>
      </c>
      <c r="Y92" s="38">
        <f>VLOOKUP(H92,'Machine List'!$A$1:$C$138,3,FALSE)</f>
        <v>1</v>
      </c>
      <c r="Z92" s="38">
        <f>VLOOKUP(H92,'Machine List'!$A$1:$D$138,4,FALSE)</f>
        <v>1</v>
      </c>
      <c r="AA92" s="168" t="s">
        <v>390</v>
      </c>
      <c r="AB92" s="147">
        <f>VLOOKUP(AA92,'Item Helper Sheet'!$A$2:$B$16,2,FALSE)</f>
        <v>1</v>
      </c>
      <c r="AC92" s="147">
        <v>30.0</v>
      </c>
      <c r="AD92" s="147">
        <f>30*20</f>
        <v>600</v>
      </c>
      <c r="AE92" s="147">
        <f>AD92*I94</f>
        <v>600</v>
      </c>
      <c r="AF92" s="147">
        <f>AC92*AE92</f>
        <v>18000</v>
      </c>
      <c r="AG92" s="148"/>
      <c r="AH92" s="147" t="str">
        <f>AA92</f>
        <v>01 - LV</v>
      </c>
      <c r="AI92" s="147">
        <v>1.0</v>
      </c>
      <c r="AJ92" s="147">
        <v>1.0</v>
      </c>
      <c r="AK92" s="147">
        <f>AJ92*8*4^AB92</f>
        <v>32</v>
      </c>
      <c r="AL92" s="147">
        <f>MIN(ROUNDDOWN(AK92/AN92,0),U92)</f>
        <v>1</v>
      </c>
      <c r="AM92" s="147">
        <f>IF(OR(T92="No",T92=""),AI92*S92,AI92*T92)</f>
        <v>1</v>
      </c>
      <c r="AN92" s="147">
        <f>ROUNDUP(AC92*VLOOKUP(H92,'Machine List'!$A$2:$D$219,4,FALSE),0)</f>
        <v>30</v>
      </c>
      <c r="AO92" s="147">
        <f>AN92*AM92</f>
        <v>30</v>
      </c>
      <c r="AP92" s="147">
        <f>ROUNDUP(AD92*I94,0)</f>
        <v>600</v>
      </c>
      <c r="AQ92" s="38">
        <f>IF(ISNUMBER(Y92),ROUNDUP(AP92/Y92,0),
  SWITCH(
      Y92,
      "1+0.5C",ROUNDUP(AP92/(1+0.5*VLOOKUP(J94,'Machine Helper Sheet'!$G$1:$K$16,2,FALSE)),0),
      ROUNDUP(AP92/1,0)
  )
)</f>
        <v>600</v>
      </c>
      <c r="AR92" s="147">
        <f>ROUNDUP(AQ92/AM92,0)</f>
        <v>600</v>
      </c>
      <c r="AS92" s="147">
        <f>AO92*AR92</f>
        <v>18000</v>
      </c>
      <c r="AT92" s="148"/>
      <c r="AU92" s="168" t="s">
        <v>405</v>
      </c>
      <c r="AV92" s="147">
        <f>VLOOKUP(AU92,'Item Helper Sheet'!$A$2:$B$16,2,FALSE)</f>
        <v>5</v>
      </c>
      <c r="AW92" s="147">
        <f>AI92</f>
        <v>1</v>
      </c>
      <c r="AX92" s="147">
        <v>1.0</v>
      </c>
      <c r="AY92" s="147">
        <f>AX92*8*4^AV92</f>
        <v>8192</v>
      </c>
      <c r="AZ92" s="147">
        <f>MIN(ROUNDDOWN(AY92/AN92,0),X92)</f>
        <v>1</v>
      </c>
      <c r="BA92" s="147">
        <f>AZ92*AW92</f>
        <v>1</v>
      </c>
      <c r="BB92" s="147">
        <f>AN92</f>
        <v>30</v>
      </c>
      <c r="BC92" s="147">
        <f>MIN(AV92-AB92,IF(AY92&gt;=BB93*4,
IF(AY92&gt;=BB93*4^2,
IF(AY92&gt;=BB93*4^3,
IF(AY92&gt;=BB93*4^4,
IF(AY92&gt;=BB93*4^5,
IF(AY92&gt;=BB93*4^6,
IF(AY92&gt;=BB93*4^7,
IF(AY92&gt;=BB93*4^8,
IF(AY92&gt;=BB93*4^9,
IF(AY92&gt;=BB93*4^10,
9),
8),
7),
6),
5),
4),
3),
2),
1),
0))</f>
        <v>4</v>
      </c>
      <c r="BD92" s="147">
        <f>BB92*AZ92*4^BC92</f>
        <v>7680</v>
      </c>
      <c r="BE92" s="147">
        <f>BD92*AW92</f>
        <v>7680</v>
      </c>
      <c r="BF92" s="143">
        <f>ROUNDUP(IF(R92="Yes",AP92/(2^((BC92)*2)),AP92/(2^(BC92))),0)</f>
        <v>38</v>
      </c>
      <c r="BG92" s="45">
        <f>IF(ISNUMBER(Y92),ROUNDUP(BF92/Y92,0),
  SWITCH(
      Y92,
      "1+0.5C",ROUNDUP(BF92/(1+0.5*VLOOKUP(J94,'Machine Helper Sheet'!$G$1:$K$16,2,FALSE)),0),
      ROUNDUP(BF92/1,0)
  )
)</f>
        <v>38</v>
      </c>
      <c r="BH92" s="143">
        <f>ROUNDUP(BG92/BA92,0)</f>
        <v>38</v>
      </c>
      <c r="BI92" s="149">
        <f>BH92*BE92</f>
        <v>291840</v>
      </c>
      <c r="BK92" s="22"/>
    </row>
    <row r="93">
      <c r="B93" s="141" t="s">
        <v>841</v>
      </c>
      <c r="C93" s="169" t="s">
        <v>191</v>
      </c>
      <c r="D93" s="147">
        <f>1*I94</f>
        <v>1</v>
      </c>
      <c r="E93" s="168" t="s">
        <v>188</v>
      </c>
      <c r="F93" s="173">
        <f>0.95*I94</f>
        <v>0.95</v>
      </c>
      <c r="G93" s="138"/>
      <c r="H93" s="153" t="s">
        <v>584</v>
      </c>
      <c r="I93" s="45">
        <f t="array" ref="I93">match(TRUE,ISBLANK(F93:F105),0)-1</f>
        <v>1</v>
      </c>
      <c r="J93" s="154" t="s">
        <v>420</v>
      </c>
      <c r="K93" s="154" t="s">
        <v>585</v>
      </c>
      <c r="L93" s="100" t="s">
        <v>704</v>
      </c>
      <c r="M93" s="147"/>
      <c r="N93" s="147"/>
      <c r="O93" s="147"/>
      <c r="P93" s="147"/>
      <c r="Q93" s="147"/>
      <c r="R93" s="155"/>
      <c r="S93" s="155"/>
      <c r="T93" s="155"/>
      <c r="U93" s="143"/>
      <c r="V93" s="143"/>
      <c r="W93" s="143"/>
      <c r="X93" s="143"/>
      <c r="Y93" s="143"/>
      <c r="Z93" s="143"/>
      <c r="AA93" s="143"/>
      <c r="AB93" s="143"/>
      <c r="AC93" s="143"/>
      <c r="AD93" s="143"/>
      <c r="AE93" s="143"/>
      <c r="AF93" s="143"/>
      <c r="AG93" s="156"/>
      <c r="AH93" s="143"/>
      <c r="AI93" s="143"/>
      <c r="AJ93" s="143"/>
      <c r="AK93" s="143"/>
      <c r="AL93" s="143"/>
      <c r="AM93" s="143"/>
      <c r="AN93" s="143"/>
      <c r="AO93" s="143"/>
      <c r="AP93" s="143"/>
      <c r="AQ93" s="143"/>
      <c r="AR93" s="143"/>
      <c r="AS93" s="143"/>
      <c r="AT93" s="156"/>
      <c r="AU93" s="143"/>
      <c r="AV93" s="143"/>
      <c r="AW93" s="143"/>
      <c r="AX93" s="143"/>
      <c r="AY93" s="143"/>
      <c r="AZ93" s="143"/>
      <c r="BA93" s="143"/>
      <c r="BB93" s="143">
        <f>BB92*AZ92</f>
        <v>30</v>
      </c>
      <c r="BC93" s="143"/>
      <c r="BD93" s="143"/>
      <c r="BE93" s="143"/>
      <c r="BF93" s="143"/>
      <c r="BG93" s="143"/>
      <c r="BH93" s="143"/>
      <c r="BI93" s="149"/>
      <c r="BK93" s="22"/>
    </row>
    <row r="94">
      <c r="B94" s="150"/>
      <c r="C94" s="169"/>
      <c r="D94" s="147"/>
      <c r="E94" s="168"/>
      <c r="F94" s="152"/>
      <c r="G94" s="138"/>
      <c r="H94" s="157" t="s">
        <v>502</v>
      </c>
      <c r="I94" s="170">
        <v>1.0</v>
      </c>
      <c r="J94" s="154" t="s">
        <v>424</v>
      </c>
      <c r="K94" s="154">
        <v>0.0</v>
      </c>
      <c r="L94" s="100">
        <v>0.0</v>
      </c>
      <c r="M94" s="143"/>
      <c r="N94" s="143"/>
      <c r="O94" s="143"/>
      <c r="P94" s="143"/>
      <c r="Q94" s="143"/>
      <c r="R94" s="143"/>
      <c r="S94" s="155"/>
      <c r="T94" s="155"/>
      <c r="U94" s="143"/>
      <c r="V94" s="143"/>
      <c r="W94" s="143"/>
      <c r="X94" s="143"/>
      <c r="Y94" s="143"/>
      <c r="Z94" s="143"/>
      <c r="AA94" s="143"/>
      <c r="AB94" s="143"/>
      <c r="AC94" s="143"/>
      <c r="AD94" s="143"/>
      <c r="AE94" s="143"/>
      <c r="AF94" s="143"/>
      <c r="AG94" s="156"/>
      <c r="AH94" s="143"/>
      <c r="AI94" s="143"/>
      <c r="AJ94" s="143"/>
      <c r="AK94" s="143"/>
      <c r="AL94" s="143"/>
      <c r="AM94" s="143"/>
      <c r="AN94" s="143"/>
      <c r="AO94" s="143"/>
      <c r="AP94" s="143"/>
      <c r="AQ94" s="143"/>
      <c r="AR94" s="143"/>
      <c r="AS94" s="143"/>
      <c r="AT94" s="156"/>
      <c r="AU94" s="143"/>
      <c r="AV94" s="143"/>
      <c r="AW94" s="143"/>
      <c r="AX94" s="143"/>
      <c r="AY94" s="143"/>
      <c r="AZ94" s="143"/>
      <c r="BA94" s="143"/>
      <c r="BB94" s="143"/>
      <c r="BC94" s="143"/>
      <c r="BD94" s="143"/>
      <c r="BE94" s="143"/>
      <c r="BF94" s="143"/>
      <c r="BG94" s="143"/>
      <c r="BH94" s="143"/>
      <c r="BI94" s="149"/>
      <c r="BK94" s="22"/>
    </row>
    <row r="95">
      <c r="B95" s="135"/>
      <c r="C95" s="136"/>
      <c r="D95" s="137"/>
      <c r="E95" s="137"/>
      <c r="F95" s="137"/>
      <c r="G95" s="138"/>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8"/>
      <c r="AH95" s="137"/>
      <c r="AI95" s="137"/>
      <c r="AJ95" s="137"/>
      <c r="AK95" s="137"/>
      <c r="AL95" s="137"/>
      <c r="AM95" s="137"/>
      <c r="AN95" s="137"/>
      <c r="AO95" s="137"/>
      <c r="AP95" s="137"/>
      <c r="AQ95" s="137"/>
      <c r="AR95" s="137"/>
      <c r="AS95" s="137"/>
      <c r="AT95" s="138"/>
      <c r="AU95" s="137"/>
      <c r="AV95" s="137"/>
      <c r="AW95" s="137"/>
      <c r="AX95" s="137"/>
      <c r="AY95" s="137"/>
      <c r="AZ95" s="137"/>
      <c r="BA95" s="137"/>
      <c r="BB95" s="137"/>
      <c r="BC95" s="137"/>
      <c r="BD95" s="137"/>
      <c r="BE95" s="137"/>
      <c r="BF95" s="137"/>
      <c r="BG95" s="137"/>
      <c r="BH95" s="137"/>
      <c r="BI95" s="139"/>
      <c r="BK95" s="22"/>
    </row>
    <row r="96">
      <c r="B96" s="141" t="s">
        <v>847</v>
      </c>
      <c r="C96" s="142"/>
      <c r="D96" s="143"/>
      <c r="E96" s="143"/>
      <c r="F96" s="144"/>
      <c r="G96" s="145"/>
      <c r="H96" s="167" t="s">
        <v>355</v>
      </c>
      <c r="I96" s="147" t="str">
        <f>VLOOKUP(H96,'Machine List'!$A$1:$I$300,9,FALSE)</f>
        <v>1T</v>
      </c>
      <c r="J96" s="147">
        <f>IF(VLOOKUP(H96,'Machine List'!$A$1:$I$300,5,FALSE)="Multi",IF(VLOOKUP(H96,'Machine List'!$A$1:$I$300,6,FALSE)="Yes",AI96*3*10^AB96,AI96*(2*3)*10^(AB96-1)),0)</f>
        <v>0</v>
      </c>
      <c r="K96" s="147">
        <f>J96+IF(ISNUMBER(I96),I96,
  SWITCH(
      I96,
      "1T",1*10^AB96,
      "2T",2*10^AB96,
      "3T",3*10^AB96,
      "4T",4*10^AB96,
      "4000+500(7O-5)",4000+500*(7*I97-5),
      "13500 + 16C",13500+16*VLOOKUP(J98,'Machine Helper Sheet'!$G$1:$K$16,5,FALSE),
      1
  )
)</f>
        <v>10</v>
      </c>
      <c r="L96" s="147">
        <f>IF(VLOOKUP(H96,'Machine List'!$A$1:$I$300,5,FALSE)="Multi",IF(VLOOKUP(H96,'Machine List'!$A$1:$I$300,6,FALSE)="Yes",AW96*3*10^AV96,AW96*(2*3)*10^(AV96-1)),0)</f>
        <v>0</v>
      </c>
      <c r="M96" s="147">
        <f>L96+IF(ISNUMBER(I96),I96,
  SWITCH(
      I96,
      "1T",1*10^AV96,
      "2T",2*10^AV96,
      "3T",3*10^AV96,
      "4T",4*10^AV96,
      "4000+500(7O-5)",4000+500*(7*I97-5),
      1
  )
)</f>
        <v>100000</v>
      </c>
      <c r="N96" s="147" t="str">
        <f>VLOOKUP(H96,'Machine List'!$A$1:$I$300,8,FALSE)</f>
        <v>Tier</v>
      </c>
      <c r="O96" s="147">
        <f>IF(ISNUMBER(N96),N96,10^AB96)</f>
        <v>10</v>
      </c>
      <c r="P96" s="147">
        <f>IF(ISNUMBER(N96),N96,10^AV96)</f>
        <v>100000</v>
      </c>
      <c r="Q96" s="147">
        <f>VLOOKUP(H96,'Machine List'!$A$1:$B$138,2,FALSE)</f>
        <v>1</v>
      </c>
      <c r="R96" s="147" t="s">
        <v>277</v>
      </c>
      <c r="S96" s="143">
        <f>IF(ISNUMBER(Q96),Q96,
  SWITCH(
      Q96,
      "1",1,
      "2T",AB96*2,
      "4T",AB96*4,
      "6T",AB96*6,
      "8T",AB96*8,
      "10T",AB96*10,
      "12T",AB96*12,
      "14T",AB96*14,
      "16T",AB96*16,
      "24T",AB96*24,
      "2(T+1)",2*(AB96+1),
      "1T*C",AB96*J98,
      "2*P",L98*2,
      1
  )
)</f>
        <v>1</v>
      </c>
      <c r="T96" s="38" t="s">
        <v>277</v>
      </c>
      <c r="U96" s="147">
        <f>IF(OR(T96="No",T96=""),S96,T96)</f>
        <v>1</v>
      </c>
      <c r="V96" s="147">
        <f>IF(ISNUMBER(Q96),Q96,
  SWITCH(
      Q96,
      "1",1,
      "2T",AV96*2,
      "4T",AV96*4,
      "6T",AV96*6,
      "8T",AV96*8,
      "10T",AV96*10,
      "12T",AV96*12,
      "14T",AV96*14,
      "16T",AV96*16,
      "24T",AV96*24,
      "2(T+1)",2*(AV96+1),
      "1T*C",AV96*J98,
      "2*P",L98*2,
      1
  )
)</f>
        <v>1</v>
      </c>
      <c r="W96" s="147" t="str">
        <f>T96</f>
        <v>No</v>
      </c>
      <c r="X96" s="147">
        <f>IF(OR(W96="No",W96=""),V96,W96)</f>
        <v>1</v>
      </c>
      <c r="Y96" s="38">
        <f>VLOOKUP(H96,'Machine List'!$A$1:$C$138,3,FALSE)</f>
        <v>1</v>
      </c>
      <c r="Z96" s="38">
        <f>VLOOKUP(H96,'Machine List'!$A$1:$D$138,4,FALSE)</f>
        <v>1</v>
      </c>
      <c r="AA96" s="168" t="s">
        <v>390</v>
      </c>
      <c r="AB96" s="147">
        <f>VLOOKUP(AA96,'Item Helper Sheet'!$A$2:$B$16,2,FALSE)</f>
        <v>1</v>
      </c>
      <c r="AC96" s="147">
        <v>30.0</v>
      </c>
      <c r="AD96" s="147">
        <f>15*20</f>
        <v>300</v>
      </c>
      <c r="AE96" s="147">
        <f>AD96*I98</f>
        <v>300</v>
      </c>
      <c r="AF96" s="147">
        <f>AC96*AE96</f>
        <v>9000</v>
      </c>
      <c r="AG96" s="148"/>
      <c r="AH96" s="147" t="str">
        <f>AA96</f>
        <v>01 - LV</v>
      </c>
      <c r="AI96" s="147">
        <v>1.0</v>
      </c>
      <c r="AJ96" s="147">
        <v>1.0</v>
      </c>
      <c r="AK96" s="147">
        <f>AJ96*8*4^AB96</f>
        <v>32</v>
      </c>
      <c r="AL96" s="147">
        <f>MIN(ROUNDDOWN(AK96/AN96,0),U96)</f>
        <v>1</v>
      </c>
      <c r="AM96" s="147">
        <f>IF(OR(T96="No",T96=""),AI96*S96,AI96*T96)</f>
        <v>1</v>
      </c>
      <c r="AN96" s="147">
        <f>ROUNDUP(AC96*VLOOKUP(H96,'Machine List'!$A$2:$D$219,4,FALSE),0)</f>
        <v>30</v>
      </c>
      <c r="AO96" s="147">
        <f>AN96*AM96</f>
        <v>30</v>
      </c>
      <c r="AP96" s="147">
        <f>ROUNDUP(AD96*I98,0)</f>
        <v>300</v>
      </c>
      <c r="AQ96" s="38">
        <f>IF(ISNUMBER(Y96),ROUNDUP(AP96/Y96,0),
  SWITCH(
      Y96,
      "1+0.5C",ROUNDUP(AP96/(1+0.5*VLOOKUP(J98,'Machine Helper Sheet'!$G$1:$K$16,2,FALSE)),0),
      ROUNDUP(AP96/1,0)
  )
)</f>
        <v>300</v>
      </c>
      <c r="AR96" s="147">
        <f>ROUNDUP(AQ96/AM96,0)</f>
        <v>300</v>
      </c>
      <c r="AS96" s="147">
        <f>AO96*AR96</f>
        <v>9000</v>
      </c>
      <c r="AT96" s="148"/>
      <c r="AU96" s="168" t="s">
        <v>405</v>
      </c>
      <c r="AV96" s="147">
        <f>VLOOKUP(AU96,'Item Helper Sheet'!$A$2:$B$16,2,FALSE)</f>
        <v>5</v>
      </c>
      <c r="AW96" s="147">
        <f>AI96</f>
        <v>1</v>
      </c>
      <c r="AX96" s="147">
        <v>1.0</v>
      </c>
      <c r="AY96" s="147">
        <f>AX96*8*4^AV96</f>
        <v>8192</v>
      </c>
      <c r="AZ96" s="147">
        <f>MIN(ROUNDDOWN(AY96/AN96,0),X96)</f>
        <v>1</v>
      </c>
      <c r="BA96" s="147">
        <f>AZ96*AW96</f>
        <v>1</v>
      </c>
      <c r="BB96" s="147">
        <f>AN96</f>
        <v>30</v>
      </c>
      <c r="BC96" s="147">
        <f>MIN(AV96-AB96,IF(AY96&gt;=BB97*4,
IF(AY96&gt;=BB97*4^2,
IF(AY96&gt;=BB97*4^3,
IF(AY96&gt;=BB97*4^4,
IF(AY96&gt;=BB97*4^5,
IF(AY96&gt;=BB97*4^6,
IF(AY96&gt;=BB97*4^7,
IF(AY96&gt;=BB97*4^8,
IF(AY96&gt;=BB97*4^9,
IF(AY96&gt;=BB97*4^10,
9),
8),
7),
6),
5),
4),
3),
2),
1),
0))</f>
        <v>4</v>
      </c>
      <c r="BD96" s="147">
        <f>BB96*AZ96*4^BC96</f>
        <v>7680</v>
      </c>
      <c r="BE96" s="147">
        <f>BD96*AW96</f>
        <v>7680</v>
      </c>
      <c r="BF96" s="143">
        <f>ROUNDUP(IF(R96="Yes",AP96/(2^((BC96)*2)),AP96/(2^(BC96))),0)</f>
        <v>19</v>
      </c>
      <c r="BG96" s="45">
        <f>IF(ISNUMBER(Y96),ROUNDUP(BF96/Y96,0),
  SWITCH(
      Y96,
      "1+0.5C",ROUNDUP(BF96/(1+0.5*VLOOKUP(J98,'Machine Helper Sheet'!$G$1:$K$16,2,FALSE)),0),
      ROUNDUP(BF96/1,0)
  )
)</f>
        <v>19</v>
      </c>
      <c r="BH96" s="143">
        <f>ROUNDUP(BG96/BA96,0)</f>
        <v>19</v>
      </c>
      <c r="BI96" s="149">
        <f>BH96*BE96</f>
        <v>145920</v>
      </c>
      <c r="BK96" s="22"/>
    </row>
    <row r="97">
      <c r="B97" s="141" t="s">
        <v>841</v>
      </c>
      <c r="C97" s="169" t="s">
        <v>188</v>
      </c>
      <c r="D97" s="147">
        <f>1*I98</f>
        <v>1</v>
      </c>
      <c r="E97" s="168" t="s">
        <v>189</v>
      </c>
      <c r="F97" s="152">
        <f>1000*I98</f>
        <v>1000</v>
      </c>
      <c r="G97" s="138"/>
      <c r="H97" s="153" t="s">
        <v>584</v>
      </c>
      <c r="I97" s="45">
        <f t="array" ref="I97">match(TRUE,ISBLANK(F97:F109),0)-1</f>
        <v>1</v>
      </c>
      <c r="J97" s="154" t="s">
        <v>420</v>
      </c>
      <c r="K97" s="154" t="s">
        <v>585</v>
      </c>
      <c r="L97" s="100" t="s">
        <v>704</v>
      </c>
      <c r="M97" s="147"/>
      <c r="N97" s="147"/>
      <c r="O97" s="147"/>
      <c r="P97" s="147"/>
      <c r="Q97" s="147"/>
      <c r="R97" s="155"/>
      <c r="S97" s="155"/>
      <c r="T97" s="155"/>
      <c r="U97" s="143"/>
      <c r="V97" s="143"/>
      <c r="W97" s="143"/>
      <c r="X97" s="143"/>
      <c r="Y97" s="143"/>
      <c r="Z97" s="143"/>
      <c r="AA97" s="143"/>
      <c r="AB97" s="143"/>
      <c r="AC97" s="143"/>
      <c r="AD97" s="143"/>
      <c r="AE97" s="143"/>
      <c r="AF97" s="143"/>
      <c r="AG97" s="156"/>
      <c r="AH97" s="143"/>
      <c r="AI97" s="143"/>
      <c r="AJ97" s="143"/>
      <c r="AK97" s="143"/>
      <c r="AL97" s="143"/>
      <c r="AM97" s="143"/>
      <c r="AN97" s="143"/>
      <c r="AO97" s="143"/>
      <c r="AP97" s="143"/>
      <c r="AQ97" s="143"/>
      <c r="AR97" s="143"/>
      <c r="AS97" s="143"/>
      <c r="AT97" s="156"/>
      <c r="AU97" s="143"/>
      <c r="AV97" s="143"/>
      <c r="AW97" s="143"/>
      <c r="AX97" s="143"/>
      <c r="AY97" s="143"/>
      <c r="AZ97" s="143"/>
      <c r="BA97" s="143"/>
      <c r="BB97" s="143">
        <f>BB96*AZ96</f>
        <v>30</v>
      </c>
      <c r="BC97" s="143"/>
      <c r="BD97" s="143"/>
      <c r="BE97" s="143"/>
      <c r="BF97" s="143"/>
      <c r="BG97" s="143"/>
      <c r="BH97" s="143"/>
      <c r="BI97" s="149"/>
      <c r="BK97" s="22"/>
    </row>
    <row r="98">
      <c r="B98" s="150"/>
      <c r="C98" s="169" t="s">
        <v>248</v>
      </c>
      <c r="D98" s="147">
        <f>1000*I98</f>
        <v>1000</v>
      </c>
      <c r="E98" s="168"/>
      <c r="F98" s="152"/>
      <c r="G98" s="138"/>
      <c r="H98" s="157" t="s">
        <v>502</v>
      </c>
      <c r="I98" s="170">
        <v>1.0</v>
      </c>
      <c r="J98" s="154" t="s">
        <v>424</v>
      </c>
      <c r="K98" s="154">
        <v>0.0</v>
      </c>
      <c r="L98" s="100">
        <v>0.0</v>
      </c>
      <c r="M98" s="143"/>
      <c r="N98" s="143"/>
      <c r="O98" s="143"/>
      <c r="P98" s="143"/>
      <c r="Q98" s="143"/>
      <c r="R98" s="143"/>
      <c r="S98" s="155"/>
      <c r="T98" s="155"/>
      <c r="U98" s="143"/>
      <c r="V98" s="143"/>
      <c r="W98" s="143"/>
      <c r="X98" s="143"/>
      <c r="Y98" s="143"/>
      <c r="Z98" s="143"/>
      <c r="AA98" s="143"/>
      <c r="AB98" s="143"/>
      <c r="AC98" s="143"/>
      <c r="AD98" s="143"/>
      <c r="AE98" s="143"/>
      <c r="AF98" s="143"/>
      <c r="AG98" s="156"/>
      <c r="AH98" s="143"/>
      <c r="AI98" s="143"/>
      <c r="AJ98" s="143"/>
      <c r="AK98" s="143"/>
      <c r="AL98" s="143"/>
      <c r="AM98" s="143"/>
      <c r="AN98" s="143"/>
      <c r="AO98" s="143"/>
      <c r="AP98" s="143"/>
      <c r="AQ98" s="143"/>
      <c r="AR98" s="143"/>
      <c r="AS98" s="143"/>
      <c r="AT98" s="156"/>
      <c r="AU98" s="143"/>
      <c r="AV98" s="143"/>
      <c r="AW98" s="143"/>
      <c r="AX98" s="143"/>
      <c r="AY98" s="143"/>
      <c r="AZ98" s="143"/>
      <c r="BA98" s="143"/>
      <c r="BB98" s="143"/>
      <c r="BC98" s="143"/>
      <c r="BD98" s="143"/>
      <c r="BE98" s="143"/>
      <c r="BF98" s="143"/>
      <c r="BG98" s="143"/>
      <c r="BH98" s="143"/>
      <c r="BI98" s="149"/>
      <c r="BK98" s="22"/>
    </row>
    <row r="99">
      <c r="B99" s="135"/>
      <c r="C99" s="136"/>
      <c r="D99" s="137"/>
      <c r="E99" s="137"/>
      <c r="F99" s="137"/>
      <c r="G99" s="138"/>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8"/>
      <c r="AH99" s="137"/>
      <c r="AI99" s="137"/>
      <c r="AJ99" s="137"/>
      <c r="AK99" s="137"/>
      <c r="AL99" s="137"/>
      <c r="AM99" s="137"/>
      <c r="AN99" s="137"/>
      <c r="AO99" s="137"/>
      <c r="AP99" s="137"/>
      <c r="AQ99" s="137"/>
      <c r="AR99" s="137"/>
      <c r="AS99" s="137"/>
      <c r="AT99" s="138"/>
      <c r="AU99" s="137"/>
      <c r="AV99" s="137"/>
      <c r="AW99" s="137"/>
      <c r="AX99" s="137"/>
      <c r="AY99" s="137"/>
      <c r="AZ99" s="137"/>
      <c r="BA99" s="137"/>
      <c r="BB99" s="137"/>
      <c r="BC99" s="137"/>
      <c r="BD99" s="137"/>
      <c r="BE99" s="137"/>
      <c r="BF99" s="137"/>
      <c r="BG99" s="137"/>
      <c r="BH99" s="137"/>
      <c r="BI99" s="139"/>
      <c r="BK99" s="22"/>
    </row>
    <row r="100">
      <c r="B100" s="31" t="s">
        <v>848</v>
      </c>
      <c r="C100" s="54"/>
      <c r="D100" s="45"/>
      <c r="E100" s="45"/>
      <c r="F100" s="47"/>
      <c r="G100" s="35"/>
      <c r="H100" s="163" t="s">
        <v>349</v>
      </c>
      <c r="I100" s="38">
        <f>VLOOKUP(H100,'Machine List'!$A$1:$I$300,9,FALSE)</f>
        <v>4000</v>
      </c>
      <c r="J100" s="38">
        <f>IF(VLOOKUP(H100,'Machine List'!$A$1:$I$300,5,FALSE)="Multi",IF(VLOOKUP(H100,'Machine List'!$A$1:$I$300,6,FALSE)="Yes",AI100*3*10^AB100,AI100*(2*3)*10^(AB100-1)),0)</f>
        <v>6</v>
      </c>
      <c r="K100" s="38">
        <f>J100+IF(ISNUMBER(I100),I100,
  SWITCH(
      I100,
      "1T",1*10^AB100,
      "2T",2*10^AB100,
      "3T",3*10^AB100,
      "4T",4*10^AB100,
      "4000+500(7O-5)",4000+500*(7*I101-5),
      "13500 + 16C",13500+16*VLOOKUP(J102,'Machine Helper Sheet'!$G$1:$K$16,5,FALSE),
      1
  )
)</f>
        <v>4006</v>
      </c>
      <c r="L100" s="38">
        <f>IF(VLOOKUP(H100,'Machine List'!$A$1:$I$300,5,FALSE)="Multi",IF(VLOOKUP(H100,'Machine List'!$A$1:$I$300,6,FALSE)="Yes",AW100*3*10^AV100,AW100*(2*3)*10^(AV100-1)),0)</f>
        <v>60000</v>
      </c>
      <c r="M100" s="38">
        <f>L100+IF(ISNUMBER(I100),I100,
  SWITCH(
      I100,
      "1T",1*10^AV100,
      "2T",2*10^AV100,
      "3T",3*10^AV100,
      "4T",4*10^AV100,
      "4000+500(7O-5)",4000+500*(7*I101-5),
      1
  )
)</f>
        <v>64000</v>
      </c>
      <c r="N100" s="38" t="str">
        <f>VLOOKUP(H100,'Machine List'!$A$1:$I$300,8,FALSE)</f>
        <v>Tier</v>
      </c>
      <c r="O100" s="38">
        <f>IF(ISNUMBER(N100),N100,10^AB100)</f>
        <v>10</v>
      </c>
      <c r="P100" s="38">
        <f>IF(ISNUMBER(N100),N100,10^AV100)</f>
        <v>100000</v>
      </c>
      <c r="Q100" s="38">
        <f>VLOOKUP(H100,'Machine List'!$A$1:$B$138,2,FALSE)</f>
        <v>1</v>
      </c>
      <c r="R100" s="164" t="s">
        <v>594</v>
      </c>
      <c r="S100" s="45">
        <f>IF(ISNUMBER(Q100),Q100,
  SWITCH(
      Q100,
      "1",1,
      "2T",AB100*2,
      "4T",AB100*4,
      "6T",AB100*6,
      "8T",AB100*8,
      "10T",AB100*10,
      "12T",AB100*12,
      "14T",AB100*14,
      "16T",AB100*16,
      "24T",AB100*24,
      "2(T+1)",2*(AB100+1),
      "1T*C",AB100*J102,
      "2*P",L102*2,
      1
  )
)</f>
        <v>1</v>
      </c>
      <c r="T100" s="38" t="s">
        <v>277</v>
      </c>
      <c r="U100" s="38">
        <f>IF(OR(T100="No",T100=""),S100,T100)</f>
        <v>1</v>
      </c>
      <c r="V100" s="38">
        <f>IF(ISNUMBER(Q100),Q100,
  SWITCH(
      Q100,
      "1",1,
      "2T",AV100*2,
      "4T",AV100*4,
      "6T",AV100*6,
      "8T",AV100*8,
      "10T",AV100*10,
      "12T",AV100*12,
      "14T",AV100*14,
      "16T",AV100*16,
      "24T",AV100*24,
      "2(T+1)",2*(AV100+1),
      "1T*C",AV100*J102,
      "2*P",L102*2,
      1
  )
)</f>
        <v>1</v>
      </c>
      <c r="W100" s="38" t="str">
        <f>T100</f>
        <v>No</v>
      </c>
      <c r="X100" s="38">
        <f>IF(OR(W100="No",W100=""),V100,W100)</f>
        <v>1</v>
      </c>
      <c r="Y100" s="38">
        <f>VLOOKUP(H100,'Machine List'!$A$1:$C$138,3,FALSE)</f>
        <v>1</v>
      </c>
      <c r="Z100" s="38">
        <f>VLOOKUP(H100,'Machine List'!$A$1:$D$138,4,FALSE)</f>
        <v>1</v>
      </c>
      <c r="AA100" s="164" t="s">
        <v>390</v>
      </c>
      <c r="AB100" s="38">
        <f>VLOOKUP(AA100,'Item Helper Sheet'!$A$2:$B$16,2,FALSE)</f>
        <v>1</v>
      </c>
      <c r="AC100" s="164">
        <v>30.0</v>
      </c>
      <c r="AD100" s="38">
        <f>15*20</f>
        <v>300</v>
      </c>
      <c r="AE100" s="38">
        <f>AD100*I102</f>
        <v>300</v>
      </c>
      <c r="AF100" s="38">
        <f>AC100*AE100</f>
        <v>9000</v>
      </c>
      <c r="AG100" s="75"/>
      <c r="AH100" s="38" t="str">
        <f>AA100</f>
        <v>01 - LV</v>
      </c>
      <c r="AI100" s="38">
        <v>1.0</v>
      </c>
      <c r="AJ100" s="38">
        <v>1.0</v>
      </c>
      <c r="AK100" s="38">
        <f>AJ100*8*4^AB100</f>
        <v>32</v>
      </c>
      <c r="AL100" s="38">
        <f>MIN(ROUNDDOWN(AK100/AN100,0),U100)</f>
        <v>1</v>
      </c>
      <c r="AM100" s="38">
        <f>IF(OR(T100="No",T100=""),AI100*S100,AI100*T100)</f>
        <v>1</v>
      </c>
      <c r="AN100" s="38">
        <f>ROUNDUP(AC100*VLOOKUP(H100,'Machine List'!$A$2:$D$219,4,FALSE),0)</f>
        <v>30</v>
      </c>
      <c r="AO100" s="38">
        <f>AN100*AM100</f>
        <v>30</v>
      </c>
      <c r="AP100" s="38">
        <f>ROUNDUP(AD100*I102,0)</f>
        <v>300</v>
      </c>
      <c r="AQ100" s="38">
        <f>IF(ISNUMBER(Y100),ROUNDUP(AP100/Y100,0),
  SWITCH(
      Y100,
      "1+0.5C",ROUNDUP(AP100/(1+0.5*VLOOKUP(J102,'Machine Helper Sheet'!$G$1:$K$16,2,FALSE)),0),
      ROUNDUP(AP100/1,0)
  )
)</f>
        <v>300</v>
      </c>
      <c r="AR100" s="38">
        <f>ROUNDUP(AQ100/AM100,0)</f>
        <v>300</v>
      </c>
      <c r="AS100" s="38">
        <f>AO100*AR100</f>
        <v>9000</v>
      </c>
      <c r="AT100" s="75"/>
      <c r="AU100" s="164" t="s">
        <v>405</v>
      </c>
      <c r="AV100" s="38">
        <f>VLOOKUP(AU100,'Item Helper Sheet'!$A$2:$B$16,2,FALSE)</f>
        <v>5</v>
      </c>
      <c r="AW100" s="38">
        <f>AI100</f>
        <v>1</v>
      </c>
      <c r="AX100" s="38">
        <v>1.0</v>
      </c>
      <c r="AY100" s="38">
        <f>AX100*8*4^AV100</f>
        <v>8192</v>
      </c>
      <c r="AZ100" s="38">
        <f>MIN(ROUNDDOWN(AY100/AN100,0),X100)</f>
        <v>1</v>
      </c>
      <c r="BA100" s="38">
        <f>AZ100*AW100</f>
        <v>1</v>
      </c>
      <c r="BB100" s="38">
        <f>AN100</f>
        <v>30</v>
      </c>
      <c r="BC100" s="38">
        <f>MIN(AV100-AB100,IF(AY100&gt;=BB101*4,
IF(AY100&gt;=BB101*4^2,
IF(AY100&gt;=BB101*4^3,
IF(AY100&gt;=BB101*4^4,
IF(AY100&gt;=BB101*4^5,
IF(AY100&gt;=BB101*4^6,
IF(AY100&gt;=BB101*4^7,
IF(AY100&gt;=BB101*4^8,
IF(AY100&gt;=BB101*4^9,
IF(AY100&gt;=BB101*4^10,
9),
8),
7),
6),
5),
4),
3),
2),
1),
0))</f>
        <v>4</v>
      </c>
      <c r="BD100" s="38">
        <f>BB100*AZ100*4^BC100</f>
        <v>7680</v>
      </c>
      <c r="BE100" s="38">
        <f>BD100*AW100</f>
        <v>7680</v>
      </c>
      <c r="BF100" s="45">
        <f>ROUNDUP(IF(R100="Yes",AP100/(2^((BC100)*2)),AP100/(2^(BC100))),0)</f>
        <v>2</v>
      </c>
      <c r="BG100" s="45">
        <f>IF(ISNUMBER(Y100),ROUNDUP(BF100/Y100,0),
  SWITCH(
      Y100,
      "1+0.5C",ROUNDUP(BF100/(1+0.5*VLOOKUP(J102,'Machine Helper Sheet'!$G$1:$K$16,2,FALSE)),0),
      ROUNDUP(BF100/1,0)
  )
)</f>
        <v>2</v>
      </c>
      <c r="BH100" s="45">
        <f>ROUNDUP(BG100/BA100,0)</f>
        <v>2</v>
      </c>
      <c r="BI100" s="46">
        <f>BH100*BE100</f>
        <v>15360</v>
      </c>
      <c r="BK100" s="22"/>
    </row>
    <row r="101">
      <c r="B101" s="141" t="s">
        <v>841</v>
      </c>
      <c r="C101" s="165" t="s">
        <v>189</v>
      </c>
      <c r="D101" s="38">
        <f>1000*I102</f>
        <v>1000</v>
      </c>
      <c r="E101" s="164" t="s">
        <v>186</v>
      </c>
      <c r="F101" s="42">
        <f>1*I102</f>
        <v>1</v>
      </c>
      <c r="G101" s="43"/>
      <c r="H101" s="99" t="s">
        <v>584</v>
      </c>
      <c r="I101" s="45">
        <f t="array" ref="I101">match(TRUE,ISBLANK(F101:F111),0)-1</f>
        <v>1</v>
      </c>
      <c r="J101" s="100" t="s">
        <v>420</v>
      </c>
      <c r="K101" s="100" t="s">
        <v>585</v>
      </c>
      <c r="L101" s="100" t="s">
        <v>704</v>
      </c>
      <c r="M101" s="38"/>
      <c r="N101" s="38"/>
      <c r="O101" s="38"/>
      <c r="P101" s="38"/>
      <c r="Q101" s="38"/>
      <c r="R101" s="101"/>
      <c r="S101" s="101"/>
      <c r="T101" s="101"/>
      <c r="U101" s="45"/>
      <c r="V101" s="45"/>
      <c r="W101" s="45"/>
      <c r="X101" s="45"/>
      <c r="Y101" s="45"/>
      <c r="Z101" s="45"/>
      <c r="AA101" s="45"/>
      <c r="AB101" s="45"/>
      <c r="AC101" s="45"/>
      <c r="AD101" s="45"/>
      <c r="AE101" s="45"/>
      <c r="AF101" s="45"/>
      <c r="AG101" s="79"/>
      <c r="AH101" s="45"/>
      <c r="AI101" s="45"/>
      <c r="AJ101" s="45"/>
      <c r="AK101" s="45"/>
      <c r="AL101" s="45"/>
      <c r="AM101" s="45"/>
      <c r="AN101" s="45"/>
      <c r="AO101" s="45"/>
      <c r="AP101" s="45"/>
      <c r="AQ101" s="45"/>
      <c r="AR101" s="45"/>
      <c r="AS101" s="45"/>
      <c r="AT101" s="79"/>
      <c r="AU101" s="45"/>
      <c r="AV101" s="45"/>
      <c r="AW101" s="45"/>
      <c r="AX101" s="45"/>
      <c r="AY101" s="45"/>
      <c r="AZ101" s="45"/>
      <c r="BA101" s="45"/>
      <c r="BB101" s="45">
        <f>BB100*AZ100</f>
        <v>30</v>
      </c>
      <c r="BC101" s="45"/>
      <c r="BD101" s="45"/>
      <c r="BE101" s="45"/>
      <c r="BF101" s="45"/>
      <c r="BG101" s="45"/>
      <c r="BH101" s="45"/>
      <c r="BI101" s="46"/>
      <c r="BK101" s="22"/>
    </row>
    <row r="102">
      <c r="B102" s="40"/>
      <c r="C102" s="165"/>
      <c r="D102" s="38"/>
      <c r="E102" s="164"/>
      <c r="F102" s="42"/>
      <c r="G102" s="43"/>
      <c r="H102" s="56" t="s">
        <v>502</v>
      </c>
      <c r="I102" s="166">
        <v>1.0</v>
      </c>
      <c r="J102" s="100" t="s">
        <v>424</v>
      </c>
      <c r="K102" s="100">
        <v>0.0</v>
      </c>
      <c r="L102" s="100">
        <v>0.0</v>
      </c>
      <c r="M102" s="45"/>
      <c r="N102" s="45"/>
      <c r="O102" s="45"/>
      <c r="P102" s="45"/>
      <c r="Q102" s="45"/>
      <c r="R102" s="45"/>
      <c r="S102" s="101"/>
      <c r="T102" s="101"/>
      <c r="U102" s="45"/>
      <c r="V102" s="45"/>
      <c r="W102" s="45"/>
      <c r="X102" s="45"/>
      <c r="Y102" s="45"/>
      <c r="Z102" s="45"/>
      <c r="AA102" s="45"/>
      <c r="AB102" s="45"/>
      <c r="AC102" s="45"/>
      <c r="AD102" s="45"/>
      <c r="AE102" s="45"/>
      <c r="AF102" s="45"/>
      <c r="AG102" s="79"/>
      <c r="AH102" s="45"/>
      <c r="AI102" s="45"/>
      <c r="AJ102" s="45"/>
      <c r="AK102" s="45"/>
      <c r="AL102" s="45"/>
      <c r="AM102" s="45"/>
      <c r="AN102" s="45"/>
      <c r="AO102" s="45"/>
      <c r="AP102" s="45"/>
      <c r="AQ102" s="45"/>
      <c r="AR102" s="45"/>
      <c r="AS102" s="45"/>
      <c r="AT102" s="79"/>
      <c r="AU102" s="45"/>
      <c r="AV102" s="45"/>
      <c r="AW102" s="45"/>
      <c r="AX102" s="45"/>
      <c r="AY102" s="45"/>
      <c r="AZ102" s="45"/>
      <c r="BA102" s="45"/>
      <c r="BB102" s="45"/>
      <c r="BC102" s="45"/>
      <c r="BD102" s="45"/>
      <c r="BE102" s="45"/>
      <c r="BF102" s="45"/>
      <c r="BG102" s="45"/>
      <c r="BH102" s="45"/>
      <c r="BI102" s="46"/>
      <c r="BK102" s="22"/>
    </row>
    <row r="103">
      <c r="B103" s="135"/>
      <c r="C103" s="136"/>
      <c r="D103" s="137"/>
      <c r="E103" s="137"/>
      <c r="F103" s="137"/>
      <c r="G103" s="138"/>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8"/>
      <c r="AH103" s="137"/>
      <c r="AI103" s="137"/>
      <c r="AJ103" s="137"/>
      <c r="AK103" s="137"/>
      <c r="AL103" s="137"/>
      <c r="AM103" s="137"/>
      <c r="AN103" s="137"/>
      <c r="AO103" s="137"/>
      <c r="AP103" s="137"/>
      <c r="AQ103" s="137"/>
      <c r="AR103" s="137"/>
      <c r="AS103" s="137"/>
      <c r="AT103" s="138"/>
      <c r="AU103" s="137"/>
      <c r="AV103" s="137"/>
      <c r="AW103" s="137"/>
      <c r="AX103" s="137"/>
      <c r="AY103" s="137"/>
      <c r="AZ103" s="137"/>
      <c r="BA103" s="137"/>
      <c r="BB103" s="137"/>
      <c r="BC103" s="137"/>
      <c r="BD103" s="137"/>
      <c r="BE103" s="137"/>
      <c r="BF103" s="137"/>
      <c r="BG103" s="137"/>
      <c r="BH103" s="137"/>
      <c r="BI103" s="139"/>
      <c r="BK103" s="22"/>
    </row>
    <row r="104">
      <c r="B104" s="31" t="s">
        <v>849</v>
      </c>
      <c r="C104" s="54"/>
      <c r="D104" s="45"/>
      <c r="E104" s="45"/>
      <c r="F104" s="47"/>
      <c r="G104" s="35"/>
      <c r="H104" s="163" t="s">
        <v>349</v>
      </c>
      <c r="I104" s="38">
        <f>VLOOKUP(H104,'Machine List'!$A$1:$I$300,9,FALSE)</f>
        <v>4000</v>
      </c>
      <c r="J104" s="38">
        <f>IF(VLOOKUP(H104,'Machine List'!$A$1:$I$300,5,FALSE)="Multi",IF(VLOOKUP(H104,'Machine List'!$A$1:$I$300,6,FALSE)="Yes",AI104*3*10^AB104,AI104*(2*3)*10^(AB104-1)),0)</f>
        <v>6</v>
      </c>
      <c r="K104" s="38">
        <f>J104+IF(ISNUMBER(I104),I104,
  SWITCH(
      I104,
      "1T",1*10^AB104,
      "2T",2*10^AB104,
      "3T",3*10^AB104,
      "4T",4*10^AB104,
      "4000+500(7O-5)",4000+500*(7*I105-5),
      "13500 + 16C",13500+16*VLOOKUP(J106,'Machine Helper Sheet'!$G$1:$K$16,5,FALSE),
      1
  )
)</f>
        <v>4006</v>
      </c>
      <c r="L104" s="38">
        <f>IF(VLOOKUP(H104,'Machine List'!$A$1:$I$300,5,FALSE)="Multi",IF(VLOOKUP(H104,'Machine List'!$A$1:$I$300,6,FALSE)="Yes",AW104*3*10^AV104,AW104*(2*3)*10^(AV104-1)),0)</f>
        <v>60000</v>
      </c>
      <c r="M104" s="38">
        <f>L104+IF(ISNUMBER(I104),I104,
  SWITCH(
      I104,
      "1T",1*10^AV104,
      "2T",2*10^AV104,
      "3T",3*10^AV104,
      "4T",4*10^AV104,
      "4000+500(7O-5)",4000+500*(7*I105-5),
      1
  )
)</f>
        <v>64000</v>
      </c>
      <c r="N104" s="38" t="str">
        <f>VLOOKUP(H104,'Machine List'!$A$1:$I$300,8,FALSE)</f>
        <v>Tier</v>
      </c>
      <c r="O104" s="38">
        <f>IF(ISNUMBER(N104),N104,10^AB104)</f>
        <v>10</v>
      </c>
      <c r="P104" s="38">
        <f>IF(ISNUMBER(N104),N104,10^AV104)</f>
        <v>100000</v>
      </c>
      <c r="Q104" s="38">
        <f>VLOOKUP(H104,'Machine List'!$A$1:$B$138,2,FALSE)</f>
        <v>1</v>
      </c>
      <c r="R104" s="164" t="s">
        <v>594</v>
      </c>
      <c r="S104" s="45">
        <f>IF(ISNUMBER(Q104),Q104,
  SWITCH(
      Q104,
      "1",1,
      "2T",AB104*2,
      "4T",AB104*4,
      "6T",AB104*6,
      "8T",AB104*8,
      "10T",AB104*10,
      "12T",AB104*12,
      "14T",AB104*14,
      "16T",AB104*16,
      "24T",AB104*24,
      "2(T+1)",2*(AB104+1),
      "1T*C",AB104*J106,
      "2*P",L106*2,
      1
  )
)</f>
        <v>1</v>
      </c>
      <c r="T104" s="38" t="s">
        <v>277</v>
      </c>
      <c r="U104" s="38">
        <f>IF(OR(T104="No",T104=""),S104,T104)</f>
        <v>1</v>
      </c>
      <c r="V104" s="38">
        <f>IF(ISNUMBER(Q104),Q104,
  SWITCH(
      Q104,
      "1",1,
      "2T",AV104*2,
      "4T",AV104*4,
      "6T",AV104*6,
      "8T",AV104*8,
      "10T",AV104*10,
      "12T",AV104*12,
      "14T",AV104*14,
      "16T",AV104*16,
      "24T",AV104*24,
      "2(T+1)",2*(AV104+1),
      "1T*C",AV104*J106,
      "2*P",L106*2,
      1
  )
)</f>
        <v>1</v>
      </c>
      <c r="W104" s="38" t="str">
        <f>T104</f>
        <v>No</v>
      </c>
      <c r="X104" s="38">
        <f>IF(OR(W104="No",W104=""),V104,W104)</f>
        <v>1</v>
      </c>
      <c r="Y104" s="38">
        <f>VLOOKUP(H104,'Machine List'!$A$1:$C$138,3,FALSE)</f>
        <v>1</v>
      </c>
      <c r="Z104" s="38">
        <f>VLOOKUP(H104,'Machine List'!$A$1:$D$138,4,FALSE)</f>
        <v>1</v>
      </c>
      <c r="AA104" s="164" t="s">
        <v>390</v>
      </c>
      <c r="AB104" s="38">
        <f>VLOOKUP(AA104,'Item Helper Sheet'!$A$2:$B$16,2,FALSE)</f>
        <v>1</v>
      </c>
      <c r="AC104" s="164">
        <v>30.0</v>
      </c>
      <c r="AD104" s="38">
        <f>15*20</f>
        <v>300</v>
      </c>
      <c r="AE104" s="38">
        <f>AD104*I106</f>
        <v>300</v>
      </c>
      <c r="AF104" s="38">
        <f>AC104*AE104</f>
        <v>9000</v>
      </c>
      <c r="AG104" s="75"/>
      <c r="AH104" s="38" t="str">
        <f>AA104</f>
        <v>01 - LV</v>
      </c>
      <c r="AI104" s="38">
        <v>1.0</v>
      </c>
      <c r="AJ104" s="38">
        <v>1.0</v>
      </c>
      <c r="AK104" s="38">
        <f>AJ104*8*4^AB104</f>
        <v>32</v>
      </c>
      <c r="AL104" s="38">
        <f>MIN(ROUNDDOWN(AK104/AN104,0),U104)</f>
        <v>1</v>
      </c>
      <c r="AM104" s="38">
        <f>IF(OR(T104="No",T104=""),AI104*S104,AI104*T104)</f>
        <v>1</v>
      </c>
      <c r="AN104" s="38">
        <f>ROUNDUP(AC104*VLOOKUP(H104,'Machine List'!$A$2:$D$219,4,FALSE),0)</f>
        <v>30</v>
      </c>
      <c r="AO104" s="38">
        <f>AN104*AM104</f>
        <v>30</v>
      </c>
      <c r="AP104" s="38">
        <f>ROUNDUP(AD104*I106,0)</f>
        <v>300</v>
      </c>
      <c r="AQ104" s="38">
        <f>IF(ISNUMBER(Y104),ROUNDUP(AP104/Y104,0),
  SWITCH(
      Y104,
      "1+0.5C",ROUNDUP(AP104/(1+0.5*VLOOKUP(J106,'Machine Helper Sheet'!$G$1:$K$16,2,FALSE)),0),
      ROUNDUP(AP104/1,0)
  )
)</f>
        <v>300</v>
      </c>
      <c r="AR104" s="38">
        <f>ROUNDUP(AQ104/AM104,0)</f>
        <v>300</v>
      </c>
      <c r="AS104" s="38">
        <f>AO104*AR104</f>
        <v>9000</v>
      </c>
      <c r="AT104" s="75"/>
      <c r="AU104" s="164" t="s">
        <v>405</v>
      </c>
      <c r="AV104" s="38">
        <f>VLOOKUP(AU104,'Item Helper Sheet'!$A$2:$B$16,2,FALSE)</f>
        <v>5</v>
      </c>
      <c r="AW104" s="38">
        <f>AI104</f>
        <v>1</v>
      </c>
      <c r="AX104" s="38">
        <v>1.0</v>
      </c>
      <c r="AY104" s="38">
        <f>AX104*8*4^AV104</f>
        <v>8192</v>
      </c>
      <c r="AZ104" s="38">
        <f>MIN(ROUNDDOWN(AY104/AN104,0),X104)</f>
        <v>1</v>
      </c>
      <c r="BA104" s="38">
        <f>AZ104*AW104</f>
        <v>1</v>
      </c>
      <c r="BB104" s="38">
        <f>AN104</f>
        <v>30</v>
      </c>
      <c r="BC104" s="38">
        <f>MIN(AV104-AB104,IF(AY104&gt;=BB105*4,
IF(AY104&gt;=BB105*4^2,
IF(AY104&gt;=BB105*4^3,
IF(AY104&gt;=BB105*4^4,
IF(AY104&gt;=BB105*4^5,
IF(AY104&gt;=BB105*4^6,
IF(AY104&gt;=BB105*4^7,
IF(AY104&gt;=BB105*4^8,
IF(AY104&gt;=BB105*4^9,
IF(AY104&gt;=BB105*4^10,
9),
8),
7),
6),
5),
4),
3),
2),
1),
0))</f>
        <v>4</v>
      </c>
      <c r="BD104" s="38">
        <f>BB104*AZ104*4^BC104</f>
        <v>7680</v>
      </c>
      <c r="BE104" s="38">
        <f>BD104*AW104</f>
        <v>7680</v>
      </c>
      <c r="BF104" s="45">
        <f>ROUNDUP(IF(R104="Yes",AP104/(2^((BC104)*2)),AP104/(2^(BC104))),0)</f>
        <v>2</v>
      </c>
      <c r="BG104" s="45">
        <f>IF(ISNUMBER(Y104),ROUNDUP(BF104/Y104,0),
  SWITCH(
      Y104,
      "1+0.5C",ROUNDUP(BF104/(1+0.5*VLOOKUP(J106,'Machine Helper Sheet'!$G$1:$K$16,2,FALSE)),0),
      ROUNDUP(BF104/1,0)
  )
)</f>
        <v>2</v>
      </c>
      <c r="BH104" s="45">
        <f>ROUNDUP(BG104/BA104,0)</f>
        <v>2</v>
      </c>
      <c r="BI104" s="46">
        <f>BH104*BE104</f>
        <v>15360</v>
      </c>
      <c r="BK104" s="22"/>
    </row>
    <row r="105">
      <c r="B105" s="141" t="s">
        <v>841</v>
      </c>
      <c r="C105" s="165" t="s">
        <v>186</v>
      </c>
      <c r="D105" s="38">
        <f>1*I106</f>
        <v>1</v>
      </c>
      <c r="E105" s="164" t="s">
        <v>187</v>
      </c>
      <c r="F105" s="42">
        <f>1*I106</f>
        <v>1</v>
      </c>
      <c r="G105" s="43"/>
      <c r="H105" s="99" t="s">
        <v>584</v>
      </c>
      <c r="I105" s="45">
        <f t="array" ref="I105">match(TRUE,ISBLANK(F105:F115),0)-1</f>
        <v>3</v>
      </c>
      <c r="J105" s="100" t="s">
        <v>420</v>
      </c>
      <c r="K105" s="100" t="s">
        <v>585</v>
      </c>
      <c r="L105" s="100" t="s">
        <v>704</v>
      </c>
      <c r="M105" s="38"/>
      <c r="N105" s="38"/>
      <c r="O105" s="38"/>
      <c r="P105" s="38"/>
      <c r="Q105" s="38"/>
      <c r="R105" s="101"/>
      <c r="S105" s="101"/>
      <c r="T105" s="101"/>
      <c r="U105" s="45"/>
      <c r="V105" s="45"/>
      <c r="W105" s="45"/>
      <c r="X105" s="45"/>
      <c r="Y105" s="45"/>
      <c r="Z105" s="45"/>
      <c r="AA105" s="45"/>
      <c r="AB105" s="45"/>
      <c r="AC105" s="45"/>
      <c r="AD105" s="45"/>
      <c r="AE105" s="45"/>
      <c r="AF105" s="45"/>
      <c r="AG105" s="79"/>
      <c r="AH105" s="45"/>
      <c r="AI105" s="45"/>
      <c r="AJ105" s="45"/>
      <c r="AK105" s="45"/>
      <c r="AL105" s="45"/>
      <c r="AM105" s="45"/>
      <c r="AN105" s="45"/>
      <c r="AO105" s="45"/>
      <c r="AP105" s="45"/>
      <c r="AQ105" s="45"/>
      <c r="AR105" s="45"/>
      <c r="AS105" s="45"/>
      <c r="AT105" s="79"/>
      <c r="AU105" s="45"/>
      <c r="AV105" s="45"/>
      <c r="AW105" s="45"/>
      <c r="AX105" s="45"/>
      <c r="AY105" s="45"/>
      <c r="AZ105" s="45"/>
      <c r="BA105" s="45"/>
      <c r="BB105" s="45">
        <f>BB104*AZ104</f>
        <v>30</v>
      </c>
      <c r="BC105" s="45"/>
      <c r="BD105" s="45"/>
      <c r="BE105" s="45"/>
      <c r="BF105" s="45"/>
      <c r="BG105" s="45"/>
      <c r="BH105" s="45"/>
      <c r="BI105" s="46"/>
      <c r="BK105" s="22"/>
    </row>
    <row r="106">
      <c r="B106" s="40"/>
      <c r="C106" s="165" t="s">
        <v>85</v>
      </c>
      <c r="D106" s="38">
        <f>1000*I106</f>
        <v>1000</v>
      </c>
      <c r="E106" s="164" t="s">
        <v>48</v>
      </c>
      <c r="F106" s="42">
        <f>1000*I106</f>
        <v>1000</v>
      </c>
      <c r="G106" s="43"/>
      <c r="H106" s="56" t="s">
        <v>502</v>
      </c>
      <c r="I106" s="166">
        <v>1.0</v>
      </c>
      <c r="J106" s="100" t="s">
        <v>424</v>
      </c>
      <c r="K106" s="100">
        <v>0.0</v>
      </c>
      <c r="L106" s="100">
        <v>0.0</v>
      </c>
      <c r="M106" s="45"/>
      <c r="N106" s="45"/>
      <c r="O106" s="45"/>
      <c r="P106" s="45"/>
      <c r="Q106" s="45"/>
      <c r="R106" s="45"/>
      <c r="S106" s="101"/>
      <c r="T106" s="101"/>
      <c r="U106" s="45"/>
      <c r="V106" s="45"/>
      <c r="W106" s="45"/>
      <c r="X106" s="45"/>
      <c r="Y106" s="45"/>
      <c r="Z106" s="45"/>
      <c r="AA106" s="45"/>
      <c r="AB106" s="45"/>
      <c r="AC106" s="45"/>
      <c r="AD106" s="45"/>
      <c r="AE106" s="45"/>
      <c r="AF106" s="45"/>
      <c r="AG106" s="79"/>
      <c r="AH106" s="45"/>
      <c r="AI106" s="45"/>
      <c r="AJ106" s="45"/>
      <c r="AK106" s="45"/>
      <c r="AL106" s="45"/>
      <c r="AM106" s="45"/>
      <c r="AN106" s="45"/>
      <c r="AO106" s="45"/>
      <c r="AP106" s="45"/>
      <c r="AQ106" s="45"/>
      <c r="AR106" s="45"/>
      <c r="AS106" s="45"/>
      <c r="AT106" s="79"/>
      <c r="AU106" s="45"/>
      <c r="AV106" s="45"/>
      <c r="AW106" s="45"/>
      <c r="AX106" s="45"/>
      <c r="AY106" s="45"/>
      <c r="AZ106" s="45"/>
      <c r="BA106" s="45"/>
      <c r="BB106" s="45"/>
      <c r="BC106" s="45"/>
      <c r="BD106" s="45"/>
      <c r="BE106" s="45"/>
      <c r="BF106" s="45"/>
      <c r="BG106" s="45"/>
      <c r="BH106" s="45"/>
      <c r="BI106" s="46"/>
      <c r="BK106" s="22"/>
    </row>
    <row r="107">
      <c r="B107" s="40"/>
      <c r="C107" s="165"/>
      <c r="D107" s="38"/>
      <c r="E107" s="164" t="s">
        <v>20</v>
      </c>
      <c r="F107" s="42">
        <f>1000*I106</f>
        <v>1000</v>
      </c>
      <c r="G107" s="43"/>
      <c r="H107" s="44"/>
      <c r="I107" s="45"/>
      <c r="J107" s="45"/>
      <c r="K107" s="45"/>
      <c r="L107" s="45"/>
      <c r="M107" s="45"/>
      <c r="N107" s="45"/>
      <c r="O107" s="45"/>
      <c r="P107" s="45"/>
      <c r="Q107" s="45"/>
      <c r="R107" s="45"/>
      <c r="S107" s="101"/>
      <c r="T107" s="101"/>
      <c r="U107" s="45"/>
      <c r="V107" s="45"/>
      <c r="W107" s="45"/>
      <c r="X107" s="45"/>
      <c r="Y107" s="45"/>
      <c r="Z107" s="45"/>
      <c r="AA107" s="45"/>
      <c r="AB107" s="45"/>
      <c r="AC107" s="45"/>
      <c r="AD107" s="45"/>
      <c r="AE107" s="45"/>
      <c r="AF107" s="45"/>
      <c r="AG107" s="79"/>
      <c r="AH107" s="45"/>
      <c r="AI107" s="45"/>
      <c r="AJ107" s="45"/>
      <c r="AK107" s="45"/>
      <c r="AL107" s="45"/>
      <c r="AM107" s="45"/>
      <c r="AN107" s="45"/>
      <c r="AO107" s="45"/>
      <c r="AP107" s="45"/>
      <c r="AQ107" s="45"/>
      <c r="AR107" s="45"/>
      <c r="AS107" s="45"/>
      <c r="AT107" s="79"/>
      <c r="AU107" s="45"/>
      <c r="AV107" s="45"/>
      <c r="AW107" s="45"/>
      <c r="AX107" s="45"/>
      <c r="AY107" s="45"/>
      <c r="AZ107" s="45"/>
      <c r="BA107" s="45"/>
      <c r="BB107" s="45"/>
      <c r="BC107" s="45"/>
      <c r="BD107" s="45"/>
      <c r="BE107" s="45"/>
      <c r="BF107" s="45"/>
      <c r="BG107" s="45"/>
      <c r="BH107" s="45"/>
      <c r="BI107" s="46"/>
      <c r="BK107" s="22"/>
    </row>
    <row r="108">
      <c r="B108" s="135"/>
      <c r="C108" s="136"/>
      <c r="D108" s="137"/>
      <c r="E108" s="137"/>
      <c r="F108" s="137"/>
      <c r="G108" s="138"/>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8"/>
      <c r="AH108" s="137"/>
      <c r="AI108" s="137"/>
      <c r="AJ108" s="137"/>
      <c r="AK108" s="137"/>
      <c r="AL108" s="137"/>
      <c r="AM108" s="137"/>
      <c r="AN108" s="137"/>
      <c r="AO108" s="137"/>
      <c r="AP108" s="137"/>
      <c r="AQ108" s="137"/>
      <c r="AR108" s="137"/>
      <c r="AS108" s="137"/>
      <c r="AT108" s="138"/>
      <c r="AU108" s="137"/>
      <c r="AV108" s="137"/>
      <c r="AW108" s="137"/>
      <c r="AX108" s="137"/>
      <c r="AY108" s="137"/>
      <c r="AZ108" s="137"/>
      <c r="BA108" s="137"/>
      <c r="BB108" s="137"/>
      <c r="BC108" s="137"/>
      <c r="BD108" s="137"/>
      <c r="BE108" s="137"/>
      <c r="BF108" s="137"/>
      <c r="BG108" s="137"/>
      <c r="BH108" s="137"/>
      <c r="BI108" s="139"/>
      <c r="BK108" s="22"/>
    </row>
    <row r="109">
      <c r="B109" s="141" t="s">
        <v>850</v>
      </c>
      <c r="C109" s="142"/>
      <c r="D109" s="143"/>
      <c r="E109" s="143"/>
      <c r="F109" s="144"/>
      <c r="G109" s="145"/>
      <c r="H109" s="167" t="s">
        <v>309</v>
      </c>
      <c r="I109" s="147" t="str">
        <f>VLOOKUP(H109,'Machine List'!$A$1:$I$300,9,FALSE)</f>
        <v>1T</v>
      </c>
      <c r="J109" s="147">
        <f>IF(VLOOKUP(H109,'Machine List'!$A$1:$I$300,5,FALSE)="Multi",IF(VLOOKUP(H109,'Machine List'!$A$1:$I$300,6,FALSE)="Yes",AI109*3*10^AB109,AI109*(2*3)*10^(AB109-1)),0)</f>
        <v>0</v>
      </c>
      <c r="K109" s="147">
        <f>J109+IF(ISNUMBER(I109),I109,
  SWITCH(
      I109,
      "1T",1*10^AB109,
      "2T",2*10^AB109,
      "3T",3*10^AB109,
      "4T",4*10^AB109,
      "4000+500(7O-5)",4000+500*(7*I110-5),
      "13500 + 16C",13500+16*VLOOKUP(J111,'Machine Helper Sheet'!$G$1:$K$16,5,FALSE),
      1
  )
)</f>
        <v>10</v>
      </c>
      <c r="L109" s="147">
        <f>IF(VLOOKUP(H109,'Machine List'!$A$1:$I$300,5,FALSE)="Multi",IF(VLOOKUP(H109,'Machine List'!$A$1:$I$300,6,FALSE)="Yes",AW109*3*10^AV109,AW109*(2*3)*10^(AV109-1)),0)</f>
        <v>0</v>
      </c>
      <c r="M109" s="147">
        <f>L109+IF(ISNUMBER(I109),I109,
  SWITCH(
      I109,
      "1T",1*10^AV109,
      "2T",2*10^AV109,
      "3T",3*10^AV109,
      "4T",4*10^AV109,
      "4000+500(7O-5)",4000+500*(7*I110-5),
      1
  )
)</f>
        <v>100000</v>
      </c>
      <c r="N109" s="147" t="str">
        <f>VLOOKUP(H109,'Machine List'!$A$1:$I$300,8,FALSE)</f>
        <v>Tier</v>
      </c>
      <c r="O109" s="147">
        <f>IF(ISNUMBER(N109),N109,10^AB109)</f>
        <v>10</v>
      </c>
      <c r="P109" s="147">
        <f>IF(ISNUMBER(N109),N109,10^AV109)</f>
        <v>100000</v>
      </c>
      <c r="Q109" s="147">
        <f>VLOOKUP(H109,'Machine List'!$A$1:$B$138,2,FALSE)</f>
        <v>1</v>
      </c>
      <c r="R109" s="147" t="s">
        <v>277</v>
      </c>
      <c r="S109" s="143">
        <f>IF(ISNUMBER(Q109),Q109,
  SWITCH(
      Q109,
      "1",1,
      "2T",AB109*2,
      "4T",AB109*4,
      "6T",AB109*6,
      "8T",AB109*8,
      "10T",AB109*10,
      "12T",AB109*12,
      "14T",AB109*14,
      "16T",AB109*16,
      "24T",AB109*24,
      "2(T+1)",2*(AB109+1),
      "1T*C",AB109*J111,
      "2*P",L111*2,
      1
  )
)</f>
        <v>1</v>
      </c>
      <c r="T109" s="38" t="s">
        <v>277</v>
      </c>
      <c r="U109" s="147">
        <f>IF(OR(T109="No",T109=""),S109,T109)</f>
        <v>1</v>
      </c>
      <c r="V109" s="147">
        <f>IF(ISNUMBER(Q109),Q109,
  SWITCH(
      Q109,
      "1",1,
      "2T",AV109*2,
      "4T",AV109*4,
      "6T",AV109*6,
      "8T",AV109*8,
      "10T",AV109*10,
      "12T",AV109*12,
      "14T",AV109*14,
      "16T",AV109*16,
      "24T",AV109*24,
      "2(T+1)",2*(AV109+1),
      "1T*C",AV109*J111,
      "2*P",L111*2,
      1
  )
)</f>
        <v>1</v>
      </c>
      <c r="W109" s="147" t="str">
        <f>T109</f>
        <v>No</v>
      </c>
      <c r="X109" s="147">
        <f>IF(OR(W109="No",W109=""),V109,W109)</f>
        <v>1</v>
      </c>
      <c r="Y109" s="38">
        <f>VLOOKUP(H109,'Machine List'!$A$1:$C$138,3,FALSE)</f>
        <v>1</v>
      </c>
      <c r="Z109" s="38">
        <f>VLOOKUP(H109,'Machine List'!$A$1:$D$138,4,FALSE)</f>
        <v>1</v>
      </c>
      <c r="AA109" s="168" t="s">
        <v>390</v>
      </c>
      <c r="AB109" s="147">
        <f>VLOOKUP(AA109,'Item Helper Sheet'!$A$2:$B$16,2,FALSE)</f>
        <v>1</v>
      </c>
      <c r="AC109" s="147">
        <v>2.0</v>
      </c>
      <c r="AD109" s="147">
        <f>15*20</f>
        <v>300</v>
      </c>
      <c r="AE109" s="147">
        <f>AD109*I111</f>
        <v>300</v>
      </c>
      <c r="AF109" s="147">
        <f>AC109*AE109</f>
        <v>600</v>
      </c>
      <c r="AG109" s="148"/>
      <c r="AH109" s="147" t="str">
        <f>AA109</f>
        <v>01 - LV</v>
      </c>
      <c r="AI109" s="147">
        <v>1.0</v>
      </c>
      <c r="AJ109" s="147">
        <v>1.0</v>
      </c>
      <c r="AK109" s="147">
        <f>AJ109*8*4^AB109</f>
        <v>32</v>
      </c>
      <c r="AL109" s="147">
        <f>MIN(ROUNDDOWN(AK109/AN109,0),U109)</f>
        <v>1</v>
      </c>
      <c r="AM109" s="147">
        <f>IF(OR(T109="No",T109=""),AI109*S109,AI109*T109)</f>
        <v>1</v>
      </c>
      <c r="AN109" s="147">
        <f>ROUNDUP(AC109*VLOOKUP(H109,'Machine List'!$A$2:$D$219,4,FALSE),0)</f>
        <v>2</v>
      </c>
      <c r="AO109" s="147">
        <f>AN109*AM109</f>
        <v>2</v>
      </c>
      <c r="AP109" s="147">
        <f>ROUNDUP(AD109*I111,0)</f>
        <v>300</v>
      </c>
      <c r="AQ109" s="38">
        <f>IF(ISNUMBER(Y109),ROUNDUP(AP109/Y109,0),
  SWITCH(
      Y109,
      "1+0.5C",ROUNDUP(AP109/(1+0.5*VLOOKUP(J111,'Machine Helper Sheet'!$G$1:$K$16,2,FALSE)),0),
      ROUNDUP(AP109/1,0)
  )
)</f>
        <v>300</v>
      </c>
      <c r="AR109" s="147">
        <f>ROUNDUP(AQ109/AM109,0)</f>
        <v>300</v>
      </c>
      <c r="AS109" s="147">
        <f>AO109*AR109</f>
        <v>600</v>
      </c>
      <c r="AT109" s="148"/>
      <c r="AU109" s="168" t="s">
        <v>405</v>
      </c>
      <c r="AV109" s="147">
        <f>VLOOKUP(AU109,'Item Helper Sheet'!$A$2:$B$16,2,FALSE)</f>
        <v>5</v>
      </c>
      <c r="AW109" s="147">
        <f>AI109</f>
        <v>1</v>
      </c>
      <c r="AX109" s="147">
        <v>1.0</v>
      </c>
      <c r="AY109" s="147">
        <f>AX109*8*4^AV109</f>
        <v>8192</v>
      </c>
      <c r="AZ109" s="147">
        <f>MIN(ROUNDDOWN(AY109/AN109,0),X109)</f>
        <v>1</v>
      </c>
      <c r="BA109" s="147">
        <f>AZ109*AW109</f>
        <v>1</v>
      </c>
      <c r="BB109" s="147">
        <f>AN109</f>
        <v>2</v>
      </c>
      <c r="BC109" s="147">
        <f>MIN(AV109-AB109,IF(AY109&gt;=BB110*4,
IF(AY109&gt;=BB110*4^2,
IF(AY109&gt;=BB110*4^3,
IF(AY109&gt;=BB110*4^4,
IF(AY109&gt;=BB110*4^5,
IF(AY109&gt;=BB110*4^6,
IF(AY109&gt;=BB110*4^7,
IF(AY109&gt;=BB110*4^8,
IF(AY109&gt;=BB110*4^9,
IF(AY109&gt;=BB110*4^10,
9),
8),
7),
6),
5),
4),
3),
2),
1),
0))</f>
        <v>4</v>
      </c>
      <c r="BD109" s="147">
        <f>BB109*AZ109*4^BC109</f>
        <v>512</v>
      </c>
      <c r="BE109" s="147">
        <f>BD109*AW109</f>
        <v>512</v>
      </c>
      <c r="BF109" s="143">
        <f>ROUNDUP(IF(R109="Yes",AP109/(2^((BC109)*2)),AP109/(2^(BC109))),0)</f>
        <v>19</v>
      </c>
      <c r="BG109" s="45">
        <f>IF(ISNUMBER(Y109),ROUNDUP(BF109/Y109,0),
  SWITCH(
      Y109,
      "1+0.5C",ROUNDUP(BF109/(1+0.5*VLOOKUP(J111,'Machine Helper Sheet'!$G$1:$K$16,2,FALSE)),0),
      ROUNDUP(BF109/1,0)
  )
)</f>
        <v>19</v>
      </c>
      <c r="BH109" s="143">
        <f>ROUNDUP(BG109/BA109,0)</f>
        <v>19</v>
      </c>
      <c r="BI109" s="149">
        <f>BH109*BE109</f>
        <v>9728</v>
      </c>
      <c r="BK109" s="22"/>
    </row>
    <row r="110">
      <c r="B110" s="31" t="s">
        <v>837</v>
      </c>
      <c r="C110" s="169" t="s">
        <v>158</v>
      </c>
      <c r="D110" s="147">
        <f>1*I111</f>
        <v>1</v>
      </c>
      <c r="E110" s="168" t="s">
        <v>159</v>
      </c>
      <c r="F110" s="152">
        <f>144*I111</f>
        <v>144</v>
      </c>
      <c r="G110" s="138"/>
      <c r="H110" s="153" t="s">
        <v>584</v>
      </c>
      <c r="I110" s="45">
        <f t="array" ref="I110">match(TRUE,ISBLANK(F110:F122),0)-1</f>
        <v>1</v>
      </c>
      <c r="J110" s="154" t="s">
        <v>420</v>
      </c>
      <c r="K110" s="154" t="s">
        <v>585</v>
      </c>
      <c r="L110" s="100" t="s">
        <v>704</v>
      </c>
      <c r="M110" s="147"/>
      <c r="N110" s="147"/>
      <c r="O110" s="147"/>
      <c r="P110" s="147"/>
      <c r="Q110" s="147"/>
      <c r="R110" s="155"/>
      <c r="S110" s="155"/>
      <c r="T110" s="155"/>
      <c r="U110" s="143"/>
      <c r="V110" s="143"/>
      <c r="W110" s="143"/>
      <c r="X110" s="143"/>
      <c r="Y110" s="143"/>
      <c r="Z110" s="143"/>
      <c r="AA110" s="143"/>
      <c r="AB110" s="143"/>
      <c r="AC110" s="143"/>
      <c r="AD110" s="143"/>
      <c r="AE110" s="143"/>
      <c r="AF110" s="143"/>
      <c r="AG110" s="156"/>
      <c r="AH110" s="143"/>
      <c r="AI110" s="143"/>
      <c r="AJ110" s="143"/>
      <c r="AK110" s="143"/>
      <c r="AL110" s="143"/>
      <c r="AM110" s="143"/>
      <c r="AN110" s="143"/>
      <c r="AO110" s="143"/>
      <c r="AP110" s="143"/>
      <c r="AQ110" s="143"/>
      <c r="AR110" s="143"/>
      <c r="AS110" s="143"/>
      <c r="AT110" s="156"/>
      <c r="AU110" s="143"/>
      <c r="AV110" s="143"/>
      <c r="AW110" s="143"/>
      <c r="AX110" s="143"/>
      <c r="AY110" s="143"/>
      <c r="AZ110" s="143"/>
      <c r="BA110" s="143"/>
      <c r="BB110" s="143">
        <f>BB109*AZ109</f>
        <v>2</v>
      </c>
      <c r="BC110" s="143"/>
      <c r="BD110" s="143"/>
      <c r="BE110" s="143"/>
      <c r="BF110" s="143"/>
      <c r="BG110" s="143"/>
      <c r="BH110" s="143"/>
      <c r="BI110" s="149"/>
      <c r="BK110" s="22"/>
    </row>
    <row r="111">
      <c r="B111" s="150"/>
      <c r="C111" s="169"/>
      <c r="D111" s="147"/>
      <c r="E111" s="168"/>
      <c r="F111" s="152"/>
      <c r="G111" s="138"/>
      <c r="H111" s="157" t="s">
        <v>502</v>
      </c>
      <c r="I111" s="170">
        <v>1.0</v>
      </c>
      <c r="J111" s="154" t="s">
        <v>424</v>
      </c>
      <c r="K111" s="154">
        <v>0.0</v>
      </c>
      <c r="L111" s="100">
        <v>0.0</v>
      </c>
      <c r="M111" s="143"/>
      <c r="N111" s="143"/>
      <c r="O111" s="143"/>
      <c r="P111" s="143"/>
      <c r="Q111" s="143"/>
      <c r="R111" s="143"/>
      <c r="S111" s="155"/>
      <c r="T111" s="155"/>
      <c r="U111" s="143"/>
      <c r="V111" s="143"/>
      <c r="W111" s="143"/>
      <c r="X111" s="143"/>
      <c r="Y111" s="143"/>
      <c r="Z111" s="143"/>
      <c r="AA111" s="143"/>
      <c r="AB111" s="143"/>
      <c r="AC111" s="143"/>
      <c r="AD111" s="143"/>
      <c r="AE111" s="143"/>
      <c r="AF111" s="143"/>
      <c r="AG111" s="156"/>
      <c r="AH111" s="143"/>
      <c r="AI111" s="143"/>
      <c r="AJ111" s="143"/>
      <c r="AK111" s="143"/>
      <c r="AL111" s="143"/>
      <c r="AM111" s="143"/>
      <c r="AN111" s="143"/>
      <c r="AO111" s="143"/>
      <c r="AP111" s="143"/>
      <c r="AQ111" s="143"/>
      <c r="AR111" s="143"/>
      <c r="AS111" s="143"/>
      <c r="AT111" s="156"/>
      <c r="AU111" s="143"/>
      <c r="AV111" s="143"/>
      <c r="AW111" s="143"/>
      <c r="AX111" s="143"/>
      <c r="AY111" s="143"/>
      <c r="AZ111" s="143"/>
      <c r="BA111" s="143"/>
      <c r="BB111" s="143"/>
      <c r="BC111" s="143"/>
      <c r="BD111" s="143"/>
      <c r="BE111" s="143"/>
      <c r="BF111" s="143"/>
      <c r="BG111" s="143"/>
      <c r="BH111" s="143"/>
      <c r="BI111" s="149"/>
      <c r="BK111" s="22"/>
    </row>
    <row r="112">
      <c r="B112" s="135"/>
      <c r="C112" s="136"/>
      <c r="D112" s="137"/>
      <c r="E112" s="137"/>
      <c r="F112" s="137"/>
      <c r="G112" s="138"/>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8"/>
      <c r="AH112" s="137"/>
      <c r="AI112" s="137"/>
      <c r="AJ112" s="137"/>
      <c r="AK112" s="137"/>
      <c r="AL112" s="137"/>
      <c r="AM112" s="137"/>
      <c r="AN112" s="137"/>
      <c r="AO112" s="137"/>
      <c r="AP112" s="137"/>
      <c r="AQ112" s="137"/>
      <c r="AR112" s="137"/>
      <c r="AS112" s="137"/>
      <c r="AT112" s="138"/>
      <c r="AU112" s="137"/>
      <c r="AV112" s="137"/>
      <c r="AW112" s="137"/>
      <c r="AX112" s="137"/>
      <c r="AY112" s="137"/>
      <c r="AZ112" s="137"/>
      <c r="BA112" s="137"/>
      <c r="BB112" s="137"/>
      <c r="BC112" s="137"/>
      <c r="BD112" s="137"/>
      <c r="BE112" s="137"/>
      <c r="BF112" s="137"/>
      <c r="BG112" s="137"/>
      <c r="BH112" s="137"/>
      <c r="BI112" s="139"/>
      <c r="BK112" s="22"/>
    </row>
    <row r="113">
      <c r="B113" s="31" t="s">
        <v>851</v>
      </c>
      <c r="C113" s="54"/>
      <c r="D113" s="45"/>
      <c r="E113" s="45"/>
      <c r="F113" s="47"/>
      <c r="G113" s="35"/>
      <c r="H113" s="163" t="s">
        <v>349</v>
      </c>
      <c r="I113" s="38">
        <f>VLOOKUP(H113,'Machine List'!$A$1:$I$300,9,FALSE)</f>
        <v>4000</v>
      </c>
      <c r="J113" s="38">
        <f>IF(VLOOKUP(H113,'Machine List'!$A$1:$I$300,5,FALSE)="Multi",IF(VLOOKUP(H113,'Machine List'!$A$1:$I$300,6,FALSE)="Yes",AI113*3*10^AB113,AI113*(2*3)*10^(AB113-1)),0)</f>
        <v>60</v>
      </c>
      <c r="K113" s="38">
        <f>J113+IF(ISNUMBER(I113),I113,
  SWITCH(
      I113,
      "1T",1*10^AB113,
      "2T",2*10^AB113,
      "3T",3*10^AB113,
      "4T",4*10^AB113,
      "4000+500(7O-5)",4000+500*(7*I114-5),
      "13500 + 16C",13500+16*VLOOKUP(J115,'Machine Helper Sheet'!$G$1:$K$16,5,FALSE),
      1
  )
)</f>
        <v>4060</v>
      </c>
      <c r="L113" s="38">
        <f>IF(VLOOKUP(H113,'Machine List'!$A$1:$I$300,5,FALSE)="Multi",IF(VLOOKUP(H113,'Machine List'!$A$1:$I$300,6,FALSE)="Yes",AW113*3*10^AV113,AW113*(2*3)*10^(AV113-1)),0)</f>
        <v>60000</v>
      </c>
      <c r="M113" s="38">
        <f>L113+IF(ISNUMBER(I113),I113,
  SWITCH(
      I113,
      "1T",1*10^AV113,
      "2T",2*10^AV113,
      "3T",3*10^AV113,
      "4T",4*10^AV113,
      "4000+500(7O-5)",4000+500*(7*I114-5),
      1
  )
)</f>
        <v>64000</v>
      </c>
      <c r="N113" s="38" t="str">
        <f>VLOOKUP(H113,'Machine List'!$A$1:$I$300,8,FALSE)</f>
        <v>Tier</v>
      </c>
      <c r="O113" s="38">
        <f>IF(ISNUMBER(N113),N113,10^AB113)</f>
        <v>100</v>
      </c>
      <c r="P113" s="38">
        <f>IF(ISNUMBER(N113),N113,10^AV113)</f>
        <v>100000</v>
      </c>
      <c r="Q113" s="38">
        <f>VLOOKUP(H113,'Machine List'!$A$1:$B$138,2,FALSE)</f>
        <v>1</v>
      </c>
      <c r="R113" s="164" t="s">
        <v>594</v>
      </c>
      <c r="S113" s="45">
        <f>IF(ISNUMBER(Q113),Q113,
  SWITCH(
      Q113,
      "1",1,
      "2T",AB113*2,
      "4T",AB113*4,
      "6T",AB113*6,
      "8T",AB113*8,
      "10T",AB113*10,
      "12T",AB113*12,
      "14T",AB113*14,
      "16T",AB113*16,
      "24T",AB113*24,
      "2(T+1)",2*(AB113+1),
      "1T*C",AB113*J115,
      "2*P",L115*2,
      1
  )
)</f>
        <v>1</v>
      </c>
      <c r="T113" s="38" t="s">
        <v>277</v>
      </c>
      <c r="U113" s="38">
        <f>IF(OR(T113="No",T113=""),S113,T113)</f>
        <v>1</v>
      </c>
      <c r="V113" s="38">
        <f>IF(ISNUMBER(Q113),Q113,
  SWITCH(
      Q113,
      "1",1,
      "2T",AV113*2,
      "4T",AV113*4,
      "6T",AV113*6,
      "8T",AV113*8,
      "10T",AV113*10,
      "12T",AV113*12,
      "14T",AV113*14,
      "16T",AV113*16,
      "24T",AV113*24,
      "2(T+1)",2*(AV113+1),
      "1T*C",AV113*J115,
      "2*P",L115*2,
      1
  )
)</f>
        <v>1</v>
      </c>
      <c r="W113" s="38" t="str">
        <f>T113</f>
        <v>No</v>
      </c>
      <c r="X113" s="38">
        <f>IF(OR(W113="No",W113=""),V113,W113)</f>
        <v>1</v>
      </c>
      <c r="Y113" s="38">
        <f>VLOOKUP(H113,'Machine List'!$A$1:$C$138,3,FALSE)</f>
        <v>1</v>
      </c>
      <c r="Z113" s="38">
        <f>VLOOKUP(H113,'Machine List'!$A$1:$D$138,4,FALSE)</f>
        <v>1</v>
      </c>
      <c r="AA113" s="164" t="s">
        <v>393</v>
      </c>
      <c r="AB113" s="38">
        <f>VLOOKUP(AA113,'Item Helper Sheet'!$A$2:$B$16,2,FALSE)</f>
        <v>2</v>
      </c>
      <c r="AC113" s="164">
        <v>90.0</v>
      </c>
      <c r="AD113" s="38">
        <f>2.1*20</f>
        <v>42</v>
      </c>
      <c r="AE113" s="38">
        <f>AD113*I115</f>
        <v>42</v>
      </c>
      <c r="AF113" s="38">
        <f>AC113*AE113</f>
        <v>3780</v>
      </c>
      <c r="AG113" s="75"/>
      <c r="AH113" s="38" t="str">
        <f>AA113</f>
        <v>02 - MV</v>
      </c>
      <c r="AI113" s="38">
        <v>1.0</v>
      </c>
      <c r="AJ113" s="38">
        <v>1.0</v>
      </c>
      <c r="AK113" s="38">
        <f>AJ113*8*4^AB113</f>
        <v>128</v>
      </c>
      <c r="AL113" s="38">
        <f>MIN(ROUNDDOWN(AK113/AN113,0),U113)</f>
        <v>1</v>
      </c>
      <c r="AM113" s="38">
        <f>IF(OR(T113="No",T113=""),AI113*S113,AI113*T113)</f>
        <v>1</v>
      </c>
      <c r="AN113" s="38">
        <f>ROUNDUP(AC113*VLOOKUP(H113,'Machine List'!$A$2:$D$219,4,FALSE),0)</f>
        <v>90</v>
      </c>
      <c r="AO113" s="38">
        <f>AN113*AM113</f>
        <v>90</v>
      </c>
      <c r="AP113" s="38">
        <f>ROUNDUP(AD113*I115,0)</f>
        <v>42</v>
      </c>
      <c r="AQ113" s="38">
        <f>IF(ISNUMBER(Y113),ROUNDUP(AP113/Y113,0),
  SWITCH(
      Y113,
      "1+0.5C",ROUNDUP(AP113/(1+0.5*VLOOKUP(J115,'Machine Helper Sheet'!$G$1:$K$16,2,FALSE)),0),
      ROUNDUP(AP113/1,0)
  )
)</f>
        <v>42</v>
      </c>
      <c r="AR113" s="38">
        <f>ROUNDUP(AQ113/AM113,0)</f>
        <v>42</v>
      </c>
      <c r="AS113" s="38">
        <f>AO113*AR113</f>
        <v>3780</v>
      </c>
      <c r="AT113" s="75"/>
      <c r="AU113" s="164" t="s">
        <v>405</v>
      </c>
      <c r="AV113" s="38">
        <f>VLOOKUP(AU113,'Item Helper Sheet'!$A$2:$B$16,2,FALSE)</f>
        <v>5</v>
      </c>
      <c r="AW113" s="38">
        <f>AI113</f>
        <v>1</v>
      </c>
      <c r="AX113" s="38">
        <v>1.0</v>
      </c>
      <c r="AY113" s="38">
        <f>AX113*8*4^AV113</f>
        <v>8192</v>
      </c>
      <c r="AZ113" s="38">
        <f>MIN(ROUNDDOWN(AY113/AN113,0),X113)</f>
        <v>1</v>
      </c>
      <c r="BA113" s="38">
        <f>AZ113*AW113</f>
        <v>1</v>
      </c>
      <c r="BB113" s="38">
        <f>AN113</f>
        <v>90</v>
      </c>
      <c r="BC113" s="38">
        <f>MIN(AV113-AB113,IF(AY113&gt;=BB114*4,
IF(AY113&gt;=BB114*4^2,
IF(AY113&gt;=BB114*4^3,
IF(AY113&gt;=BB114*4^4,
IF(AY113&gt;=BB114*4^5,
IF(AY113&gt;=BB114*4^6,
IF(AY113&gt;=BB114*4^7,
IF(AY113&gt;=BB114*4^8,
IF(AY113&gt;=BB114*4^9,
IF(AY113&gt;=BB114*4^10,
9),
8),
7),
6),
5),
4),
3),
2),
1),
0))</f>
        <v>3</v>
      </c>
      <c r="BD113" s="38">
        <f>BB113*AZ113*4^BC113</f>
        <v>5760</v>
      </c>
      <c r="BE113" s="38">
        <f>BD113*AW113</f>
        <v>5760</v>
      </c>
      <c r="BF113" s="45">
        <f>ROUNDUP(IF(R113="Yes",AP113/(2^((BC113)*2)),AP113/(2^(BC113))),0)</f>
        <v>1</v>
      </c>
      <c r="BG113" s="45">
        <f>IF(ISNUMBER(Y113),ROUNDUP(BF113/Y113,0),
  SWITCH(
      Y113,
      "1+0.5C",ROUNDUP(BF113/(1+0.5*VLOOKUP(J115,'Machine Helper Sheet'!$G$1:$K$16,2,FALSE)),0),
      ROUNDUP(BF113/1,0)
  )
)</f>
        <v>1</v>
      </c>
      <c r="BH113" s="45">
        <f>ROUNDUP(BG113/BA113,0)</f>
        <v>1</v>
      </c>
      <c r="BI113" s="46">
        <f>BH113*BE113</f>
        <v>5760</v>
      </c>
      <c r="BK113" s="22"/>
    </row>
    <row r="114">
      <c r="B114" s="31" t="s">
        <v>837</v>
      </c>
      <c r="C114" s="165" t="s">
        <v>264</v>
      </c>
      <c r="D114" s="38">
        <f>2*I115</f>
        <v>2</v>
      </c>
      <c r="E114" s="164" t="s">
        <v>158</v>
      </c>
      <c r="F114" s="42">
        <f>11*I115</f>
        <v>11</v>
      </c>
      <c r="G114" s="43"/>
      <c r="H114" s="99" t="s">
        <v>584</v>
      </c>
      <c r="I114" s="45">
        <f t="array" ref="I114">match(TRUE,ISBLANK(F114:F124),0)-1</f>
        <v>1</v>
      </c>
      <c r="J114" s="100" t="s">
        <v>420</v>
      </c>
      <c r="K114" s="100" t="s">
        <v>585</v>
      </c>
      <c r="L114" s="100" t="s">
        <v>704</v>
      </c>
      <c r="M114" s="38"/>
      <c r="N114" s="38"/>
      <c r="O114" s="38"/>
      <c r="P114" s="38"/>
      <c r="Q114" s="38"/>
      <c r="R114" s="101"/>
      <c r="S114" s="101"/>
      <c r="T114" s="101"/>
      <c r="U114" s="45"/>
      <c r="V114" s="45"/>
      <c r="W114" s="45"/>
      <c r="X114" s="45"/>
      <c r="Y114" s="45"/>
      <c r="Z114" s="45"/>
      <c r="AA114" s="45"/>
      <c r="AB114" s="45"/>
      <c r="AC114" s="45"/>
      <c r="AD114" s="45"/>
      <c r="AE114" s="45"/>
      <c r="AF114" s="45"/>
      <c r="AG114" s="79"/>
      <c r="AH114" s="45"/>
      <c r="AI114" s="45"/>
      <c r="AJ114" s="45"/>
      <c r="AK114" s="45"/>
      <c r="AL114" s="45"/>
      <c r="AM114" s="45"/>
      <c r="AN114" s="45"/>
      <c r="AO114" s="45"/>
      <c r="AP114" s="45"/>
      <c r="AQ114" s="45"/>
      <c r="AR114" s="45"/>
      <c r="AS114" s="45"/>
      <c r="AT114" s="79"/>
      <c r="AU114" s="45"/>
      <c r="AV114" s="45"/>
      <c r="AW114" s="45"/>
      <c r="AX114" s="45"/>
      <c r="AY114" s="45"/>
      <c r="AZ114" s="45"/>
      <c r="BA114" s="45"/>
      <c r="BB114" s="45">
        <f>BB113*AZ113</f>
        <v>90</v>
      </c>
      <c r="BC114" s="45"/>
      <c r="BD114" s="45"/>
      <c r="BE114" s="45"/>
      <c r="BF114" s="45"/>
      <c r="BG114" s="45"/>
      <c r="BH114" s="45"/>
      <c r="BI114" s="46"/>
      <c r="BK114" s="22"/>
    </row>
    <row r="115">
      <c r="B115" s="40"/>
      <c r="C115" s="165" t="s">
        <v>265</v>
      </c>
      <c r="D115" s="38">
        <f>2*I115</f>
        <v>2</v>
      </c>
      <c r="E115" s="164"/>
      <c r="F115" s="42"/>
      <c r="G115" s="43"/>
      <c r="H115" s="56" t="s">
        <v>502</v>
      </c>
      <c r="I115" s="166">
        <v>1.0</v>
      </c>
      <c r="J115" s="100" t="s">
        <v>424</v>
      </c>
      <c r="K115" s="100">
        <v>0.0</v>
      </c>
      <c r="L115" s="100">
        <v>0.0</v>
      </c>
      <c r="M115" s="45"/>
      <c r="N115" s="45"/>
      <c r="O115" s="45"/>
      <c r="P115" s="45"/>
      <c r="Q115" s="45"/>
      <c r="R115" s="45"/>
      <c r="S115" s="101"/>
      <c r="T115" s="101"/>
      <c r="U115" s="45"/>
      <c r="V115" s="45"/>
      <c r="W115" s="45"/>
      <c r="X115" s="45"/>
      <c r="Y115" s="45"/>
      <c r="Z115" s="45"/>
      <c r="AA115" s="45"/>
      <c r="AB115" s="45"/>
      <c r="AC115" s="45"/>
      <c r="AD115" s="45"/>
      <c r="AE115" s="45"/>
      <c r="AF115" s="45"/>
      <c r="AG115" s="79"/>
      <c r="AH115" s="45"/>
      <c r="AI115" s="45"/>
      <c r="AJ115" s="45"/>
      <c r="AK115" s="45"/>
      <c r="AL115" s="45"/>
      <c r="AM115" s="45"/>
      <c r="AN115" s="45"/>
      <c r="AO115" s="45"/>
      <c r="AP115" s="45"/>
      <c r="AQ115" s="45"/>
      <c r="AR115" s="45"/>
      <c r="AS115" s="45"/>
      <c r="AT115" s="79"/>
      <c r="AU115" s="45"/>
      <c r="AV115" s="45"/>
      <c r="AW115" s="45"/>
      <c r="AX115" s="45"/>
      <c r="AY115" s="45"/>
      <c r="AZ115" s="45"/>
      <c r="BA115" s="45"/>
      <c r="BB115" s="45"/>
      <c r="BC115" s="45"/>
      <c r="BD115" s="45"/>
      <c r="BE115" s="45"/>
      <c r="BF115" s="45"/>
      <c r="BG115" s="45"/>
      <c r="BH115" s="45"/>
      <c r="BI115" s="46"/>
      <c r="BK115" s="22"/>
    </row>
    <row r="116">
      <c r="B116" s="40"/>
      <c r="C116" s="165" t="s">
        <v>142</v>
      </c>
      <c r="D116" s="38">
        <f>7000*I115</f>
        <v>7000</v>
      </c>
      <c r="E116" s="164"/>
      <c r="F116" s="42"/>
      <c r="G116" s="43"/>
      <c r="H116" s="44"/>
      <c r="I116" s="45"/>
      <c r="J116" s="45"/>
      <c r="K116" s="45"/>
      <c r="L116" s="45"/>
      <c r="M116" s="45"/>
      <c r="N116" s="45"/>
      <c r="O116" s="45"/>
      <c r="P116" s="45"/>
      <c r="Q116" s="45"/>
      <c r="R116" s="45"/>
      <c r="S116" s="101"/>
      <c r="T116" s="101"/>
      <c r="U116" s="45"/>
      <c r="V116" s="45"/>
      <c r="W116" s="45"/>
      <c r="X116" s="45"/>
      <c r="Y116" s="45"/>
      <c r="Z116" s="45"/>
      <c r="AA116" s="45"/>
      <c r="AB116" s="45"/>
      <c r="AC116" s="45"/>
      <c r="AD116" s="45"/>
      <c r="AE116" s="45"/>
      <c r="AF116" s="45"/>
      <c r="AG116" s="79"/>
      <c r="AH116" s="45"/>
      <c r="AI116" s="45"/>
      <c r="AJ116" s="45"/>
      <c r="AK116" s="45"/>
      <c r="AL116" s="45"/>
      <c r="AM116" s="45"/>
      <c r="AN116" s="45"/>
      <c r="AO116" s="45"/>
      <c r="AP116" s="45"/>
      <c r="AQ116" s="45"/>
      <c r="AR116" s="45"/>
      <c r="AS116" s="45"/>
      <c r="AT116" s="79"/>
      <c r="AU116" s="45"/>
      <c r="AV116" s="45"/>
      <c r="AW116" s="45"/>
      <c r="AX116" s="45"/>
      <c r="AY116" s="45"/>
      <c r="AZ116" s="45"/>
      <c r="BA116" s="45"/>
      <c r="BB116" s="45"/>
      <c r="BC116" s="45"/>
      <c r="BD116" s="45"/>
      <c r="BE116" s="45"/>
      <c r="BF116" s="45"/>
      <c r="BG116" s="45"/>
      <c r="BH116" s="45"/>
      <c r="BI116" s="46"/>
      <c r="BK116" s="22"/>
    </row>
    <row r="117">
      <c r="B117" s="135"/>
      <c r="C117" s="136"/>
      <c r="D117" s="137"/>
      <c r="E117" s="137"/>
      <c r="F117" s="137"/>
      <c r="G117" s="138"/>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c r="AG117" s="138"/>
      <c r="AH117" s="137"/>
      <c r="AI117" s="137"/>
      <c r="AJ117" s="137"/>
      <c r="AK117" s="137"/>
      <c r="AL117" s="137"/>
      <c r="AM117" s="137"/>
      <c r="AN117" s="137"/>
      <c r="AO117" s="137"/>
      <c r="AP117" s="137"/>
      <c r="AQ117" s="137"/>
      <c r="AR117" s="137"/>
      <c r="AS117" s="137"/>
      <c r="AT117" s="138"/>
      <c r="AU117" s="137"/>
      <c r="AV117" s="137"/>
      <c r="AW117" s="137"/>
      <c r="AX117" s="137"/>
      <c r="AY117" s="137"/>
      <c r="AZ117" s="137"/>
      <c r="BA117" s="137"/>
      <c r="BB117" s="137"/>
      <c r="BC117" s="137"/>
      <c r="BD117" s="137"/>
      <c r="BE117" s="137"/>
      <c r="BF117" s="137"/>
      <c r="BG117" s="137"/>
      <c r="BH117" s="137"/>
      <c r="BI117" s="139"/>
      <c r="BK117" s="22"/>
    </row>
    <row r="118">
      <c r="B118" s="31" t="s">
        <v>852</v>
      </c>
      <c r="C118" s="54"/>
      <c r="D118" s="45"/>
      <c r="E118" s="45"/>
      <c r="F118" s="47"/>
      <c r="G118" s="35"/>
      <c r="H118" s="163" t="s">
        <v>349</v>
      </c>
      <c r="I118" s="38">
        <f>VLOOKUP(H118,'Machine List'!$A$1:$I$300,9,FALSE)</f>
        <v>4000</v>
      </c>
      <c r="J118" s="38">
        <f>IF(VLOOKUP(H118,'Machine List'!$A$1:$I$300,5,FALSE)="Multi",IF(VLOOKUP(H118,'Machine List'!$A$1:$I$300,6,FALSE)="Yes",AI118*3*10^AB118,AI118*(2*3)*10^(AB118-1)),0)</f>
        <v>60</v>
      </c>
      <c r="K118" s="38">
        <f>J118+IF(ISNUMBER(I118),I118,
  SWITCH(
      I118,
      "1T",1*10^AB118,
      "2T",2*10^AB118,
      "3T",3*10^AB118,
      "4T",4*10^AB118,
      "4000+500(7O-5)",4000+500*(7*I119-5),
      "13500 + 16C",13500+16*VLOOKUP(J120,'Machine Helper Sheet'!$G$1:$K$16,5,FALSE),
      1
  )
)</f>
        <v>4060</v>
      </c>
      <c r="L118" s="38">
        <f>IF(VLOOKUP(H118,'Machine List'!$A$1:$I$300,5,FALSE)="Multi",IF(VLOOKUP(H118,'Machine List'!$A$1:$I$300,6,FALSE)="Yes",AW118*3*10^AV118,AW118*(2*3)*10^(AV118-1)),0)</f>
        <v>60000</v>
      </c>
      <c r="M118" s="38">
        <f>L118+IF(ISNUMBER(I118),I118,
  SWITCH(
      I118,
      "1T",1*10^AV118,
      "2T",2*10^AV118,
      "3T",3*10^AV118,
      "4T",4*10^AV118,
      "4000+500(7O-5)",4000+500*(7*I119-5),
      1
  )
)</f>
        <v>64000</v>
      </c>
      <c r="N118" s="38" t="str">
        <f>VLOOKUP(H118,'Machine List'!$A$1:$I$300,8,FALSE)</f>
        <v>Tier</v>
      </c>
      <c r="O118" s="38">
        <f>IF(ISNUMBER(N118),N118,10^AB118)</f>
        <v>100</v>
      </c>
      <c r="P118" s="38">
        <f>IF(ISNUMBER(N118),N118,10^AV118)</f>
        <v>100000</v>
      </c>
      <c r="Q118" s="38">
        <f>VLOOKUP(H118,'Machine List'!$A$1:$B$138,2,FALSE)</f>
        <v>1</v>
      </c>
      <c r="R118" s="164" t="s">
        <v>594</v>
      </c>
      <c r="S118" s="45">
        <f>IF(ISNUMBER(Q118),Q118,
  SWITCH(
      Q118,
      "1",1,
      "2T",AB118*2,
      "4T",AB118*4,
      "6T",AB118*6,
      "8T",AB118*8,
      "10T",AB118*10,
      "12T",AB118*12,
      "14T",AB118*14,
      "16T",AB118*16,
      "24T",AB118*24,
      "2(T+1)",2*(AB118+1),
      "1T*C",AB118*J120,
      "2*P",L120*2,
      1
  )
)</f>
        <v>1</v>
      </c>
      <c r="T118" s="38" t="s">
        <v>277</v>
      </c>
      <c r="U118" s="38">
        <f>IF(OR(T118="No",T118=""),S118,T118)</f>
        <v>1</v>
      </c>
      <c r="V118" s="38">
        <f>IF(ISNUMBER(Q118),Q118,
  SWITCH(
      Q118,
      "1",1,
      "2T",AV118*2,
      "4T",AV118*4,
      "6T",AV118*6,
      "8T",AV118*8,
      "10T",AV118*10,
      "12T",AV118*12,
      "14T",AV118*14,
      "16T",AV118*16,
      "24T",AV118*24,
      "2(T+1)",2*(AV118+1),
      "1T*C",AV118*J120,
      "2*P",L120*2,
      1
  )
)</f>
        <v>1</v>
      </c>
      <c r="W118" s="38" t="str">
        <f>T118</f>
        <v>No</v>
      </c>
      <c r="X118" s="38">
        <f>IF(OR(W118="No",W118=""),V118,W118)</f>
        <v>1</v>
      </c>
      <c r="Y118" s="38">
        <f>VLOOKUP(H118,'Machine List'!$A$1:$C$138,3,FALSE)</f>
        <v>1</v>
      </c>
      <c r="Z118" s="38">
        <f>VLOOKUP(H118,'Machine List'!$A$1:$D$138,4,FALSE)</f>
        <v>1</v>
      </c>
      <c r="AA118" s="164" t="s">
        <v>393</v>
      </c>
      <c r="AB118" s="38">
        <f>VLOOKUP(AA118,'Item Helper Sheet'!$A$2:$B$16,2,FALSE)</f>
        <v>2</v>
      </c>
      <c r="AC118" s="164">
        <v>60.0</v>
      </c>
      <c r="AD118" s="38">
        <f>0.4*20</f>
        <v>8</v>
      </c>
      <c r="AE118" s="38">
        <f>AD118*I120</f>
        <v>8</v>
      </c>
      <c r="AF118" s="38">
        <f>AC118*AE118</f>
        <v>480</v>
      </c>
      <c r="AG118" s="75"/>
      <c r="AH118" s="38" t="str">
        <f>AA118</f>
        <v>02 - MV</v>
      </c>
      <c r="AI118" s="38">
        <v>1.0</v>
      </c>
      <c r="AJ118" s="38">
        <v>1.0</v>
      </c>
      <c r="AK118" s="38">
        <f>AJ118*8*4^AB118</f>
        <v>128</v>
      </c>
      <c r="AL118" s="38">
        <f>MIN(ROUNDDOWN(AK118/AN118,0),U118)</f>
        <v>1</v>
      </c>
      <c r="AM118" s="38">
        <f>IF(OR(T118="No",T118=""),AI118*S118,AI118*T118)</f>
        <v>1</v>
      </c>
      <c r="AN118" s="38">
        <f>ROUNDUP(AC118*VLOOKUP(H118,'Machine List'!$A$2:$D$219,4,FALSE),0)</f>
        <v>60</v>
      </c>
      <c r="AO118" s="38">
        <f>AN118*AM118</f>
        <v>60</v>
      </c>
      <c r="AP118" s="38">
        <f>ROUNDUP(AD118*I120,0)</f>
        <v>8</v>
      </c>
      <c r="AQ118" s="38">
        <f>IF(ISNUMBER(Y118),ROUNDUP(AP118/Y118,0),
  SWITCH(
      Y118,
      "1+0.5C",ROUNDUP(AP118/(1+0.5*VLOOKUP(J120,'Machine Helper Sheet'!$G$1:$K$16,2,FALSE)),0),
      ROUNDUP(AP118/1,0)
  )
)</f>
        <v>8</v>
      </c>
      <c r="AR118" s="38">
        <f>ROUNDUP(AQ118/AM118,0)</f>
        <v>8</v>
      </c>
      <c r="AS118" s="38">
        <f>AO118*AR118</f>
        <v>480</v>
      </c>
      <c r="AT118" s="75"/>
      <c r="AU118" s="164" t="s">
        <v>405</v>
      </c>
      <c r="AV118" s="38">
        <f>VLOOKUP(AU118,'Item Helper Sheet'!$A$2:$B$16,2,FALSE)</f>
        <v>5</v>
      </c>
      <c r="AW118" s="38">
        <f>AI118</f>
        <v>1</v>
      </c>
      <c r="AX118" s="38">
        <v>1.0</v>
      </c>
      <c r="AY118" s="38">
        <f>AX118*8*4^AV118</f>
        <v>8192</v>
      </c>
      <c r="AZ118" s="38">
        <f>MIN(ROUNDDOWN(AY118/AN118,0),X118)</f>
        <v>1</v>
      </c>
      <c r="BA118" s="38">
        <f>AZ118*AW118</f>
        <v>1</v>
      </c>
      <c r="BB118" s="38">
        <f>AN118</f>
        <v>60</v>
      </c>
      <c r="BC118" s="38">
        <f>MIN(AV118-AB118,IF(AY118&gt;=BB119*4,
IF(AY118&gt;=BB119*4^2,
IF(AY118&gt;=BB119*4^3,
IF(AY118&gt;=BB119*4^4,
IF(AY118&gt;=BB119*4^5,
IF(AY118&gt;=BB119*4^6,
IF(AY118&gt;=BB119*4^7,
IF(AY118&gt;=BB119*4^8,
IF(AY118&gt;=BB119*4^9,
IF(AY118&gt;=BB119*4^10,
9),
8),
7),
6),
5),
4),
3),
2),
1),
0))</f>
        <v>3</v>
      </c>
      <c r="BD118" s="38">
        <f>BB118*AZ118*4^BC118</f>
        <v>3840</v>
      </c>
      <c r="BE118" s="38">
        <f>BD118*AW118</f>
        <v>3840</v>
      </c>
      <c r="BF118" s="45">
        <f>ROUNDUP(IF(R118="Yes",AP118/(2^((BC118)*2)),AP118/(2^(BC118))),0)</f>
        <v>1</v>
      </c>
      <c r="BG118" s="45">
        <f>IF(ISNUMBER(Y118),ROUNDUP(BF118/Y118,0),
  SWITCH(
      Y118,
      "1+0.5C",ROUNDUP(BF118/(1+0.5*VLOOKUP(J120,'Machine Helper Sheet'!$G$1:$K$16,2,FALSE)),0),
      ROUNDUP(BF118/1,0)
  )
)</f>
        <v>1</v>
      </c>
      <c r="BH118" s="45">
        <f>ROUNDUP(BG118/BA118,0)</f>
        <v>1</v>
      </c>
      <c r="BI118" s="46">
        <f>BH118*BE118</f>
        <v>3840</v>
      </c>
      <c r="BK118" s="22"/>
    </row>
    <row r="119">
      <c r="B119" s="31" t="s">
        <v>837</v>
      </c>
      <c r="C119" s="165" t="s">
        <v>213</v>
      </c>
      <c r="D119" s="38">
        <f>1*I120</f>
        <v>1</v>
      </c>
      <c r="E119" s="164" t="s">
        <v>217</v>
      </c>
      <c r="F119" s="42">
        <f>5*I120</f>
        <v>5</v>
      </c>
      <c r="G119" s="43"/>
      <c r="H119" s="99" t="s">
        <v>584</v>
      </c>
      <c r="I119" s="45">
        <f t="array" ref="I119">match(TRUE,ISBLANK(F119:F129),0)-1</f>
        <v>2</v>
      </c>
      <c r="J119" s="100" t="s">
        <v>420</v>
      </c>
      <c r="K119" s="100" t="s">
        <v>585</v>
      </c>
      <c r="L119" s="100" t="s">
        <v>704</v>
      </c>
      <c r="M119" s="38"/>
      <c r="N119" s="38"/>
      <c r="O119" s="38"/>
      <c r="P119" s="38"/>
      <c r="Q119" s="38"/>
      <c r="R119" s="101"/>
      <c r="S119" s="101"/>
      <c r="T119" s="101"/>
      <c r="U119" s="45"/>
      <c r="V119" s="45"/>
      <c r="W119" s="45"/>
      <c r="X119" s="45"/>
      <c r="Y119" s="45"/>
      <c r="Z119" s="45"/>
      <c r="AA119" s="45"/>
      <c r="AB119" s="45"/>
      <c r="AC119" s="45"/>
      <c r="AD119" s="45"/>
      <c r="AE119" s="45"/>
      <c r="AF119" s="45"/>
      <c r="AG119" s="79"/>
      <c r="AH119" s="45"/>
      <c r="AI119" s="45"/>
      <c r="AJ119" s="45"/>
      <c r="AK119" s="45"/>
      <c r="AL119" s="45"/>
      <c r="AM119" s="45"/>
      <c r="AN119" s="45"/>
      <c r="AO119" s="45"/>
      <c r="AP119" s="45"/>
      <c r="AQ119" s="45"/>
      <c r="AR119" s="45"/>
      <c r="AS119" s="45"/>
      <c r="AT119" s="79"/>
      <c r="AU119" s="45"/>
      <c r="AV119" s="45"/>
      <c r="AW119" s="45"/>
      <c r="AX119" s="45"/>
      <c r="AY119" s="45"/>
      <c r="AZ119" s="45"/>
      <c r="BA119" s="45"/>
      <c r="BB119" s="45">
        <f>BB118*AZ118</f>
        <v>60</v>
      </c>
      <c r="BC119" s="45"/>
      <c r="BD119" s="45"/>
      <c r="BE119" s="45"/>
      <c r="BF119" s="45"/>
      <c r="BG119" s="45"/>
      <c r="BH119" s="45"/>
      <c r="BI119" s="46"/>
      <c r="BK119" s="22"/>
    </row>
    <row r="120">
      <c r="B120" s="40"/>
      <c r="C120" s="165" t="s">
        <v>130</v>
      </c>
      <c r="D120" s="38">
        <f>1000*I120</f>
        <v>1000</v>
      </c>
      <c r="E120" s="164" t="s">
        <v>87</v>
      </c>
      <c r="F120" s="42">
        <f>1000*I120</f>
        <v>1000</v>
      </c>
      <c r="G120" s="43"/>
      <c r="H120" s="56" t="s">
        <v>502</v>
      </c>
      <c r="I120" s="166">
        <v>1.0</v>
      </c>
      <c r="J120" s="100" t="s">
        <v>424</v>
      </c>
      <c r="K120" s="100">
        <v>0.0</v>
      </c>
      <c r="L120" s="100">
        <v>0.0</v>
      </c>
      <c r="M120" s="45"/>
      <c r="N120" s="45"/>
      <c r="O120" s="45"/>
      <c r="P120" s="45"/>
      <c r="Q120" s="45"/>
      <c r="R120" s="45"/>
      <c r="S120" s="101"/>
      <c r="T120" s="101"/>
      <c r="U120" s="45"/>
      <c r="V120" s="45"/>
      <c r="W120" s="45"/>
      <c r="X120" s="45"/>
      <c r="Y120" s="45"/>
      <c r="Z120" s="45"/>
      <c r="AA120" s="45"/>
      <c r="AB120" s="45"/>
      <c r="AC120" s="45"/>
      <c r="AD120" s="45"/>
      <c r="AE120" s="45"/>
      <c r="AF120" s="45"/>
      <c r="AG120" s="79"/>
      <c r="AH120" s="45"/>
      <c r="AI120" s="45"/>
      <c r="AJ120" s="45"/>
      <c r="AK120" s="45"/>
      <c r="AL120" s="45"/>
      <c r="AM120" s="45"/>
      <c r="AN120" s="45"/>
      <c r="AO120" s="45"/>
      <c r="AP120" s="45"/>
      <c r="AQ120" s="45"/>
      <c r="AR120" s="45"/>
      <c r="AS120" s="45"/>
      <c r="AT120" s="79"/>
      <c r="AU120" s="45"/>
      <c r="AV120" s="45"/>
      <c r="AW120" s="45"/>
      <c r="AX120" s="45"/>
      <c r="AY120" s="45"/>
      <c r="AZ120" s="45"/>
      <c r="BA120" s="45"/>
      <c r="BB120" s="45"/>
      <c r="BC120" s="45"/>
      <c r="BD120" s="45"/>
      <c r="BE120" s="45"/>
      <c r="BF120" s="45"/>
      <c r="BG120" s="45"/>
      <c r="BH120" s="45"/>
      <c r="BI120" s="46"/>
      <c r="BK120" s="22"/>
    </row>
    <row r="121">
      <c r="B121" s="135"/>
      <c r="C121" s="136"/>
      <c r="D121" s="137"/>
      <c r="E121" s="137"/>
      <c r="F121" s="137"/>
      <c r="G121" s="138"/>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c r="AG121" s="138"/>
      <c r="AH121" s="137"/>
      <c r="AI121" s="137"/>
      <c r="AJ121" s="137"/>
      <c r="AK121" s="137"/>
      <c r="AL121" s="137"/>
      <c r="AM121" s="137"/>
      <c r="AN121" s="137"/>
      <c r="AO121" s="137"/>
      <c r="AP121" s="137"/>
      <c r="AQ121" s="137"/>
      <c r="AR121" s="137"/>
      <c r="AS121" s="137"/>
      <c r="AT121" s="138"/>
      <c r="AU121" s="137"/>
      <c r="AV121" s="137"/>
      <c r="AW121" s="137"/>
      <c r="AX121" s="137"/>
      <c r="AY121" s="137"/>
      <c r="AZ121" s="137"/>
      <c r="BA121" s="137"/>
      <c r="BB121" s="137"/>
      <c r="BC121" s="137"/>
      <c r="BD121" s="137"/>
      <c r="BE121" s="137"/>
      <c r="BF121" s="137"/>
      <c r="BG121" s="137"/>
      <c r="BH121" s="137"/>
      <c r="BI121" s="139"/>
      <c r="BK121" s="22"/>
    </row>
    <row r="122">
      <c r="B122" s="31" t="s">
        <v>853</v>
      </c>
      <c r="C122" s="54"/>
      <c r="D122" s="45"/>
      <c r="E122" s="45"/>
      <c r="F122" s="47"/>
      <c r="G122" s="35"/>
      <c r="H122" s="163" t="s">
        <v>301</v>
      </c>
      <c r="I122" s="38">
        <f>VLOOKUP(H122,'Machine List'!$A$1:$I$300,9,FALSE)</f>
        <v>1000</v>
      </c>
      <c r="J122" s="38">
        <f>IF(VLOOKUP(H122,'Machine List'!$A$1:$I$300,5,FALSE)="Multi",IF(VLOOKUP(H122,'Machine List'!$A$1:$I$300,6,FALSE)="Yes",AI122*3*10^AB122,AI122*(2*3)*10^(AB122-1)),0)</f>
        <v>60</v>
      </c>
      <c r="K122" s="38">
        <f>J122+IF(ISNUMBER(I122),I122,
  SWITCH(
      I122,
      "1T",1*10^AB122,
      "2T",2*10^AB122,
      "3T",3*10^AB122,
      "4T",4*10^AB122,
      "4000+500(7O-5)",4000+500*(7*I123-5),
      "13500 + 16C",13500+16*VLOOKUP(J124,'Machine Helper Sheet'!$G$1:$K$16,5,FALSE),
      1
  )
)</f>
        <v>1060</v>
      </c>
      <c r="L122" s="38">
        <f>IF(VLOOKUP(H122,'Machine List'!$A$1:$I$300,5,FALSE)="Multi",IF(VLOOKUP(H122,'Machine List'!$A$1:$I$300,6,FALSE)="Yes",AW122*3*10^AV122,AW122*(2*3)*10^(AV122-1)),0)</f>
        <v>60000</v>
      </c>
      <c r="M122" s="38">
        <f>L122+IF(ISNUMBER(I122),I122,
  SWITCH(
      I122,
      "1T",1*10^AV122,
      "2T",2*10^AV122,
      "3T",3*10^AV122,
      "4T",4*10^AV122,
      "4000+500(7O-5)",4000+500*(7*I123-5),
      1
  )
)</f>
        <v>61000</v>
      </c>
      <c r="N122" s="38" t="str">
        <f>VLOOKUP(H122,'Machine List'!$A$1:$I$300,8,FALSE)</f>
        <v>Tier</v>
      </c>
      <c r="O122" s="38">
        <f>IF(ISNUMBER(N122),N122,10^AB122)</f>
        <v>100</v>
      </c>
      <c r="P122" s="38">
        <f>IF(ISNUMBER(N122),N122,10^AV122)</f>
        <v>100000</v>
      </c>
      <c r="Q122" s="38">
        <f>VLOOKUP(H122,'Machine List'!$A$1:$B$138,2,FALSE)</f>
        <v>1</v>
      </c>
      <c r="R122" s="164" t="s">
        <v>594</v>
      </c>
      <c r="S122" s="45">
        <f>IF(ISNUMBER(Q122),Q122,
  SWITCH(
      Q122,
      "1",1,
      "2T",AB122*2,
      "4T",AB122*4,
      "6T",AB122*6,
      "8T",AB122*8,
      "10T",AB122*10,
      "12T",AB122*12,
      "14T",AB122*14,
      "16T",AB122*16,
      "24T",AB122*24,
      "2(T+1)",2*(AB122+1),
      "1T*C",AB122*J124,
      "2*P",L124*2,
      1
  )
)</f>
        <v>1</v>
      </c>
      <c r="T122" s="38" t="s">
        <v>277</v>
      </c>
      <c r="U122" s="38">
        <f>IF(OR(T122="No",T122=""),S122,T122)</f>
        <v>1</v>
      </c>
      <c r="V122" s="38">
        <f>IF(ISNUMBER(Q122),Q122,
  SWITCH(
      Q122,
      "1",1,
      "2T",AV122*2,
      "4T",AV122*4,
      "6T",AV122*6,
      "8T",AV122*8,
      "10T",AV122*10,
      "12T",AV122*12,
      "14T",AV122*14,
      "16T",AV122*16,
      "24T",AV122*24,
      "2(T+1)",2*(AV122+1),
      "1T*C",AV122*J124,
      "2*P",L124*2,
      1
  )
)</f>
        <v>1</v>
      </c>
      <c r="W122" s="38" t="str">
        <f>T122</f>
        <v>No</v>
      </c>
      <c r="X122" s="38">
        <f>IF(OR(W122="No",W122=""),V122,W122)</f>
        <v>1</v>
      </c>
      <c r="Y122" s="38">
        <f>VLOOKUP(H122,'Machine List'!$A$1:$C$138,3,FALSE)</f>
        <v>1</v>
      </c>
      <c r="Z122" s="38">
        <f>VLOOKUP(H122,'Machine List'!$A$1:$D$138,4,FALSE)</f>
        <v>1</v>
      </c>
      <c r="AA122" s="164" t="s">
        <v>393</v>
      </c>
      <c r="AB122" s="38">
        <f>VLOOKUP(AA122,'Item Helper Sheet'!$A$2:$B$16,2,FALSE)</f>
        <v>2</v>
      </c>
      <c r="AC122" s="164">
        <v>120.0</v>
      </c>
      <c r="AD122" s="38">
        <f>10*20</f>
        <v>200</v>
      </c>
      <c r="AE122" s="38">
        <f>AD122*I124</f>
        <v>200</v>
      </c>
      <c r="AF122" s="38">
        <f>AC122*AE122</f>
        <v>24000</v>
      </c>
      <c r="AG122" s="75"/>
      <c r="AH122" s="38" t="str">
        <f>AA122</f>
        <v>02 - MV</v>
      </c>
      <c r="AI122" s="38">
        <v>1.0</v>
      </c>
      <c r="AJ122" s="38">
        <v>1.0</v>
      </c>
      <c r="AK122" s="38">
        <f>AJ122*8*4^AB122</f>
        <v>128</v>
      </c>
      <c r="AL122" s="38">
        <f>MIN(ROUNDDOWN(AK122/AN122,0),U122)</f>
        <v>1</v>
      </c>
      <c r="AM122" s="38">
        <f>IF(OR(T122="No",T122=""),AI122*S122,AI122*T122)</f>
        <v>1</v>
      </c>
      <c r="AN122" s="38">
        <f>ROUNDUP(AC122*VLOOKUP(H122,'Machine List'!$A$2:$D$219,4,FALSE),0)</f>
        <v>120</v>
      </c>
      <c r="AO122" s="38">
        <f>AN122*AM122</f>
        <v>120</v>
      </c>
      <c r="AP122" s="38">
        <f>ROUNDUP(AD122*I124,0)</f>
        <v>200</v>
      </c>
      <c r="AQ122" s="38">
        <f>IF(ISNUMBER(Y122),ROUNDUP(AP122/Y122,0),
  SWITCH(
      Y122,
      "1+0.5C",ROUNDUP(AP122/(1+0.5*VLOOKUP(J124,'Machine Helper Sheet'!$G$1:$K$16,2,FALSE)),0),
      ROUNDUP(AP122/1,0)
  )
)</f>
        <v>200</v>
      </c>
      <c r="AR122" s="38">
        <f>ROUNDUP(AQ122/AM122,0)</f>
        <v>200</v>
      </c>
      <c r="AS122" s="38">
        <f>AO122*AR122</f>
        <v>24000</v>
      </c>
      <c r="AT122" s="75"/>
      <c r="AU122" s="164" t="s">
        <v>405</v>
      </c>
      <c r="AV122" s="38">
        <f>VLOOKUP(AU122,'Item Helper Sheet'!$A$2:$B$16,2,FALSE)</f>
        <v>5</v>
      </c>
      <c r="AW122" s="38">
        <f>AI122</f>
        <v>1</v>
      </c>
      <c r="AX122" s="38">
        <v>1.0</v>
      </c>
      <c r="AY122" s="38">
        <f>AX122*8*4^AV122</f>
        <v>8192</v>
      </c>
      <c r="AZ122" s="38">
        <f>MIN(ROUNDDOWN(AY122/AN122,0),X122)</f>
        <v>1</v>
      </c>
      <c r="BA122" s="38">
        <f>AZ122*AW122</f>
        <v>1</v>
      </c>
      <c r="BB122" s="38">
        <f>AN122</f>
        <v>120</v>
      </c>
      <c r="BC122" s="38">
        <f>MIN(AV122-AB122,IF(AY122&gt;=BB123*4,
IF(AY122&gt;=BB123*4^2,
IF(AY122&gt;=BB123*4^3,
IF(AY122&gt;=BB123*4^4,
IF(AY122&gt;=BB123*4^5,
IF(AY122&gt;=BB123*4^6,
IF(AY122&gt;=BB123*4^7,
IF(AY122&gt;=BB123*4^8,
IF(AY122&gt;=BB123*4^9,
IF(AY122&gt;=BB123*4^10,
9),
8),
7),
6),
5),
4),
3),
2),
1),
0))</f>
        <v>3</v>
      </c>
      <c r="BD122" s="38">
        <f>BB122*AZ122*4^BC122</f>
        <v>7680</v>
      </c>
      <c r="BE122" s="38">
        <f>BD122*AW122</f>
        <v>7680</v>
      </c>
      <c r="BF122" s="45">
        <f>ROUNDUP(IF(R122="Yes",AP122/(2^((BC122)*2)),AP122/(2^(BC122))),0)</f>
        <v>4</v>
      </c>
      <c r="BG122" s="45">
        <f>IF(ISNUMBER(Y122),ROUNDUP(BF122/Y122,0),
  SWITCH(
      Y122,
      "1+0.5C",ROUNDUP(BF122/(1+0.5*VLOOKUP(J124,'Machine Helper Sheet'!$G$1:$K$16,2,FALSE)),0),
      ROUNDUP(BF122/1,0)
  )
)</f>
        <v>4</v>
      </c>
      <c r="BH122" s="45">
        <f>ROUNDUP(BG122/BA122,0)</f>
        <v>4</v>
      </c>
      <c r="BI122" s="46">
        <f>BH122*BE122</f>
        <v>30720</v>
      </c>
      <c r="BK122" s="22"/>
    </row>
    <row r="123">
      <c r="B123" s="141" t="s">
        <v>821</v>
      </c>
      <c r="C123" s="165" t="s">
        <v>99</v>
      </c>
      <c r="D123" s="38">
        <f>10*I124</f>
        <v>10</v>
      </c>
      <c r="E123" s="164" t="s">
        <v>218</v>
      </c>
      <c r="F123" s="42">
        <f>3*I124</f>
        <v>3</v>
      </c>
      <c r="G123" s="43"/>
      <c r="H123" s="99" t="s">
        <v>584</v>
      </c>
      <c r="I123" s="45">
        <f t="array" ref="I123">match(TRUE,ISBLANK(F123:F133),0)-1</f>
        <v>3</v>
      </c>
      <c r="J123" s="100" t="s">
        <v>420</v>
      </c>
      <c r="K123" s="100" t="s">
        <v>585</v>
      </c>
      <c r="L123" s="100" t="s">
        <v>704</v>
      </c>
      <c r="M123" s="38"/>
      <c r="N123" s="38"/>
      <c r="O123" s="38"/>
      <c r="P123" s="38"/>
      <c r="Q123" s="38"/>
      <c r="R123" s="101"/>
      <c r="S123" s="101"/>
      <c r="T123" s="101"/>
      <c r="U123" s="45"/>
      <c r="V123" s="45"/>
      <c r="W123" s="45"/>
      <c r="X123" s="45"/>
      <c r="Y123" s="45"/>
      <c r="Z123" s="45"/>
      <c r="AA123" s="45"/>
      <c r="AB123" s="45"/>
      <c r="AC123" s="45"/>
      <c r="AD123" s="45"/>
      <c r="AE123" s="45"/>
      <c r="AF123" s="45"/>
      <c r="AG123" s="79"/>
      <c r="AH123" s="45"/>
      <c r="AI123" s="45"/>
      <c r="AJ123" s="45"/>
      <c r="AK123" s="45"/>
      <c r="AL123" s="45"/>
      <c r="AM123" s="45"/>
      <c r="AN123" s="45"/>
      <c r="AO123" s="45"/>
      <c r="AP123" s="45"/>
      <c r="AQ123" s="45"/>
      <c r="AR123" s="45"/>
      <c r="AS123" s="45"/>
      <c r="AT123" s="79"/>
      <c r="AU123" s="45"/>
      <c r="AV123" s="45"/>
      <c r="AW123" s="45"/>
      <c r="AX123" s="45"/>
      <c r="AY123" s="45"/>
      <c r="AZ123" s="45"/>
      <c r="BA123" s="45"/>
      <c r="BB123" s="45">
        <f>BB122*AZ122</f>
        <v>120</v>
      </c>
      <c r="BC123" s="45"/>
      <c r="BD123" s="45"/>
      <c r="BE123" s="45"/>
      <c r="BF123" s="45"/>
      <c r="BG123" s="45"/>
      <c r="BH123" s="45"/>
      <c r="BI123" s="46"/>
      <c r="BK123" s="22"/>
    </row>
    <row r="124">
      <c r="B124" s="40"/>
      <c r="C124" s="165" t="s">
        <v>203</v>
      </c>
      <c r="D124" s="38">
        <f>10*I124</f>
        <v>10</v>
      </c>
      <c r="E124" s="164" t="s">
        <v>177</v>
      </c>
      <c r="F124" s="42">
        <f>6*I124</f>
        <v>6</v>
      </c>
      <c r="G124" s="43"/>
      <c r="H124" s="56" t="s">
        <v>502</v>
      </c>
      <c r="I124" s="166">
        <v>1.0</v>
      </c>
      <c r="J124" s="100" t="s">
        <v>427</v>
      </c>
      <c r="K124" s="100">
        <v>0.0</v>
      </c>
      <c r="L124" s="100">
        <v>0.0</v>
      </c>
      <c r="M124" s="45"/>
      <c r="N124" s="45"/>
      <c r="O124" s="45"/>
      <c r="P124" s="45"/>
      <c r="Q124" s="45"/>
      <c r="R124" s="45"/>
      <c r="S124" s="101"/>
      <c r="T124" s="101"/>
      <c r="U124" s="45"/>
      <c r="V124" s="45"/>
      <c r="W124" s="45"/>
      <c r="X124" s="45"/>
      <c r="Y124" s="45"/>
      <c r="Z124" s="45"/>
      <c r="AA124" s="45"/>
      <c r="AB124" s="45"/>
      <c r="AC124" s="45"/>
      <c r="AD124" s="45"/>
      <c r="AE124" s="45"/>
      <c r="AF124" s="45"/>
      <c r="AG124" s="79"/>
      <c r="AH124" s="45"/>
      <c r="AI124" s="45"/>
      <c r="AJ124" s="45"/>
      <c r="AK124" s="45"/>
      <c r="AL124" s="45"/>
      <c r="AM124" s="45"/>
      <c r="AN124" s="45"/>
      <c r="AO124" s="45"/>
      <c r="AP124" s="45"/>
      <c r="AQ124" s="45"/>
      <c r="AR124" s="45"/>
      <c r="AS124" s="45"/>
      <c r="AT124" s="79"/>
      <c r="AU124" s="45"/>
      <c r="AV124" s="45"/>
      <c r="AW124" s="45"/>
      <c r="AX124" s="45"/>
      <c r="AY124" s="45"/>
      <c r="AZ124" s="45"/>
      <c r="BA124" s="45"/>
      <c r="BB124" s="45"/>
      <c r="BC124" s="45"/>
      <c r="BD124" s="45"/>
      <c r="BE124" s="45"/>
      <c r="BF124" s="45"/>
      <c r="BG124" s="45"/>
      <c r="BH124" s="45"/>
      <c r="BI124" s="46"/>
      <c r="BK124" s="22"/>
    </row>
    <row r="125">
      <c r="B125" s="40"/>
      <c r="C125" s="165" t="s">
        <v>202</v>
      </c>
      <c r="D125" s="38">
        <f>1000*I124</f>
        <v>1000</v>
      </c>
      <c r="E125" s="164" t="s">
        <v>226</v>
      </c>
      <c r="F125" s="42">
        <f>1000*I124</f>
        <v>1000</v>
      </c>
      <c r="G125" s="43"/>
      <c r="H125" s="44"/>
      <c r="I125" s="45"/>
      <c r="J125" s="45"/>
      <c r="K125" s="45"/>
      <c r="L125" s="45"/>
      <c r="M125" s="45"/>
      <c r="N125" s="45"/>
      <c r="O125" s="45"/>
      <c r="P125" s="45"/>
      <c r="Q125" s="45"/>
      <c r="R125" s="45"/>
      <c r="S125" s="101"/>
      <c r="T125" s="101"/>
      <c r="U125" s="45"/>
      <c r="V125" s="45"/>
      <c r="W125" s="45"/>
      <c r="X125" s="45"/>
      <c r="Y125" s="45"/>
      <c r="Z125" s="45"/>
      <c r="AA125" s="45"/>
      <c r="AB125" s="45"/>
      <c r="AC125" s="45"/>
      <c r="AD125" s="45"/>
      <c r="AE125" s="45"/>
      <c r="AF125" s="45"/>
      <c r="AG125" s="79"/>
      <c r="AH125" s="45"/>
      <c r="AI125" s="45"/>
      <c r="AJ125" s="45"/>
      <c r="AK125" s="45"/>
      <c r="AL125" s="45"/>
      <c r="AM125" s="45"/>
      <c r="AN125" s="45"/>
      <c r="AO125" s="45"/>
      <c r="AP125" s="45"/>
      <c r="AQ125" s="45"/>
      <c r="AR125" s="45"/>
      <c r="AS125" s="45"/>
      <c r="AT125" s="79"/>
      <c r="AU125" s="45"/>
      <c r="AV125" s="45"/>
      <c r="AW125" s="45"/>
      <c r="AX125" s="45"/>
      <c r="AY125" s="45"/>
      <c r="AZ125" s="45"/>
      <c r="BA125" s="45"/>
      <c r="BB125" s="45"/>
      <c r="BC125" s="45"/>
      <c r="BD125" s="45"/>
      <c r="BE125" s="45"/>
      <c r="BF125" s="45"/>
      <c r="BG125" s="45"/>
      <c r="BH125" s="45"/>
      <c r="BI125" s="46"/>
      <c r="BK125" s="22"/>
    </row>
    <row r="126">
      <c r="B126" s="135"/>
      <c r="C126" s="136"/>
      <c r="D126" s="137"/>
      <c r="E126" s="137"/>
      <c r="F126" s="137"/>
      <c r="G126" s="138"/>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8"/>
      <c r="AH126" s="137"/>
      <c r="AI126" s="137"/>
      <c r="AJ126" s="137"/>
      <c r="AK126" s="137"/>
      <c r="AL126" s="137"/>
      <c r="AM126" s="137"/>
      <c r="AN126" s="137"/>
      <c r="AO126" s="137"/>
      <c r="AP126" s="137"/>
      <c r="AQ126" s="137"/>
      <c r="AR126" s="137"/>
      <c r="AS126" s="137"/>
      <c r="AT126" s="138"/>
      <c r="AU126" s="137"/>
      <c r="AV126" s="137"/>
      <c r="AW126" s="137"/>
      <c r="AX126" s="137"/>
      <c r="AY126" s="137"/>
      <c r="AZ126" s="137"/>
      <c r="BA126" s="137"/>
      <c r="BB126" s="137"/>
      <c r="BC126" s="137"/>
      <c r="BD126" s="137"/>
      <c r="BE126" s="137"/>
      <c r="BF126" s="137"/>
      <c r="BG126" s="137"/>
      <c r="BH126" s="137"/>
      <c r="BI126" s="139"/>
      <c r="BK126" s="22"/>
    </row>
    <row r="127">
      <c r="B127" s="31" t="s">
        <v>854</v>
      </c>
      <c r="C127" s="54"/>
      <c r="D127" s="45"/>
      <c r="E127" s="45"/>
      <c r="F127" s="47"/>
      <c r="G127" s="35"/>
      <c r="H127" s="163" t="s">
        <v>349</v>
      </c>
      <c r="I127" s="38">
        <f>VLOOKUP(H127,'Machine List'!$A$1:$I$300,9,FALSE)</f>
        <v>4000</v>
      </c>
      <c r="J127" s="38">
        <f>IF(VLOOKUP(H127,'Machine List'!$A$1:$I$300,5,FALSE)="Multi",IF(VLOOKUP(H127,'Machine List'!$A$1:$I$300,6,FALSE)="Yes",AI127*3*10^AB127,AI127*(2*3)*10^(AB127-1)),0)</f>
        <v>6</v>
      </c>
      <c r="K127" s="38">
        <f>J127+IF(ISNUMBER(I127),I127,
  SWITCH(
      I127,
      "1T",1*10^AB127,
      "2T",2*10^AB127,
      "3T",3*10^AB127,
      "4T",4*10^AB127,
      "4000+500(7O-5)",4000+500*(7*I128-5),
      "13500 + 16C",13500+16*VLOOKUP(J129,'Machine Helper Sheet'!$G$1:$K$16,5,FALSE),
      1
  )
)</f>
        <v>4006</v>
      </c>
      <c r="L127" s="38">
        <f>IF(VLOOKUP(H127,'Machine List'!$A$1:$I$300,5,FALSE)="Multi",IF(VLOOKUP(H127,'Machine List'!$A$1:$I$300,6,FALSE)="Yes",AW127*3*10^AV127,AW127*(2*3)*10^(AV127-1)),0)</f>
        <v>60000</v>
      </c>
      <c r="M127" s="38">
        <f>L127+IF(ISNUMBER(I127),I127,
  SWITCH(
      I127,
      "1T",1*10^AV127,
      "2T",2*10^AV127,
      "3T",3*10^AV127,
      "4T",4*10^AV127,
      "4000+500(7O-5)",4000+500*(7*I128-5),
      1
  )
)</f>
        <v>64000</v>
      </c>
      <c r="N127" s="38" t="str">
        <f>VLOOKUP(H127,'Machine List'!$A$1:$I$300,8,FALSE)</f>
        <v>Tier</v>
      </c>
      <c r="O127" s="38">
        <f>IF(ISNUMBER(N127),N127,10^AB127)</f>
        <v>10</v>
      </c>
      <c r="P127" s="38">
        <f>IF(ISNUMBER(N127),N127,10^AV127)</f>
        <v>100000</v>
      </c>
      <c r="Q127" s="38">
        <f>VLOOKUP(H127,'Machine List'!$A$1:$B$138,2,FALSE)</f>
        <v>1</v>
      </c>
      <c r="R127" s="164" t="s">
        <v>594</v>
      </c>
      <c r="S127" s="45">
        <f>IF(ISNUMBER(Q127),Q127,
  SWITCH(
      Q127,
      "1",1,
      "2T",AB127*2,
      "4T",AB127*4,
      "6T",AB127*6,
      "8T",AB127*8,
      "10T",AB127*10,
      "12T",AB127*12,
      "14T",AB127*14,
      "16T",AB127*16,
      "24T",AB127*24,
      "2(T+1)",2*(AB127+1),
      "1T*C",AB127*J129,
      "2*P",L129*2,
      1
  )
)</f>
        <v>1</v>
      </c>
      <c r="T127" s="38" t="s">
        <v>277</v>
      </c>
      <c r="U127" s="38">
        <f>IF(OR(T127="No",T127=""),S127,T127)</f>
        <v>1</v>
      </c>
      <c r="V127" s="38">
        <f>IF(ISNUMBER(Q127),Q127,
  SWITCH(
      Q127,
      "1",1,
      "2T",AV127*2,
      "4T",AV127*4,
      "6T",AV127*6,
      "8T",AV127*8,
      "10T",AV127*10,
      "12T",AV127*12,
      "14T",AV127*14,
      "16T",AV127*16,
      "24T",AV127*24,
      "2(T+1)",2*(AV127+1),
      "1T*C",AV127*J129,
      "2*P",L129*2,
      1
  )
)</f>
        <v>1</v>
      </c>
      <c r="W127" s="38" t="str">
        <f>T127</f>
        <v>No</v>
      </c>
      <c r="X127" s="38">
        <f>IF(OR(W127="No",W127=""),V127,W127)</f>
        <v>1</v>
      </c>
      <c r="Y127" s="38">
        <f>VLOOKUP(H127,'Machine List'!$A$1:$C$138,3,FALSE)</f>
        <v>1</v>
      </c>
      <c r="Z127" s="38">
        <f>VLOOKUP(H127,'Machine List'!$A$1:$D$138,4,FALSE)</f>
        <v>1</v>
      </c>
      <c r="AA127" s="164" t="s">
        <v>390</v>
      </c>
      <c r="AB127" s="38">
        <f>VLOOKUP(AA127,'Item Helper Sheet'!$A$2:$B$16,2,FALSE)</f>
        <v>1</v>
      </c>
      <c r="AC127" s="164">
        <v>30.0</v>
      </c>
      <c r="AD127" s="38">
        <f>15*20</f>
        <v>300</v>
      </c>
      <c r="AE127" s="38">
        <f>AD127*I129</f>
        <v>300</v>
      </c>
      <c r="AF127" s="38">
        <f>AC127*AE127</f>
        <v>9000</v>
      </c>
      <c r="AG127" s="75"/>
      <c r="AH127" s="38" t="str">
        <f>AA127</f>
        <v>01 - LV</v>
      </c>
      <c r="AI127" s="38">
        <v>1.0</v>
      </c>
      <c r="AJ127" s="38">
        <v>1.0</v>
      </c>
      <c r="AK127" s="38">
        <f>AJ127*8*4^AB127</f>
        <v>32</v>
      </c>
      <c r="AL127" s="38">
        <f>MIN(ROUNDDOWN(AK127/AN127,0),U127)</f>
        <v>1</v>
      </c>
      <c r="AM127" s="38">
        <f>IF(OR(T127="No",T127=""),AI127*S127,AI127*T127)</f>
        <v>1</v>
      </c>
      <c r="AN127" s="38">
        <f>ROUNDUP(AC127*VLOOKUP(H127,'Machine List'!$A$2:$D$219,4,FALSE),0)</f>
        <v>30</v>
      </c>
      <c r="AO127" s="38">
        <f>AN127*AM127</f>
        <v>30</v>
      </c>
      <c r="AP127" s="38">
        <f>ROUNDUP(AD127*I129,0)</f>
        <v>300</v>
      </c>
      <c r="AQ127" s="38">
        <f>IF(ISNUMBER(Y127),ROUNDUP(AP127/Y127,0),
  SWITCH(
      Y127,
      "1+0.5C",ROUNDUP(AP127/(1+0.5*VLOOKUP(J129,'Machine Helper Sheet'!$G$1:$K$16,2,FALSE)),0),
      ROUNDUP(AP127/1,0)
  )
)</f>
        <v>300</v>
      </c>
      <c r="AR127" s="38">
        <f>ROUNDUP(AQ127/AM127,0)</f>
        <v>300</v>
      </c>
      <c r="AS127" s="38">
        <f>AO127*AR127</f>
        <v>9000</v>
      </c>
      <c r="AT127" s="75"/>
      <c r="AU127" s="164" t="s">
        <v>405</v>
      </c>
      <c r="AV127" s="38">
        <f>VLOOKUP(AU127,'Item Helper Sheet'!$A$2:$B$16,2,FALSE)</f>
        <v>5</v>
      </c>
      <c r="AW127" s="38">
        <f>AI127</f>
        <v>1</v>
      </c>
      <c r="AX127" s="38">
        <v>1.0</v>
      </c>
      <c r="AY127" s="38">
        <f>AX127*8*4^AV127</f>
        <v>8192</v>
      </c>
      <c r="AZ127" s="38">
        <f>MIN(ROUNDDOWN(AY127/AN127,0),X127)</f>
        <v>1</v>
      </c>
      <c r="BA127" s="38">
        <f>AZ127*AW127</f>
        <v>1</v>
      </c>
      <c r="BB127" s="38">
        <f>AN127</f>
        <v>30</v>
      </c>
      <c r="BC127" s="38">
        <f>MIN(AV127-AB127,IF(AY127&gt;=BB128*4,
IF(AY127&gt;=BB128*4^2,
IF(AY127&gt;=BB128*4^3,
IF(AY127&gt;=BB128*4^4,
IF(AY127&gt;=BB128*4^5,
IF(AY127&gt;=BB128*4^6,
IF(AY127&gt;=BB128*4^7,
IF(AY127&gt;=BB128*4^8,
IF(AY127&gt;=BB128*4^9,
IF(AY127&gt;=BB128*4^10,
9),
8),
7),
6),
5),
4),
3),
2),
1),
0))</f>
        <v>4</v>
      </c>
      <c r="BD127" s="38">
        <f>BB127*AZ127*4^BC127</f>
        <v>7680</v>
      </c>
      <c r="BE127" s="38">
        <f>BD127*AW127</f>
        <v>7680</v>
      </c>
      <c r="BF127" s="45">
        <f>ROUNDUP(IF(R127="Yes",AP127/(2^((BC127)*2)),AP127/(2^(BC127))),0)</f>
        <v>2</v>
      </c>
      <c r="BG127" s="45">
        <f>IF(ISNUMBER(Y127),ROUNDUP(BF127/Y127,0),
  SWITCH(
      Y127,
      "1+0.5C",ROUNDUP(BF127/(1+0.5*VLOOKUP(J129,'Machine Helper Sheet'!$G$1:$K$16,2,FALSE)),0),
      ROUNDUP(BF127/1,0)
  )
)</f>
        <v>2</v>
      </c>
      <c r="BH127" s="45">
        <f>ROUNDUP(BG127/BA127,0)</f>
        <v>2</v>
      </c>
      <c r="BI127" s="46">
        <f>BH127*BE127</f>
        <v>15360</v>
      </c>
      <c r="BK127" s="22"/>
    </row>
    <row r="128">
      <c r="B128" s="141" t="s">
        <v>855</v>
      </c>
      <c r="C128" s="165" t="s">
        <v>218</v>
      </c>
      <c r="D128" s="38">
        <f>6*I129</f>
        <v>6</v>
      </c>
      <c r="E128" s="164" t="s">
        <v>200</v>
      </c>
      <c r="F128" s="42">
        <f>9000*I129</f>
        <v>9000</v>
      </c>
      <c r="G128" s="43"/>
      <c r="H128" s="99" t="s">
        <v>584</v>
      </c>
      <c r="I128" s="45">
        <f t="array" ref="I128">match(TRUE,ISBLANK(F128:F138),0)-1</f>
        <v>1</v>
      </c>
      <c r="J128" s="100" t="s">
        <v>420</v>
      </c>
      <c r="K128" s="100" t="s">
        <v>585</v>
      </c>
      <c r="L128" s="100" t="s">
        <v>704</v>
      </c>
      <c r="M128" s="38"/>
      <c r="N128" s="38"/>
      <c r="O128" s="38"/>
      <c r="P128" s="38"/>
      <c r="Q128" s="38"/>
      <c r="R128" s="101"/>
      <c r="S128" s="101"/>
      <c r="T128" s="101"/>
      <c r="U128" s="45"/>
      <c r="V128" s="45"/>
      <c r="W128" s="45"/>
      <c r="X128" s="45"/>
      <c r="Y128" s="45"/>
      <c r="Z128" s="45"/>
      <c r="AA128" s="45"/>
      <c r="AB128" s="45"/>
      <c r="AC128" s="45"/>
      <c r="AD128" s="45"/>
      <c r="AE128" s="45"/>
      <c r="AF128" s="45"/>
      <c r="AG128" s="79"/>
      <c r="AH128" s="45"/>
      <c r="AI128" s="45"/>
      <c r="AJ128" s="45"/>
      <c r="AK128" s="45"/>
      <c r="AL128" s="45"/>
      <c r="AM128" s="45"/>
      <c r="AN128" s="45"/>
      <c r="AO128" s="45"/>
      <c r="AP128" s="45"/>
      <c r="AQ128" s="45"/>
      <c r="AR128" s="45"/>
      <c r="AS128" s="45"/>
      <c r="AT128" s="79"/>
      <c r="AU128" s="45"/>
      <c r="AV128" s="45"/>
      <c r="AW128" s="45"/>
      <c r="AX128" s="45"/>
      <c r="AY128" s="45"/>
      <c r="AZ128" s="45"/>
      <c r="BA128" s="45"/>
      <c r="BB128" s="45">
        <f>BB127*AZ127</f>
        <v>30</v>
      </c>
      <c r="BC128" s="45"/>
      <c r="BD128" s="45"/>
      <c r="BE128" s="45"/>
      <c r="BF128" s="45"/>
      <c r="BG128" s="45"/>
      <c r="BH128" s="45"/>
      <c r="BI128" s="46"/>
      <c r="BK128" s="22"/>
    </row>
    <row r="129">
      <c r="B129" s="40"/>
      <c r="C129" s="165" t="s">
        <v>48</v>
      </c>
      <c r="D129" s="38">
        <f>3000*I129</f>
        <v>3000</v>
      </c>
      <c r="E129" s="164"/>
      <c r="F129" s="42"/>
      <c r="G129" s="43"/>
      <c r="H129" s="56" t="s">
        <v>502</v>
      </c>
      <c r="I129" s="166">
        <v>1.0</v>
      </c>
      <c r="J129" s="100" t="s">
        <v>424</v>
      </c>
      <c r="K129" s="100">
        <v>0.0</v>
      </c>
      <c r="L129" s="100">
        <v>0.0</v>
      </c>
      <c r="M129" s="45"/>
      <c r="N129" s="45"/>
      <c r="O129" s="45"/>
      <c r="P129" s="45"/>
      <c r="Q129" s="45"/>
      <c r="R129" s="45"/>
      <c r="S129" s="101"/>
      <c r="T129" s="101"/>
      <c r="U129" s="45"/>
      <c r="V129" s="45"/>
      <c r="W129" s="45"/>
      <c r="X129" s="45"/>
      <c r="Y129" s="45"/>
      <c r="Z129" s="45"/>
      <c r="AA129" s="45"/>
      <c r="AB129" s="45"/>
      <c r="AC129" s="45"/>
      <c r="AD129" s="45"/>
      <c r="AE129" s="45"/>
      <c r="AF129" s="45"/>
      <c r="AG129" s="79"/>
      <c r="AH129" s="45"/>
      <c r="AI129" s="45"/>
      <c r="AJ129" s="45"/>
      <c r="AK129" s="45"/>
      <c r="AL129" s="45"/>
      <c r="AM129" s="45"/>
      <c r="AN129" s="45"/>
      <c r="AO129" s="45"/>
      <c r="AP129" s="45"/>
      <c r="AQ129" s="45"/>
      <c r="AR129" s="45"/>
      <c r="AS129" s="45"/>
      <c r="AT129" s="79"/>
      <c r="AU129" s="45"/>
      <c r="AV129" s="45"/>
      <c r="AW129" s="45"/>
      <c r="AX129" s="45"/>
      <c r="AY129" s="45"/>
      <c r="AZ129" s="45"/>
      <c r="BA129" s="45"/>
      <c r="BB129" s="45"/>
      <c r="BC129" s="45"/>
      <c r="BD129" s="45"/>
      <c r="BE129" s="45"/>
      <c r="BF129" s="45"/>
      <c r="BG129" s="45"/>
      <c r="BH129" s="45"/>
      <c r="BI129" s="46"/>
      <c r="BK129" s="22"/>
    </row>
    <row r="130">
      <c r="B130" s="135"/>
      <c r="C130" s="136"/>
      <c r="D130" s="137"/>
      <c r="E130" s="137"/>
      <c r="F130" s="137"/>
      <c r="G130" s="138"/>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8"/>
      <c r="AH130" s="137"/>
      <c r="AI130" s="137"/>
      <c r="AJ130" s="137"/>
      <c r="AK130" s="137"/>
      <c r="AL130" s="137"/>
      <c r="AM130" s="137"/>
      <c r="AN130" s="137"/>
      <c r="AO130" s="137"/>
      <c r="AP130" s="137"/>
      <c r="AQ130" s="137"/>
      <c r="AR130" s="137"/>
      <c r="AS130" s="137"/>
      <c r="AT130" s="138"/>
      <c r="AU130" s="137"/>
      <c r="AV130" s="137"/>
      <c r="AW130" s="137"/>
      <c r="AX130" s="137"/>
      <c r="AY130" s="137"/>
      <c r="AZ130" s="137"/>
      <c r="BA130" s="137"/>
      <c r="BB130" s="137"/>
      <c r="BC130" s="137"/>
      <c r="BD130" s="137"/>
      <c r="BE130" s="137"/>
      <c r="BF130" s="137"/>
      <c r="BG130" s="137"/>
      <c r="BH130" s="137"/>
      <c r="BI130" s="139"/>
      <c r="BK130" s="22"/>
    </row>
    <row r="131">
      <c r="B131" s="141" t="s">
        <v>856</v>
      </c>
      <c r="C131" s="142"/>
      <c r="D131" s="143"/>
      <c r="E131" s="143"/>
      <c r="F131" s="144"/>
      <c r="G131" s="145"/>
      <c r="H131" s="167" t="s">
        <v>310</v>
      </c>
      <c r="I131" s="147" t="str">
        <f>VLOOKUP(H131,'Machine List'!$A$1:$I$300,9,FALSE)</f>
        <v>1T</v>
      </c>
      <c r="J131" s="147">
        <f>IF(VLOOKUP(H131,'Machine List'!$A$1:$I$300,5,FALSE)="Multi",IF(VLOOKUP(H131,'Machine List'!$A$1:$I$300,6,FALSE)="Yes",AI131*3*10^AB131,AI131*(2*3)*10^(AB131-1)),0)</f>
        <v>0</v>
      </c>
      <c r="K131" s="147">
        <f>J131+IF(ISNUMBER(I131),I131,
  SWITCH(
      I131,
      "1T",1*10^AB131,
      "2T",2*10^AB131,
      "3T",3*10^AB131,
      "4T",4*10^AB131,
      "4000+500(7O-5)",4000+500*(7*I132-5),
      "13500 + 16C",13500+16*VLOOKUP(J133,'Machine Helper Sheet'!$G$1:$K$16,5,FALSE),
      1
  )
)</f>
        <v>1000</v>
      </c>
      <c r="L131" s="147">
        <f>IF(VLOOKUP(H131,'Machine List'!$A$1:$I$300,5,FALSE)="Multi",IF(VLOOKUP(H131,'Machine List'!$A$1:$I$300,6,FALSE)="Yes",AW131*3*10^AV131,AW131*(2*3)*10^(AV131-1)),0)</f>
        <v>0</v>
      </c>
      <c r="M131" s="147">
        <f>L131+IF(ISNUMBER(I131),I131,
  SWITCH(
      I131,
      "1T",1*10^AV131,
      "2T",2*10^AV131,
      "3T",3*10^AV131,
      "4T",4*10^AV131,
      "4000+500(7O-5)",4000+500*(7*I132-5),
      1
  )
)</f>
        <v>100000</v>
      </c>
      <c r="N131" s="147" t="str">
        <f>VLOOKUP(H131,'Machine List'!$A$1:$I$300,8,FALSE)</f>
        <v>Tier</v>
      </c>
      <c r="O131" s="147">
        <f>IF(ISNUMBER(N131),N131,10^AB131)</f>
        <v>1000</v>
      </c>
      <c r="P131" s="147">
        <f>IF(ISNUMBER(N131),N131,10^AV131)</f>
        <v>100000</v>
      </c>
      <c r="Q131" s="147">
        <f>VLOOKUP(H131,'Machine List'!$A$1:$B$138,2,FALSE)</f>
        <v>1</v>
      </c>
      <c r="R131" s="147" t="s">
        <v>277</v>
      </c>
      <c r="S131" s="143">
        <f>IF(ISNUMBER(Q131),Q131,
  SWITCH(
      Q131,
      "1",1,
      "2T",AB131*2,
      "4T",AB131*4,
      "6T",AB131*6,
      "8T",AB131*8,
      "10T",AB131*10,
      "12T",AB131*12,
      "14T",AB131*14,
      "16T",AB131*16,
      "24T",AB131*24,
      "2(T+1)",2*(AB131+1),
      "1T*C",AB131*J133,
      "2*P",L133*2,
      1
  )
)</f>
        <v>1</v>
      </c>
      <c r="T131" s="38" t="s">
        <v>277</v>
      </c>
      <c r="U131" s="147">
        <f>IF(OR(T131="No",T131=""),S131,T131)</f>
        <v>1</v>
      </c>
      <c r="V131" s="147">
        <f>IF(ISNUMBER(Q131),Q131,
  SWITCH(
      Q131,
      "1",1,
      "2T",AV131*2,
      "4T",AV131*4,
      "6T",AV131*6,
      "8T",AV131*8,
      "10T",AV131*10,
      "12T",AV131*12,
      "14T",AV131*14,
      "16T",AV131*16,
      "24T",AV131*24,
      "2(T+1)",2*(AV131+1),
      "1T*C",AV131*J133,
      "2*P",L133*2,
      1
  )
)</f>
        <v>1</v>
      </c>
      <c r="W131" s="147" t="str">
        <f>T131</f>
        <v>No</v>
      </c>
      <c r="X131" s="147">
        <f>IF(OR(W131="No",W131=""),V131,W131)</f>
        <v>1</v>
      </c>
      <c r="Y131" s="38">
        <f>VLOOKUP(H131,'Machine List'!$A$1:$C$138,3,FALSE)</f>
        <v>1</v>
      </c>
      <c r="Z131" s="38">
        <f>VLOOKUP(H131,'Machine List'!$A$1:$D$138,4,FALSE)</f>
        <v>1</v>
      </c>
      <c r="AA131" s="168" t="s">
        <v>397</v>
      </c>
      <c r="AB131" s="147">
        <f>VLOOKUP(AA131,'Item Helper Sheet'!$A$2:$B$16,2,FALSE)</f>
        <v>3</v>
      </c>
      <c r="AC131" s="147">
        <v>480.0</v>
      </c>
      <c r="AD131" s="147">
        <f>15*20</f>
        <v>300</v>
      </c>
      <c r="AE131" s="147">
        <f>AD131*I133</f>
        <v>300</v>
      </c>
      <c r="AF131" s="147">
        <f>AC131*AE131</f>
        <v>144000</v>
      </c>
      <c r="AG131" s="148"/>
      <c r="AH131" s="147" t="str">
        <f>AA131</f>
        <v>03 - HV</v>
      </c>
      <c r="AI131" s="147">
        <v>1.0</v>
      </c>
      <c r="AJ131" s="147">
        <v>1.0</v>
      </c>
      <c r="AK131" s="147">
        <f>AJ131*8*4^AB131</f>
        <v>512</v>
      </c>
      <c r="AL131" s="147">
        <f>MIN(ROUNDDOWN(AK131/AN131,0),U131)</f>
        <v>1</v>
      </c>
      <c r="AM131" s="147">
        <f>IF(OR(T131="No",T131=""),AI131*S131,AI131*T131)</f>
        <v>1</v>
      </c>
      <c r="AN131" s="147">
        <f>ROUNDUP(AC131*VLOOKUP(H131,'Machine List'!$A$2:$D$219,4,FALSE),0)</f>
        <v>480</v>
      </c>
      <c r="AO131" s="147">
        <f>AN131*AM131</f>
        <v>480</v>
      </c>
      <c r="AP131" s="147">
        <f>ROUNDUP(AD131*I133,0)</f>
        <v>300</v>
      </c>
      <c r="AQ131" s="38">
        <f>IF(ISNUMBER(Y131),ROUNDUP(AP131/Y131,0),
  SWITCH(
      Y131,
      "1+0.5C",ROUNDUP(AP131/(1+0.5*VLOOKUP(J133,'Machine Helper Sheet'!$G$1:$K$16,2,FALSE)),0),
      ROUNDUP(AP131/1,0)
  )
)</f>
        <v>300</v>
      </c>
      <c r="AR131" s="147">
        <f>ROUNDUP(AQ131/AM131,0)</f>
        <v>300</v>
      </c>
      <c r="AS131" s="147">
        <f>AO131*AR131</f>
        <v>144000</v>
      </c>
      <c r="AT131" s="148"/>
      <c r="AU131" s="168" t="s">
        <v>405</v>
      </c>
      <c r="AV131" s="147">
        <f>VLOOKUP(AU131,'Item Helper Sheet'!$A$2:$B$16,2,FALSE)</f>
        <v>5</v>
      </c>
      <c r="AW131" s="147">
        <f>AI131</f>
        <v>1</v>
      </c>
      <c r="AX131" s="147">
        <v>1.0</v>
      </c>
      <c r="AY131" s="147">
        <f>AX131*8*4^AV131</f>
        <v>8192</v>
      </c>
      <c r="AZ131" s="147">
        <f>MIN(ROUNDDOWN(AY131/AN131,0),X131)</f>
        <v>1</v>
      </c>
      <c r="BA131" s="147">
        <f>AZ131*AW131</f>
        <v>1</v>
      </c>
      <c r="BB131" s="147">
        <f>AN131</f>
        <v>480</v>
      </c>
      <c r="BC131" s="147">
        <f>MIN(AV131-AB131,IF(AY131&gt;=BB132*4,
IF(AY131&gt;=BB132*4^2,
IF(AY131&gt;=BB132*4^3,
IF(AY131&gt;=BB132*4^4,
IF(AY131&gt;=BB132*4^5,
IF(AY131&gt;=BB132*4^6,
IF(AY131&gt;=BB132*4^7,
IF(AY131&gt;=BB132*4^8,
IF(AY131&gt;=BB132*4^9,
IF(AY131&gt;=BB132*4^10,
9),
8),
7),
6),
5),
4),
3),
2),
1),
0))</f>
        <v>2</v>
      </c>
      <c r="BD131" s="147">
        <f>BB131*AZ131*4^BC131</f>
        <v>7680</v>
      </c>
      <c r="BE131" s="147">
        <f>BD131*AW131</f>
        <v>7680</v>
      </c>
      <c r="BF131" s="143">
        <f>ROUNDUP(IF(R131="Yes",AP131/(2^((BC131)*2)),AP131/(2^(BC131))),0)</f>
        <v>75</v>
      </c>
      <c r="BG131" s="45">
        <f>IF(ISNUMBER(Y131),ROUNDUP(BF131/Y131,0),
  SWITCH(
      Y131,
      "1+0.5C",ROUNDUP(BF131/(1+0.5*VLOOKUP(J133,'Machine Helper Sheet'!$G$1:$K$16,2,FALSE)),0),
      ROUNDUP(BF131/1,0)
  )
)</f>
        <v>75</v>
      </c>
      <c r="BH131" s="143">
        <f>ROUNDUP(BG131/BA131,0)</f>
        <v>75</v>
      </c>
      <c r="BI131" s="149">
        <f>BH131*BE131</f>
        <v>576000</v>
      </c>
      <c r="BK131" s="22"/>
    </row>
    <row r="132">
      <c r="B132" s="141" t="s">
        <v>855</v>
      </c>
      <c r="C132" s="169" t="s">
        <v>200</v>
      </c>
      <c r="D132" s="147">
        <f>1000*I133</f>
        <v>1000</v>
      </c>
      <c r="E132" s="168" t="s">
        <v>84</v>
      </c>
      <c r="F132" s="152">
        <f>2000*I133</f>
        <v>2000</v>
      </c>
      <c r="G132" s="138"/>
      <c r="H132" s="153" t="s">
        <v>584</v>
      </c>
      <c r="I132" s="45">
        <f t="array" ref="I132">match(TRUE,ISBLANK(F132:F144),0)-1</f>
        <v>1</v>
      </c>
      <c r="J132" s="154" t="s">
        <v>420</v>
      </c>
      <c r="K132" s="154" t="s">
        <v>585</v>
      </c>
      <c r="L132" s="100" t="s">
        <v>704</v>
      </c>
      <c r="M132" s="147"/>
      <c r="N132" s="147"/>
      <c r="O132" s="147"/>
      <c r="P132" s="147"/>
      <c r="Q132" s="147"/>
      <c r="R132" s="155"/>
      <c r="S132" s="155"/>
      <c r="T132" s="155"/>
      <c r="U132" s="143"/>
      <c r="V132" s="143"/>
      <c r="W132" s="143"/>
      <c r="X132" s="143"/>
      <c r="Y132" s="143"/>
      <c r="Z132" s="143"/>
      <c r="AA132" s="143"/>
      <c r="AB132" s="143"/>
      <c r="AC132" s="143"/>
      <c r="AD132" s="143"/>
      <c r="AE132" s="143"/>
      <c r="AF132" s="143"/>
      <c r="AG132" s="156"/>
      <c r="AH132" s="143"/>
      <c r="AI132" s="143"/>
      <c r="AJ132" s="143"/>
      <c r="AK132" s="143"/>
      <c r="AL132" s="143"/>
      <c r="AM132" s="143"/>
      <c r="AN132" s="143"/>
      <c r="AO132" s="143"/>
      <c r="AP132" s="143"/>
      <c r="AQ132" s="143"/>
      <c r="AR132" s="143"/>
      <c r="AS132" s="143"/>
      <c r="AT132" s="156"/>
      <c r="AU132" s="143"/>
      <c r="AV132" s="143"/>
      <c r="AW132" s="143"/>
      <c r="AX132" s="143"/>
      <c r="AY132" s="143"/>
      <c r="AZ132" s="143"/>
      <c r="BA132" s="143"/>
      <c r="BB132" s="143">
        <f>BB131*AZ131</f>
        <v>480</v>
      </c>
      <c r="BC132" s="143"/>
      <c r="BD132" s="143"/>
      <c r="BE132" s="143"/>
      <c r="BF132" s="143"/>
      <c r="BG132" s="143"/>
      <c r="BH132" s="143"/>
      <c r="BI132" s="149"/>
      <c r="BK132" s="22"/>
    </row>
    <row r="133">
      <c r="B133" s="150"/>
      <c r="C133" s="169"/>
      <c r="D133" s="147"/>
      <c r="E133" s="168"/>
      <c r="F133" s="152"/>
      <c r="G133" s="138"/>
      <c r="H133" s="157" t="s">
        <v>502</v>
      </c>
      <c r="I133" s="170">
        <v>1.0</v>
      </c>
      <c r="J133" s="154" t="s">
        <v>424</v>
      </c>
      <c r="K133" s="154">
        <v>0.0</v>
      </c>
      <c r="L133" s="100">
        <v>0.0</v>
      </c>
      <c r="M133" s="143"/>
      <c r="N133" s="143"/>
      <c r="O133" s="143"/>
      <c r="P133" s="143"/>
      <c r="Q133" s="143"/>
      <c r="R133" s="143"/>
      <c r="S133" s="155"/>
      <c r="T133" s="155"/>
      <c r="U133" s="143"/>
      <c r="V133" s="143"/>
      <c r="W133" s="143"/>
      <c r="X133" s="143"/>
      <c r="Y133" s="143"/>
      <c r="Z133" s="143"/>
      <c r="AA133" s="143"/>
      <c r="AB133" s="143"/>
      <c r="AC133" s="143"/>
      <c r="AD133" s="143"/>
      <c r="AE133" s="143"/>
      <c r="AF133" s="143"/>
      <c r="AG133" s="156"/>
      <c r="AH133" s="143"/>
      <c r="AI133" s="143"/>
      <c r="AJ133" s="143"/>
      <c r="AK133" s="143"/>
      <c r="AL133" s="143"/>
      <c r="AM133" s="143"/>
      <c r="AN133" s="143"/>
      <c r="AO133" s="143"/>
      <c r="AP133" s="143"/>
      <c r="AQ133" s="143"/>
      <c r="AR133" s="143"/>
      <c r="AS133" s="143"/>
      <c r="AT133" s="156"/>
      <c r="AU133" s="143"/>
      <c r="AV133" s="143"/>
      <c r="AW133" s="143"/>
      <c r="AX133" s="143"/>
      <c r="AY133" s="143"/>
      <c r="AZ133" s="143"/>
      <c r="BA133" s="143"/>
      <c r="BB133" s="143"/>
      <c r="BC133" s="143"/>
      <c r="BD133" s="143"/>
      <c r="BE133" s="143"/>
      <c r="BF133" s="143"/>
      <c r="BG133" s="143"/>
      <c r="BH133" s="143"/>
      <c r="BI133" s="149"/>
      <c r="BK133" s="22"/>
    </row>
    <row r="134">
      <c r="B134" s="135"/>
      <c r="C134" s="136"/>
      <c r="D134" s="137"/>
      <c r="E134" s="137"/>
      <c r="F134" s="137"/>
      <c r="G134" s="138"/>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8"/>
      <c r="AH134" s="137"/>
      <c r="AI134" s="137"/>
      <c r="AJ134" s="137"/>
      <c r="AK134" s="137"/>
      <c r="AL134" s="137"/>
      <c r="AM134" s="137"/>
      <c r="AN134" s="137"/>
      <c r="AO134" s="137"/>
      <c r="AP134" s="137"/>
      <c r="AQ134" s="137"/>
      <c r="AR134" s="137"/>
      <c r="AS134" s="137"/>
      <c r="AT134" s="138"/>
      <c r="AU134" s="137"/>
      <c r="AV134" s="137"/>
      <c r="AW134" s="137"/>
      <c r="AX134" s="137"/>
      <c r="AY134" s="137"/>
      <c r="AZ134" s="137"/>
      <c r="BA134" s="137"/>
      <c r="BB134" s="137"/>
      <c r="BC134" s="137"/>
      <c r="BD134" s="137"/>
      <c r="BE134" s="137"/>
      <c r="BF134" s="137"/>
      <c r="BG134" s="137"/>
      <c r="BH134" s="137"/>
      <c r="BI134" s="139"/>
      <c r="BK134" s="22"/>
    </row>
    <row r="135">
      <c r="B135" s="31" t="s">
        <v>857</v>
      </c>
      <c r="C135" s="54"/>
      <c r="D135" s="45"/>
      <c r="E135" s="45"/>
      <c r="F135" s="47"/>
      <c r="G135" s="35"/>
      <c r="H135" s="163" t="s">
        <v>298</v>
      </c>
      <c r="I135" s="38" t="str">
        <f>VLOOKUP(H135,'Machine List'!$A$1:$I$300,9,FALSE)</f>
        <v>4000+500(7O-5)</v>
      </c>
      <c r="J135" s="38">
        <f>IF(VLOOKUP(H135,'Machine List'!$A$1:$I$300,5,FALSE)="Multi",IF(VLOOKUP(H135,'Machine List'!$A$1:$I$300,6,FALSE)="Yes",AI135*3*10^AB135,AI135*(2*3)*10^(AB135-1)),0)</f>
        <v>600</v>
      </c>
      <c r="K135" s="38">
        <f>J135+IF(ISNUMBER(I135),I135,
  SWITCH(
      I135,
      "1T",1*10^AB135,
      "2T",2*10^AB135,
      "3T",3*10^AB135,
      "4T",4*10^AB135,
      "4000+500(7O-5)",4000+500*(7*I136-5),
      "13500 + 16C",13500+16*VLOOKUP(J137,'Machine Helper Sheet'!$G$1:$K$16,5,FALSE),
      1
  )
)</f>
        <v>12600</v>
      </c>
      <c r="L135" s="38">
        <f>IF(VLOOKUP(H135,'Machine List'!$A$1:$I$300,5,FALSE)="Multi",IF(VLOOKUP(H135,'Machine List'!$A$1:$I$300,6,FALSE)="Yes",AW135*3*10^AV135,AW135*(2*3)*10^(AV135-1)),0)</f>
        <v>60000</v>
      </c>
      <c r="M135" s="38">
        <f>L135+IF(ISNUMBER(I135),I135,
  SWITCH(
      I135,
      "1T",1*10^AV135,
      "2T",2*10^AV135,
      "3T",3*10^AV135,
      "4T",4*10^AV135,
      "4000+500(7O-5)",4000+500*(7*I136-5),
      1
  )
)</f>
        <v>72000</v>
      </c>
      <c r="N135" s="38" t="str">
        <f>VLOOKUP(H135,'Machine List'!$A$1:$I$300,8,FALSE)</f>
        <v>Tier</v>
      </c>
      <c r="O135" s="38">
        <f>IF(ISNUMBER(N135),N135,10^AB135)</f>
        <v>1000</v>
      </c>
      <c r="P135" s="38">
        <f>IF(ISNUMBER(N135),N135,10^AV135)</f>
        <v>100000</v>
      </c>
      <c r="Q135" s="38">
        <f>VLOOKUP(H135,'Machine List'!$A$1:$B$138,2,FALSE)</f>
        <v>1</v>
      </c>
      <c r="R135" s="164" t="s">
        <v>594</v>
      </c>
      <c r="S135" s="45">
        <f>IF(ISNUMBER(Q135),Q135,
  SWITCH(
      Q135,
      "1",1,
      "2T",AB135*2,
      "4T",AB135*4,
      "6T",AB135*6,
      "8T",AB135*8,
      "10T",AB135*10,
      "12T",AB135*12,
      "14T",AB135*14,
      "16T",AB135*16,
      "24T",AB135*24,
      "2(T+1)",2*(AB135+1),
      "1T*C",AB135*J137,
      "2*P",L137*2,
      1
  )
)</f>
        <v>1</v>
      </c>
      <c r="T135" s="38" t="s">
        <v>277</v>
      </c>
      <c r="U135" s="38">
        <f>IF(OR(T135="No",T135=""),S135,T135)</f>
        <v>1</v>
      </c>
      <c r="V135" s="38">
        <f>IF(ISNUMBER(Q135),Q135,
  SWITCH(
      Q135,
      "1",1,
      "2T",AV135*2,
      "4T",AV135*4,
      "6T",AV135*6,
      "8T",AV135*8,
      "10T",AV135*10,
      "12T",AV135*12,
      "14T",AV135*14,
      "16T",AV135*16,
      "24T",AV135*24,
      "2(T+1)",2*(AV135+1),
      "1T*C",AV135*J137,
      "2*P",L137*2,
      1
  )
)</f>
        <v>1</v>
      </c>
      <c r="W135" s="38" t="str">
        <f>T135</f>
        <v>No</v>
      </c>
      <c r="X135" s="38">
        <f>IF(OR(W135="No",W135=""),V135,W135)</f>
        <v>1</v>
      </c>
      <c r="Y135" s="38">
        <f>VLOOKUP(H135,'Machine List'!$A$1:$C$138,3,FALSE)</f>
        <v>1</v>
      </c>
      <c r="Z135" s="38">
        <f>VLOOKUP(H135,'Machine List'!$A$1:$D$138,4,FALSE)</f>
        <v>1</v>
      </c>
      <c r="AA135" s="164" t="s">
        <v>397</v>
      </c>
      <c r="AB135" s="38">
        <f>VLOOKUP(AA135,'Item Helper Sheet'!$A$2:$B$16,2,FALSE)</f>
        <v>3</v>
      </c>
      <c r="AC135" s="164">
        <v>480.0</v>
      </c>
      <c r="AD135" s="38">
        <f>75*20</f>
        <v>1500</v>
      </c>
      <c r="AE135" s="38">
        <f>AD135*I137</f>
        <v>1500</v>
      </c>
      <c r="AF135" s="38">
        <f>AC135*AE135</f>
        <v>720000</v>
      </c>
      <c r="AG135" s="75"/>
      <c r="AH135" s="38" t="str">
        <f>AA135</f>
        <v>03 - HV</v>
      </c>
      <c r="AI135" s="38">
        <v>1.0</v>
      </c>
      <c r="AJ135" s="38">
        <v>1.0</v>
      </c>
      <c r="AK135" s="38">
        <f>AJ135*8*4^AB135</f>
        <v>512</v>
      </c>
      <c r="AL135" s="38">
        <f>MIN(ROUNDDOWN(AK135/AN135,0),U135)</f>
        <v>1</v>
      </c>
      <c r="AM135" s="38">
        <f>IF(OR(T135="No",T135=""),AI135*S135,AI135*T135)</f>
        <v>1</v>
      </c>
      <c r="AN135" s="38">
        <f>ROUNDUP(AC135*VLOOKUP(H135,'Machine List'!$A$2:$D$219,4,FALSE),0)</f>
        <v>480</v>
      </c>
      <c r="AO135" s="38">
        <f>AN135*AM135</f>
        <v>480</v>
      </c>
      <c r="AP135" s="38">
        <f>ROUNDUP(AD135*I137,0)</f>
        <v>1500</v>
      </c>
      <c r="AQ135" s="38">
        <f>IF(ISNUMBER(Y135),ROUNDUP(AP135/Y135,0),
  SWITCH(
      Y135,
      "1+0.5C",ROUNDUP(AP135/(1+0.5*VLOOKUP(J137,'Machine Helper Sheet'!$G$1:$K$16,2,FALSE)),0),
      ROUNDUP(AP135/1,0)
  )
)</f>
        <v>1500</v>
      </c>
      <c r="AR135" s="38">
        <f>ROUNDUP(AQ135/AM135,0)</f>
        <v>1500</v>
      </c>
      <c r="AS135" s="38">
        <f>AO135*AR135</f>
        <v>720000</v>
      </c>
      <c r="AT135" s="75"/>
      <c r="AU135" s="164" t="s">
        <v>405</v>
      </c>
      <c r="AV135" s="38">
        <f>VLOOKUP(AU135,'Item Helper Sheet'!$A$2:$B$16,2,FALSE)</f>
        <v>5</v>
      </c>
      <c r="AW135" s="38">
        <f>AI135</f>
        <v>1</v>
      </c>
      <c r="AX135" s="38">
        <v>1.0</v>
      </c>
      <c r="AY135" s="38">
        <f>AX135*8*4^AV135</f>
        <v>8192</v>
      </c>
      <c r="AZ135" s="38">
        <f>MIN(ROUNDDOWN(AY135/AN135,0),X135)</f>
        <v>1</v>
      </c>
      <c r="BA135" s="38">
        <f>AZ135*AW135</f>
        <v>1</v>
      </c>
      <c r="BB135" s="38">
        <f>AN135</f>
        <v>480</v>
      </c>
      <c r="BC135" s="38">
        <f>MIN(AV135-AB135,IF(AY135&gt;=BB136*4,
IF(AY135&gt;=BB136*4^2,
IF(AY135&gt;=BB136*4^3,
IF(AY135&gt;=BB136*4^4,
IF(AY135&gt;=BB136*4^5,
IF(AY135&gt;=BB136*4^6,
IF(AY135&gt;=BB136*4^7,
IF(AY135&gt;=BB136*4^8,
IF(AY135&gt;=BB136*4^9,
IF(AY135&gt;=BB136*4^10,
9),
8),
7),
6),
5),
4),
3),
2),
1),
0))</f>
        <v>2</v>
      </c>
      <c r="BD135" s="38">
        <f>BB135*AZ135*4^BC135</f>
        <v>7680</v>
      </c>
      <c r="BE135" s="38">
        <f>BD135*AW135</f>
        <v>7680</v>
      </c>
      <c r="BF135" s="45">
        <f>ROUNDUP(IF(R135="Yes",AP135/(2^((BC135)*2)),AP135/(2^(BC135))),0)</f>
        <v>94</v>
      </c>
      <c r="BG135" s="45">
        <f>IF(ISNUMBER(Y135),ROUNDUP(BF135/Y135,0),
  SWITCH(
      Y135,
      "1+0.5C",ROUNDUP(BF135/(1+0.5*VLOOKUP(J137,'Machine Helper Sheet'!$G$1:$K$16,2,FALSE)),0),
      ROUNDUP(BF135/1,0)
  )
)</f>
        <v>94</v>
      </c>
      <c r="BH135" s="45">
        <f>ROUNDUP(BG135/BA135,0)</f>
        <v>94</v>
      </c>
      <c r="BI135" s="46">
        <f>BH135*BE135</f>
        <v>721920</v>
      </c>
      <c r="BK135" s="22"/>
    </row>
    <row r="136">
      <c r="B136" s="141" t="s">
        <v>855</v>
      </c>
      <c r="C136" s="165" t="s">
        <v>84</v>
      </c>
      <c r="D136" s="38">
        <f>9000*I137</f>
        <v>9000</v>
      </c>
      <c r="E136" s="164" t="s">
        <v>201</v>
      </c>
      <c r="F136" s="42">
        <f>6*I137</f>
        <v>6</v>
      </c>
      <c r="G136" s="43"/>
      <c r="H136" s="99" t="s">
        <v>584</v>
      </c>
      <c r="I136" s="45">
        <f t="array" ref="I136">match(TRUE,ISBLANK(F136:F146),0)-1</f>
        <v>3</v>
      </c>
      <c r="J136" s="100" t="s">
        <v>420</v>
      </c>
      <c r="K136" s="100" t="s">
        <v>585</v>
      </c>
      <c r="L136" s="100" t="s">
        <v>704</v>
      </c>
      <c r="M136" s="38"/>
      <c r="N136" s="38"/>
      <c r="O136" s="38"/>
      <c r="P136" s="38"/>
      <c r="Q136" s="38"/>
      <c r="R136" s="101"/>
      <c r="S136" s="101"/>
      <c r="T136" s="101"/>
      <c r="U136" s="45"/>
      <c r="V136" s="45"/>
      <c r="W136" s="45"/>
      <c r="X136" s="45"/>
      <c r="Y136" s="45"/>
      <c r="Z136" s="45"/>
      <c r="AA136" s="45"/>
      <c r="AB136" s="45"/>
      <c r="AC136" s="45"/>
      <c r="AD136" s="45"/>
      <c r="AE136" s="45"/>
      <c r="AF136" s="45"/>
      <c r="AG136" s="79"/>
      <c r="AH136" s="45"/>
      <c r="AI136" s="45"/>
      <c r="AJ136" s="45"/>
      <c r="AK136" s="45"/>
      <c r="AL136" s="45"/>
      <c r="AM136" s="45"/>
      <c r="AN136" s="45"/>
      <c r="AO136" s="45"/>
      <c r="AP136" s="45"/>
      <c r="AQ136" s="45"/>
      <c r="AR136" s="45"/>
      <c r="AS136" s="45"/>
      <c r="AT136" s="79"/>
      <c r="AU136" s="45"/>
      <c r="AV136" s="45"/>
      <c r="AW136" s="45"/>
      <c r="AX136" s="45"/>
      <c r="AY136" s="45"/>
      <c r="AZ136" s="45"/>
      <c r="BA136" s="45"/>
      <c r="BB136" s="45">
        <f>BB135*AZ135</f>
        <v>480</v>
      </c>
      <c r="BC136" s="45"/>
      <c r="BD136" s="45"/>
      <c r="BE136" s="45"/>
      <c r="BF136" s="45"/>
      <c r="BG136" s="45"/>
      <c r="BH136" s="45"/>
      <c r="BI136" s="46"/>
      <c r="BK136" s="22"/>
    </row>
    <row r="137">
      <c r="B137" s="40"/>
      <c r="C137" s="165"/>
      <c r="D137" s="38"/>
      <c r="E137" s="164" t="s">
        <v>248</v>
      </c>
      <c r="F137" s="42">
        <f>1800*I137</f>
        <v>1800</v>
      </c>
      <c r="G137" s="43"/>
      <c r="H137" s="56" t="s">
        <v>502</v>
      </c>
      <c r="I137" s="166">
        <v>1.0</v>
      </c>
      <c r="J137" s="100" t="s">
        <v>427</v>
      </c>
      <c r="K137" s="100">
        <v>0.0</v>
      </c>
      <c r="L137" s="100">
        <v>0.0</v>
      </c>
      <c r="M137" s="45"/>
      <c r="N137" s="45"/>
      <c r="O137" s="45"/>
      <c r="P137" s="45"/>
      <c r="Q137" s="45"/>
      <c r="R137" s="45"/>
      <c r="S137" s="101"/>
      <c r="T137" s="101"/>
      <c r="U137" s="45"/>
      <c r="V137" s="45"/>
      <c r="W137" s="45"/>
      <c r="X137" s="45"/>
      <c r="Y137" s="45"/>
      <c r="Z137" s="45"/>
      <c r="AA137" s="45"/>
      <c r="AB137" s="45"/>
      <c r="AC137" s="45"/>
      <c r="AD137" s="45"/>
      <c r="AE137" s="45"/>
      <c r="AF137" s="45"/>
      <c r="AG137" s="79"/>
      <c r="AH137" s="45"/>
      <c r="AI137" s="45"/>
      <c r="AJ137" s="45"/>
      <c r="AK137" s="45"/>
      <c r="AL137" s="45"/>
      <c r="AM137" s="45"/>
      <c r="AN137" s="45"/>
      <c r="AO137" s="45"/>
      <c r="AP137" s="45"/>
      <c r="AQ137" s="45"/>
      <c r="AR137" s="45"/>
      <c r="AS137" s="45"/>
      <c r="AT137" s="79"/>
      <c r="AU137" s="45"/>
      <c r="AV137" s="45"/>
      <c r="AW137" s="45"/>
      <c r="AX137" s="45"/>
      <c r="AY137" s="45"/>
      <c r="AZ137" s="45"/>
      <c r="BA137" s="45"/>
      <c r="BB137" s="45"/>
      <c r="BC137" s="45"/>
      <c r="BD137" s="45"/>
      <c r="BE137" s="45"/>
      <c r="BF137" s="45"/>
      <c r="BG137" s="45"/>
      <c r="BH137" s="45"/>
      <c r="BI137" s="46"/>
      <c r="BK137" s="22"/>
    </row>
    <row r="138">
      <c r="B138" s="40"/>
      <c r="C138" s="165"/>
      <c r="D138" s="38"/>
      <c r="E138" s="164" t="s">
        <v>199</v>
      </c>
      <c r="F138" s="42">
        <f>7200*I137</f>
        <v>7200</v>
      </c>
      <c r="G138" s="43"/>
      <c r="H138" s="44"/>
      <c r="I138" s="45"/>
      <c r="J138" s="45"/>
      <c r="K138" s="45"/>
      <c r="L138" s="45"/>
      <c r="M138" s="45"/>
      <c r="N138" s="45"/>
      <c r="O138" s="45"/>
      <c r="P138" s="45"/>
      <c r="Q138" s="45"/>
      <c r="R138" s="45"/>
      <c r="S138" s="101"/>
      <c r="T138" s="101"/>
      <c r="U138" s="45"/>
      <c r="V138" s="45"/>
      <c r="W138" s="45"/>
      <c r="X138" s="45"/>
      <c r="Y138" s="45"/>
      <c r="Z138" s="45"/>
      <c r="AA138" s="45"/>
      <c r="AB138" s="45"/>
      <c r="AC138" s="45"/>
      <c r="AD138" s="45"/>
      <c r="AE138" s="45"/>
      <c r="AF138" s="45"/>
      <c r="AG138" s="79"/>
      <c r="AH138" s="45"/>
      <c r="AI138" s="45"/>
      <c r="AJ138" s="45"/>
      <c r="AK138" s="45"/>
      <c r="AL138" s="45"/>
      <c r="AM138" s="45"/>
      <c r="AN138" s="45"/>
      <c r="AO138" s="45"/>
      <c r="AP138" s="45"/>
      <c r="AQ138" s="45"/>
      <c r="AR138" s="45"/>
      <c r="AS138" s="45"/>
      <c r="AT138" s="79"/>
      <c r="AU138" s="45"/>
      <c r="AV138" s="45"/>
      <c r="AW138" s="45"/>
      <c r="AX138" s="45"/>
      <c r="AY138" s="45"/>
      <c r="AZ138" s="45"/>
      <c r="BA138" s="45"/>
      <c r="BB138" s="45"/>
      <c r="BC138" s="45"/>
      <c r="BD138" s="45"/>
      <c r="BE138" s="45"/>
      <c r="BF138" s="45"/>
      <c r="BG138" s="45"/>
      <c r="BH138" s="45"/>
      <c r="BI138" s="46"/>
      <c r="BK138" s="22"/>
    </row>
    <row r="139">
      <c r="B139" s="135"/>
      <c r="C139" s="136"/>
      <c r="D139" s="137"/>
      <c r="E139" s="137"/>
      <c r="F139" s="137"/>
      <c r="G139" s="138"/>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8"/>
      <c r="AH139" s="137"/>
      <c r="AI139" s="137"/>
      <c r="AJ139" s="137"/>
      <c r="AK139" s="137"/>
      <c r="AL139" s="137"/>
      <c r="AM139" s="137"/>
      <c r="AN139" s="137"/>
      <c r="AO139" s="137"/>
      <c r="AP139" s="137"/>
      <c r="AQ139" s="137"/>
      <c r="AR139" s="137"/>
      <c r="AS139" s="137"/>
      <c r="AT139" s="138"/>
      <c r="AU139" s="137"/>
      <c r="AV139" s="137"/>
      <c r="AW139" s="137"/>
      <c r="AX139" s="137"/>
      <c r="AY139" s="137"/>
      <c r="AZ139" s="137"/>
      <c r="BA139" s="137"/>
      <c r="BB139" s="137"/>
      <c r="BC139" s="137"/>
      <c r="BD139" s="137"/>
      <c r="BE139" s="137"/>
      <c r="BF139" s="137"/>
      <c r="BG139" s="137"/>
      <c r="BH139" s="137"/>
      <c r="BI139" s="139"/>
      <c r="BK139" s="22"/>
    </row>
    <row r="140">
      <c r="B140" s="141" t="s">
        <v>858</v>
      </c>
      <c r="C140" s="142"/>
      <c r="D140" s="143"/>
      <c r="E140" s="143"/>
      <c r="F140" s="144"/>
      <c r="G140" s="145"/>
      <c r="H140" s="167" t="s">
        <v>311</v>
      </c>
      <c r="I140" s="147" t="str">
        <f>VLOOKUP(H140,'Machine List'!$A$1:$I$300,9,FALSE)</f>
        <v>1T</v>
      </c>
      <c r="J140" s="147">
        <f>IF(VLOOKUP(H140,'Machine List'!$A$1:$I$300,5,FALSE)="Multi",IF(VLOOKUP(H140,'Machine List'!$A$1:$I$300,6,FALSE)="Yes",AI140*3*10^AB140,AI140*(2*3)*10^(AB140-1)),0)</f>
        <v>0</v>
      </c>
      <c r="K140" s="147">
        <f>J140+IF(ISNUMBER(I140),I140,
  SWITCH(
      I140,
      "1T",1*10^AB140,
      "2T",2*10^AB140,
      "3T",3*10^AB140,
      "4T",4*10^AB140,
      "4000+500(7O-5)",4000+500*(7*I141-5),
      "13500 + 16C",13500+16*VLOOKUP(J142,'Machine Helper Sheet'!$G$1:$K$16,5,FALSE),
      1
  )
)</f>
        <v>1000</v>
      </c>
      <c r="L140" s="147">
        <f>IF(VLOOKUP(H140,'Machine List'!$A$1:$I$300,5,FALSE)="Multi",IF(VLOOKUP(H140,'Machine List'!$A$1:$I$300,6,FALSE)="Yes",AW140*3*10^AV140,AW140*(2*3)*10^(AV140-1)),0)</f>
        <v>0</v>
      </c>
      <c r="M140" s="147">
        <f>L140+IF(ISNUMBER(I140),I140,
  SWITCH(
      I140,
      "1T",1*10^AV140,
      "2T",2*10^AV140,
      "3T",3*10^AV140,
      "4T",4*10^AV140,
      "4000+500(7O-5)",4000+500*(7*I141-5),
      1
  )
)</f>
        <v>100000</v>
      </c>
      <c r="N140" s="147" t="str">
        <f>VLOOKUP(H140,'Machine List'!$A$1:$I$300,8,FALSE)</f>
        <v>Tier</v>
      </c>
      <c r="O140" s="147">
        <f>IF(ISNUMBER(N140),N140,10^AB140)</f>
        <v>1000</v>
      </c>
      <c r="P140" s="147">
        <f>IF(ISNUMBER(N140),N140,10^AV140)</f>
        <v>100000</v>
      </c>
      <c r="Q140" s="147">
        <f>VLOOKUP(H140,'Machine List'!$A$1:$B$138,2,FALSE)</f>
        <v>1</v>
      </c>
      <c r="R140" s="147" t="s">
        <v>277</v>
      </c>
      <c r="S140" s="143">
        <f>IF(ISNUMBER(Q140),Q140,
  SWITCH(
      Q140,
      "1",1,
      "2T",AB140*2,
      "4T",AB140*4,
      "6T",AB140*6,
      "8T",AB140*8,
      "10T",AB140*10,
      "12T",AB140*12,
      "14T",AB140*14,
      "16T",AB140*16,
      "24T",AB140*24,
      "2(T+1)",2*(AB140+1),
      "1T*C",AB140*J142,
      "2*P",L142*2,
      1
  )
)</f>
        <v>1</v>
      </c>
      <c r="T140" s="38" t="s">
        <v>277</v>
      </c>
      <c r="U140" s="147">
        <f>IF(OR(T140="No",T140=""),S140,T140)</f>
        <v>1</v>
      </c>
      <c r="V140" s="147">
        <f>IF(ISNUMBER(Q140),Q140,
  SWITCH(
      Q140,
      "1",1,
      "2T",AV140*2,
      "4T",AV140*4,
      "6T",AV140*6,
      "8T",AV140*8,
      "10T",AV140*10,
      "12T",AV140*12,
      "14T",AV140*14,
      "16T",AV140*16,
      "24T",AV140*24,
      "2(T+1)",2*(AV140+1),
      "1T*C",AV140*J142,
      "2*P",L142*2,
      1
  )
)</f>
        <v>1</v>
      </c>
      <c r="W140" s="147" t="str">
        <f>T140</f>
        <v>No</v>
      </c>
      <c r="X140" s="147">
        <f>IF(OR(W140="No",W140=""),V140,W140)</f>
        <v>1</v>
      </c>
      <c r="Y140" s="38">
        <f>VLOOKUP(H140,'Machine List'!$A$1:$C$138,3,FALSE)</f>
        <v>1</v>
      </c>
      <c r="Z140" s="38">
        <f>VLOOKUP(H140,'Machine List'!$A$1:$D$138,4,FALSE)</f>
        <v>1</v>
      </c>
      <c r="AA140" s="168" t="s">
        <v>397</v>
      </c>
      <c r="AB140" s="147">
        <f>VLOOKUP(AA140,'Item Helper Sheet'!$A$2:$B$16,2,FALSE)</f>
        <v>3</v>
      </c>
      <c r="AC140" s="147">
        <v>30.0</v>
      </c>
      <c r="AD140" s="147">
        <f>1.65*20</f>
        <v>33</v>
      </c>
      <c r="AE140" s="147">
        <f>AD140*I142</f>
        <v>33</v>
      </c>
      <c r="AF140" s="147">
        <f>AC140*AE140</f>
        <v>990</v>
      </c>
      <c r="AG140" s="148"/>
      <c r="AH140" s="147" t="str">
        <f>AA140</f>
        <v>03 - HV</v>
      </c>
      <c r="AI140" s="147">
        <v>1.0</v>
      </c>
      <c r="AJ140" s="147">
        <v>1.0</v>
      </c>
      <c r="AK140" s="147">
        <f>AJ140*8*4^AB140</f>
        <v>512</v>
      </c>
      <c r="AL140" s="147">
        <f>MIN(ROUNDDOWN(AK140/AN140,0),U140)</f>
        <v>1</v>
      </c>
      <c r="AM140" s="147">
        <f>IF(OR(T140="No",T140=""),AI140*S140,AI140*T140)</f>
        <v>1</v>
      </c>
      <c r="AN140" s="147">
        <f>ROUNDUP(AC140*VLOOKUP(H140,'Machine List'!$A$2:$D$219,4,FALSE),0)</f>
        <v>30</v>
      </c>
      <c r="AO140" s="147">
        <f>AN140*AM140</f>
        <v>30</v>
      </c>
      <c r="AP140" s="147">
        <f>ROUNDUP(AD140*I142,0)</f>
        <v>33</v>
      </c>
      <c r="AQ140" s="38">
        <f>IF(ISNUMBER(Y140),ROUNDUP(AP140/Y140,0),
  SWITCH(
      Y140,
      "1+0.5C",ROUNDUP(AP140/(1+0.5*VLOOKUP(J142,'Machine Helper Sheet'!$G$1:$K$16,2,FALSE)),0),
      ROUNDUP(AP140/1,0)
  )
)</f>
        <v>33</v>
      </c>
      <c r="AR140" s="147">
        <f>ROUNDUP(AQ140/AM140,0)</f>
        <v>33</v>
      </c>
      <c r="AS140" s="147">
        <f>AO140*AR140</f>
        <v>990</v>
      </c>
      <c r="AT140" s="148"/>
      <c r="AU140" s="168" t="s">
        <v>405</v>
      </c>
      <c r="AV140" s="147">
        <f>VLOOKUP(AU140,'Item Helper Sheet'!$A$2:$B$16,2,FALSE)</f>
        <v>5</v>
      </c>
      <c r="AW140" s="147">
        <f>AI140</f>
        <v>1</v>
      </c>
      <c r="AX140" s="147">
        <v>1.0</v>
      </c>
      <c r="AY140" s="147">
        <f>AX140*8*4^AV140</f>
        <v>8192</v>
      </c>
      <c r="AZ140" s="147">
        <f>MIN(ROUNDDOWN(AY140/AN140,0),X140)</f>
        <v>1</v>
      </c>
      <c r="BA140" s="147">
        <f>AZ140*AW140</f>
        <v>1</v>
      </c>
      <c r="BB140" s="147">
        <f>AN140</f>
        <v>30</v>
      </c>
      <c r="BC140" s="147">
        <f>MIN(AV140-AB140,IF(AY140&gt;=BB141*4,
IF(AY140&gt;=BB141*4^2,
IF(AY140&gt;=BB141*4^3,
IF(AY140&gt;=BB141*4^4,
IF(AY140&gt;=BB141*4^5,
IF(AY140&gt;=BB141*4^6,
IF(AY140&gt;=BB141*4^7,
IF(AY140&gt;=BB141*4^8,
IF(AY140&gt;=BB141*4^9,
IF(AY140&gt;=BB141*4^10,
9),
8),
7),
6),
5),
4),
3),
2),
1),
0))</f>
        <v>2</v>
      </c>
      <c r="BD140" s="147">
        <f>BB140*AZ140*4^BC140</f>
        <v>480</v>
      </c>
      <c r="BE140" s="147">
        <f>BD140*AW140</f>
        <v>480</v>
      </c>
      <c r="BF140" s="143">
        <f>ROUNDUP(IF(R140="Yes",AP140/(2^((BC140)*2)),AP140/(2^(BC140))),0)</f>
        <v>9</v>
      </c>
      <c r="BG140" s="45">
        <f>IF(ISNUMBER(Y140),ROUNDUP(BF140/Y140,0),
  SWITCH(
      Y140,
      "1+0.5C",ROUNDUP(BF140/(1+0.5*VLOOKUP(J142,'Machine Helper Sheet'!$G$1:$K$16,2,FALSE)),0),
      ROUNDUP(BF140/1,0)
  )
)</f>
        <v>9</v>
      </c>
      <c r="BH140" s="143">
        <f>ROUNDUP(BG140/BA140,0)</f>
        <v>9</v>
      </c>
      <c r="BI140" s="149">
        <f>BH140*BE140</f>
        <v>4320</v>
      </c>
      <c r="BK140" s="22"/>
    </row>
    <row r="141">
      <c r="B141" s="141" t="s">
        <v>855</v>
      </c>
      <c r="C141" s="169" t="s">
        <v>199</v>
      </c>
      <c r="D141" s="147">
        <f>1000*I142</f>
        <v>1000</v>
      </c>
      <c r="E141" s="168" t="s">
        <v>198</v>
      </c>
      <c r="F141" s="152">
        <f>2000*I142</f>
        <v>2000</v>
      </c>
      <c r="G141" s="138"/>
      <c r="H141" s="153" t="s">
        <v>584</v>
      </c>
      <c r="I141" s="45">
        <f t="array" ref="I141">match(TRUE,ISBLANK(F141:F153),0)-1</f>
        <v>1</v>
      </c>
      <c r="J141" s="154" t="s">
        <v>420</v>
      </c>
      <c r="K141" s="154" t="s">
        <v>585</v>
      </c>
      <c r="L141" s="100" t="s">
        <v>704</v>
      </c>
      <c r="M141" s="147"/>
      <c r="N141" s="147"/>
      <c r="O141" s="147"/>
      <c r="P141" s="147"/>
      <c r="Q141" s="147"/>
      <c r="R141" s="155"/>
      <c r="S141" s="155"/>
      <c r="T141" s="155"/>
      <c r="U141" s="143"/>
      <c r="V141" s="143"/>
      <c r="W141" s="143"/>
      <c r="X141" s="143"/>
      <c r="Y141" s="143"/>
      <c r="Z141" s="143"/>
      <c r="AA141" s="143"/>
      <c r="AB141" s="143"/>
      <c r="AC141" s="143"/>
      <c r="AD141" s="143"/>
      <c r="AE141" s="143"/>
      <c r="AF141" s="143"/>
      <c r="AG141" s="156"/>
      <c r="AH141" s="143"/>
      <c r="AI141" s="143"/>
      <c r="AJ141" s="143"/>
      <c r="AK141" s="143"/>
      <c r="AL141" s="143"/>
      <c r="AM141" s="143"/>
      <c r="AN141" s="143"/>
      <c r="AO141" s="143"/>
      <c r="AP141" s="143"/>
      <c r="AQ141" s="143"/>
      <c r="AR141" s="143"/>
      <c r="AS141" s="143"/>
      <c r="AT141" s="156"/>
      <c r="AU141" s="143"/>
      <c r="AV141" s="143"/>
      <c r="AW141" s="143"/>
      <c r="AX141" s="143"/>
      <c r="AY141" s="143"/>
      <c r="AZ141" s="143"/>
      <c r="BA141" s="143"/>
      <c r="BB141" s="143">
        <f>BB140*AZ140</f>
        <v>30</v>
      </c>
      <c r="BC141" s="143"/>
      <c r="BD141" s="143"/>
      <c r="BE141" s="143"/>
      <c r="BF141" s="143"/>
      <c r="BG141" s="143"/>
      <c r="BH141" s="143"/>
      <c r="BI141" s="149"/>
      <c r="BK141" s="22"/>
    </row>
    <row r="142">
      <c r="B142" s="150"/>
      <c r="C142" s="169"/>
      <c r="D142" s="147"/>
      <c r="E142" s="168"/>
      <c r="F142" s="152"/>
      <c r="G142" s="138"/>
      <c r="H142" s="157" t="s">
        <v>502</v>
      </c>
      <c r="I142" s="170">
        <v>1.0</v>
      </c>
      <c r="J142" s="154" t="s">
        <v>424</v>
      </c>
      <c r="K142" s="154">
        <v>0.0</v>
      </c>
      <c r="L142" s="100">
        <v>0.0</v>
      </c>
      <c r="M142" s="143"/>
      <c r="N142" s="143"/>
      <c r="O142" s="143"/>
      <c r="P142" s="143"/>
      <c r="Q142" s="143"/>
      <c r="R142" s="143"/>
      <c r="S142" s="155"/>
      <c r="T142" s="155"/>
      <c r="U142" s="143"/>
      <c r="V142" s="143"/>
      <c r="W142" s="143"/>
      <c r="X142" s="143"/>
      <c r="Y142" s="143"/>
      <c r="Z142" s="143"/>
      <c r="AA142" s="143"/>
      <c r="AB142" s="143"/>
      <c r="AC142" s="143"/>
      <c r="AD142" s="143"/>
      <c r="AE142" s="143"/>
      <c r="AF142" s="143"/>
      <c r="AG142" s="156"/>
      <c r="AH142" s="143"/>
      <c r="AI142" s="143"/>
      <c r="AJ142" s="143"/>
      <c r="AK142" s="143"/>
      <c r="AL142" s="143"/>
      <c r="AM142" s="143"/>
      <c r="AN142" s="143"/>
      <c r="AO142" s="143"/>
      <c r="AP142" s="143"/>
      <c r="AQ142" s="143"/>
      <c r="AR142" s="143"/>
      <c r="AS142" s="143"/>
      <c r="AT142" s="156"/>
      <c r="AU142" s="143"/>
      <c r="AV142" s="143"/>
      <c r="AW142" s="143"/>
      <c r="AX142" s="143"/>
      <c r="AY142" s="143"/>
      <c r="AZ142" s="143"/>
      <c r="BA142" s="143"/>
      <c r="BB142" s="143"/>
      <c r="BC142" s="143"/>
      <c r="BD142" s="143"/>
      <c r="BE142" s="143"/>
      <c r="BF142" s="143"/>
      <c r="BG142" s="143"/>
      <c r="BH142" s="143"/>
      <c r="BI142" s="149"/>
      <c r="BK142" s="22"/>
    </row>
    <row r="143">
      <c r="B143" s="135"/>
      <c r="C143" s="136"/>
      <c r="D143" s="137"/>
      <c r="E143" s="137"/>
      <c r="F143" s="137"/>
      <c r="G143" s="138"/>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8"/>
      <c r="AH143" s="137"/>
      <c r="AI143" s="137"/>
      <c r="AJ143" s="137"/>
      <c r="AK143" s="137"/>
      <c r="AL143" s="137"/>
      <c r="AM143" s="137"/>
      <c r="AN143" s="137"/>
      <c r="AO143" s="137"/>
      <c r="AP143" s="137"/>
      <c r="AQ143" s="137"/>
      <c r="AR143" s="137"/>
      <c r="AS143" s="137"/>
      <c r="AT143" s="138"/>
      <c r="AU143" s="137"/>
      <c r="AV143" s="137"/>
      <c r="AW143" s="137"/>
      <c r="AX143" s="137"/>
      <c r="AY143" s="137"/>
      <c r="AZ143" s="137"/>
      <c r="BA143" s="137"/>
      <c r="BB143" s="137"/>
      <c r="BC143" s="137"/>
      <c r="BD143" s="137"/>
      <c r="BE143" s="137"/>
      <c r="BF143" s="137"/>
      <c r="BG143" s="137"/>
      <c r="BH143" s="137"/>
      <c r="BI143" s="139"/>
      <c r="BK143" s="22"/>
    </row>
    <row r="144">
      <c r="B144" s="31" t="s">
        <v>859</v>
      </c>
      <c r="C144" s="54"/>
      <c r="D144" s="45"/>
      <c r="E144" s="45"/>
      <c r="F144" s="47"/>
      <c r="G144" s="35"/>
      <c r="H144" s="163" t="s">
        <v>349</v>
      </c>
      <c r="I144" s="38">
        <f>VLOOKUP(H144,'Machine List'!$A$1:$I$300,9,FALSE)</f>
        <v>4000</v>
      </c>
      <c r="J144" s="38">
        <f>IF(VLOOKUP(H144,'Machine List'!$A$1:$I$300,5,FALSE)="Multi",IF(VLOOKUP(H144,'Machine List'!$A$1:$I$300,6,FALSE)="Yes",AI144*3*10^AB144,AI144*(2*3)*10^(AB144-1)),0)</f>
        <v>6</v>
      </c>
      <c r="K144" s="38">
        <f>J144+IF(ISNUMBER(I144),I144,
  SWITCH(
      I144,
      "1T",1*10^AB144,
      "2T",2*10^AB144,
      "3T",3*10^AB144,
      "4T",4*10^AB144,
      "4000+500(7O-5)",4000+500*(7*I145-5),
      "13500 + 16C",13500+16*VLOOKUP(J146,'Machine Helper Sheet'!$G$1:$K$16,5,FALSE),
      1
  )
)</f>
        <v>4006</v>
      </c>
      <c r="L144" s="38">
        <f>IF(VLOOKUP(H144,'Machine List'!$A$1:$I$300,5,FALSE)="Multi",IF(VLOOKUP(H144,'Machine List'!$A$1:$I$300,6,FALSE)="Yes",AW144*3*10^AV144,AW144*(2*3)*10^(AV144-1)),0)</f>
        <v>60000</v>
      </c>
      <c r="M144" s="38">
        <f>L144+IF(ISNUMBER(I144),I144,
  SWITCH(
      I144,
      "1T",1*10^AV144,
      "2T",2*10^AV144,
      "3T",3*10^AV144,
      "4T",4*10^AV144,
      "4000+500(7O-5)",4000+500*(7*I145-5),
      1
  )
)</f>
        <v>64000</v>
      </c>
      <c r="N144" s="38" t="str">
        <f>VLOOKUP(H144,'Machine List'!$A$1:$I$300,8,FALSE)</f>
        <v>Tier</v>
      </c>
      <c r="O144" s="38">
        <f>IF(ISNUMBER(N144),N144,10^AB144)</f>
        <v>10</v>
      </c>
      <c r="P144" s="38">
        <f>IF(ISNUMBER(N144),N144,10^AV144)</f>
        <v>100000</v>
      </c>
      <c r="Q144" s="38">
        <f>VLOOKUP(H144,'Machine List'!$A$1:$B$138,2,FALSE)</f>
        <v>1</v>
      </c>
      <c r="R144" s="164" t="s">
        <v>594</v>
      </c>
      <c r="S144" s="45">
        <f>IF(ISNUMBER(Q144),Q144,
  SWITCH(
      Q144,
      "1",1,
      "2T",AB144*2,
      "4T",AB144*4,
      "6T",AB144*6,
      "8T",AB144*8,
      "10T",AB144*10,
      "12T",AB144*12,
      "14T",AB144*14,
      "16T",AB144*16,
      "24T",AB144*24,
      "2(T+1)",2*(AB144+1),
      "1T*C",AB144*J146,
      "2*P",L146*2,
      1
  )
)</f>
        <v>1</v>
      </c>
      <c r="T144" s="38" t="s">
        <v>277</v>
      </c>
      <c r="U144" s="38">
        <f>IF(OR(T144="No",T144=""),S144,T144)</f>
        <v>1</v>
      </c>
      <c r="V144" s="38">
        <f>IF(ISNUMBER(Q144),Q144,
  SWITCH(
      Q144,
      "1",1,
      "2T",AV144*2,
      "4T",AV144*4,
      "6T",AV144*6,
      "8T",AV144*8,
      "10T",AV144*10,
      "12T",AV144*12,
      "14T",AV144*14,
      "16T",AV144*16,
      "24T",AV144*24,
      "2(T+1)",2*(AV144+1),
      "1T*C",AV144*J146,
      "2*P",L146*2,
      1
  )
)</f>
        <v>1</v>
      </c>
      <c r="W144" s="38" t="str">
        <f>T144</f>
        <v>No</v>
      </c>
      <c r="X144" s="38">
        <f>IF(OR(W144="No",W144=""),V144,W144)</f>
        <v>1</v>
      </c>
      <c r="Y144" s="38">
        <f>VLOOKUP(H144,'Machine List'!$A$1:$C$138,3,FALSE)</f>
        <v>1</v>
      </c>
      <c r="Z144" s="38">
        <f>VLOOKUP(H144,'Machine List'!$A$1:$D$138,4,FALSE)</f>
        <v>1</v>
      </c>
      <c r="AA144" s="164" t="s">
        <v>390</v>
      </c>
      <c r="AB144" s="38">
        <f>VLOOKUP(AA144,'Item Helper Sheet'!$A$2:$B$16,2,FALSE)</f>
        <v>1</v>
      </c>
      <c r="AC144" s="164">
        <v>30.0</v>
      </c>
      <c r="AD144" s="38">
        <f>15*20</f>
        <v>300</v>
      </c>
      <c r="AE144" s="38">
        <f>AD144*I146</f>
        <v>300</v>
      </c>
      <c r="AF144" s="38">
        <f>AC144*AE144</f>
        <v>9000</v>
      </c>
      <c r="AG144" s="75"/>
      <c r="AH144" s="38" t="str">
        <f>AA144</f>
        <v>01 - LV</v>
      </c>
      <c r="AI144" s="38">
        <v>1.0</v>
      </c>
      <c r="AJ144" s="38">
        <v>1.0</v>
      </c>
      <c r="AK144" s="38">
        <f>AJ144*8*4^AB144</f>
        <v>32</v>
      </c>
      <c r="AL144" s="38">
        <f>MIN(ROUNDDOWN(AK144/AN144,0),U144)</f>
        <v>1</v>
      </c>
      <c r="AM144" s="38">
        <f>IF(OR(T144="No",T144=""),AI144*S144,AI144*T144)</f>
        <v>1</v>
      </c>
      <c r="AN144" s="38">
        <f>ROUNDUP(AC144*VLOOKUP(H144,'Machine List'!$A$2:$D$219,4,FALSE),0)</f>
        <v>30</v>
      </c>
      <c r="AO144" s="38">
        <f>AN144*AM144</f>
        <v>30</v>
      </c>
      <c r="AP144" s="38">
        <f>ROUNDUP(AD144*I146,0)</f>
        <v>300</v>
      </c>
      <c r="AQ144" s="38">
        <f>IF(ISNUMBER(Y144),ROUNDUP(AP144/Y144,0),
  SWITCH(
      Y144,
      "1+0.5C",ROUNDUP(AP144/(1+0.5*VLOOKUP(J146,'Machine Helper Sheet'!$G$1:$K$16,2,FALSE)),0),
      ROUNDUP(AP144/1,0)
  )
)</f>
        <v>300</v>
      </c>
      <c r="AR144" s="38">
        <f>ROUNDUP(AQ144/AM144,0)</f>
        <v>300</v>
      </c>
      <c r="AS144" s="38">
        <f>AO144*AR144</f>
        <v>9000</v>
      </c>
      <c r="AT144" s="75"/>
      <c r="AU144" s="164" t="s">
        <v>405</v>
      </c>
      <c r="AV144" s="38">
        <f>VLOOKUP(AU144,'Item Helper Sheet'!$A$2:$B$16,2,FALSE)</f>
        <v>5</v>
      </c>
      <c r="AW144" s="38">
        <f>AI144</f>
        <v>1</v>
      </c>
      <c r="AX144" s="38">
        <v>1.0</v>
      </c>
      <c r="AY144" s="38">
        <f>AX144*8*4^AV144</f>
        <v>8192</v>
      </c>
      <c r="AZ144" s="38">
        <f>MIN(ROUNDDOWN(AY144/AN144,0),X144)</f>
        <v>1</v>
      </c>
      <c r="BA144" s="38">
        <f>AZ144*AW144</f>
        <v>1</v>
      </c>
      <c r="BB144" s="38">
        <f>AN144</f>
        <v>30</v>
      </c>
      <c r="BC144" s="38">
        <f>MIN(AV144-AB144,IF(AY144&gt;=BB145*4,
IF(AY144&gt;=BB145*4^2,
IF(AY144&gt;=BB145*4^3,
IF(AY144&gt;=BB145*4^4,
IF(AY144&gt;=BB145*4^5,
IF(AY144&gt;=BB145*4^6,
IF(AY144&gt;=BB145*4^7,
IF(AY144&gt;=BB145*4^8,
IF(AY144&gt;=BB145*4^9,
IF(AY144&gt;=BB145*4^10,
9),
8),
7),
6),
5),
4),
3),
2),
1),
0))</f>
        <v>4</v>
      </c>
      <c r="BD144" s="38">
        <f>BB144*AZ144*4^BC144</f>
        <v>7680</v>
      </c>
      <c r="BE144" s="38">
        <f>BD144*AW144</f>
        <v>7680</v>
      </c>
      <c r="BF144" s="45">
        <f>ROUNDUP(IF(R144="Yes",AP144/(2^((BC144)*2)),AP144/(2^(BC144))),0)</f>
        <v>2</v>
      </c>
      <c r="BG144" s="45">
        <f>IF(ISNUMBER(Y144),ROUNDUP(BF144/Y144,0),
  SWITCH(
      Y144,
      "1+0.5C",ROUNDUP(BF144/(1+0.5*VLOOKUP(J146,'Machine Helper Sheet'!$G$1:$K$16,2,FALSE)),0),
      ROUNDUP(BF144/1,0)
  )
)</f>
        <v>2</v>
      </c>
      <c r="BH144" s="45">
        <f>ROUNDUP(BG144/BA144,0)</f>
        <v>2</v>
      </c>
      <c r="BI144" s="46">
        <f>BH144*BE144</f>
        <v>15360</v>
      </c>
      <c r="BK144" s="22"/>
    </row>
    <row r="145">
      <c r="B145" s="141" t="s">
        <v>855</v>
      </c>
      <c r="C145" s="165" t="s">
        <v>198</v>
      </c>
      <c r="D145" s="38">
        <f>1*I146</f>
        <v>1</v>
      </c>
      <c r="E145" s="164" t="s">
        <v>196</v>
      </c>
      <c r="F145" s="42">
        <f>1*I146</f>
        <v>1</v>
      </c>
      <c r="G145" s="43"/>
      <c r="H145" s="99" t="s">
        <v>584</v>
      </c>
      <c r="I145" s="45">
        <f t="array" ref="I145">match(TRUE,ISBLANK(F145:F155),0)-1</f>
        <v>3</v>
      </c>
      <c r="J145" s="100" t="s">
        <v>420</v>
      </c>
      <c r="K145" s="100" t="s">
        <v>585</v>
      </c>
      <c r="L145" s="100" t="s">
        <v>704</v>
      </c>
      <c r="M145" s="38"/>
      <c r="N145" s="38"/>
      <c r="O145" s="38"/>
      <c r="P145" s="38"/>
      <c r="Q145" s="38"/>
      <c r="R145" s="101"/>
      <c r="S145" s="101"/>
      <c r="T145" s="101"/>
      <c r="U145" s="45"/>
      <c r="V145" s="45"/>
      <c r="W145" s="45"/>
      <c r="X145" s="45"/>
      <c r="Y145" s="45"/>
      <c r="Z145" s="45"/>
      <c r="AA145" s="45"/>
      <c r="AB145" s="45"/>
      <c r="AC145" s="45"/>
      <c r="AD145" s="45"/>
      <c r="AE145" s="45"/>
      <c r="AF145" s="45"/>
      <c r="AG145" s="79"/>
      <c r="AH145" s="45"/>
      <c r="AI145" s="45"/>
      <c r="AJ145" s="45"/>
      <c r="AK145" s="45"/>
      <c r="AL145" s="45"/>
      <c r="AM145" s="45"/>
      <c r="AN145" s="45"/>
      <c r="AO145" s="45"/>
      <c r="AP145" s="45"/>
      <c r="AQ145" s="45"/>
      <c r="AR145" s="45"/>
      <c r="AS145" s="45"/>
      <c r="AT145" s="79"/>
      <c r="AU145" s="45"/>
      <c r="AV145" s="45"/>
      <c r="AW145" s="45"/>
      <c r="AX145" s="45"/>
      <c r="AY145" s="45"/>
      <c r="AZ145" s="45"/>
      <c r="BA145" s="45"/>
      <c r="BB145" s="45">
        <f>BB144*AZ144</f>
        <v>30</v>
      </c>
      <c r="BC145" s="45"/>
      <c r="BD145" s="45"/>
      <c r="BE145" s="45"/>
      <c r="BF145" s="45"/>
      <c r="BG145" s="45"/>
      <c r="BH145" s="45"/>
      <c r="BI145" s="46"/>
      <c r="BK145" s="22"/>
    </row>
    <row r="146">
      <c r="B146" s="40"/>
      <c r="C146" s="165" t="s">
        <v>85</v>
      </c>
      <c r="D146" s="38">
        <f>6000*I146</f>
        <v>6000</v>
      </c>
      <c r="E146" s="164" t="s">
        <v>48</v>
      </c>
      <c r="F146" s="42">
        <f>6000*I146</f>
        <v>6000</v>
      </c>
      <c r="G146" s="43"/>
      <c r="H146" s="56" t="s">
        <v>502</v>
      </c>
      <c r="I146" s="166">
        <v>1.0</v>
      </c>
      <c r="J146" s="100" t="s">
        <v>424</v>
      </c>
      <c r="K146" s="100">
        <v>0.0</v>
      </c>
      <c r="L146" s="100">
        <v>0.0</v>
      </c>
      <c r="M146" s="45"/>
      <c r="N146" s="45"/>
      <c r="O146" s="45"/>
      <c r="P146" s="45"/>
      <c r="Q146" s="45"/>
      <c r="R146" s="45"/>
      <c r="S146" s="101"/>
      <c r="T146" s="101"/>
      <c r="U146" s="45"/>
      <c r="V146" s="45"/>
      <c r="W146" s="45"/>
      <c r="X146" s="45"/>
      <c r="Y146" s="45"/>
      <c r="Z146" s="45"/>
      <c r="AA146" s="45"/>
      <c r="AB146" s="45"/>
      <c r="AC146" s="45"/>
      <c r="AD146" s="45"/>
      <c r="AE146" s="45"/>
      <c r="AF146" s="45"/>
      <c r="AG146" s="79"/>
      <c r="AH146" s="45"/>
      <c r="AI146" s="45"/>
      <c r="AJ146" s="45"/>
      <c r="AK146" s="45"/>
      <c r="AL146" s="45"/>
      <c r="AM146" s="45"/>
      <c r="AN146" s="45"/>
      <c r="AO146" s="45"/>
      <c r="AP146" s="45"/>
      <c r="AQ146" s="45"/>
      <c r="AR146" s="45"/>
      <c r="AS146" s="45"/>
      <c r="AT146" s="79"/>
      <c r="AU146" s="45"/>
      <c r="AV146" s="45"/>
      <c r="AW146" s="45"/>
      <c r="AX146" s="45"/>
      <c r="AY146" s="45"/>
      <c r="AZ146" s="45"/>
      <c r="BA146" s="45"/>
      <c r="BB146" s="45"/>
      <c r="BC146" s="45"/>
      <c r="BD146" s="45"/>
      <c r="BE146" s="45"/>
      <c r="BF146" s="45"/>
      <c r="BG146" s="45"/>
      <c r="BH146" s="45"/>
      <c r="BI146" s="46"/>
      <c r="BK146" s="22"/>
    </row>
    <row r="147">
      <c r="B147" s="40"/>
      <c r="C147" s="165"/>
      <c r="D147" s="38"/>
      <c r="E147" s="164" t="s">
        <v>248</v>
      </c>
      <c r="F147" s="42">
        <f>2000*I146</f>
        <v>2000</v>
      </c>
      <c r="G147" s="43"/>
      <c r="H147" s="44"/>
      <c r="I147" s="45"/>
      <c r="J147" s="45"/>
      <c r="K147" s="45"/>
      <c r="L147" s="45"/>
      <c r="M147" s="45"/>
      <c r="N147" s="45"/>
      <c r="O147" s="45"/>
      <c r="P147" s="45"/>
      <c r="Q147" s="45"/>
      <c r="R147" s="45"/>
      <c r="S147" s="101"/>
      <c r="T147" s="101"/>
      <c r="U147" s="45"/>
      <c r="V147" s="45"/>
      <c r="W147" s="45"/>
      <c r="X147" s="45"/>
      <c r="Y147" s="45"/>
      <c r="Z147" s="45"/>
      <c r="AA147" s="45"/>
      <c r="AB147" s="45"/>
      <c r="AC147" s="45"/>
      <c r="AD147" s="45"/>
      <c r="AE147" s="45"/>
      <c r="AF147" s="45"/>
      <c r="AG147" s="79"/>
      <c r="AH147" s="45"/>
      <c r="AI147" s="45"/>
      <c r="AJ147" s="45"/>
      <c r="AK147" s="45"/>
      <c r="AL147" s="45"/>
      <c r="AM147" s="45"/>
      <c r="AN147" s="45"/>
      <c r="AO147" s="45"/>
      <c r="AP147" s="45"/>
      <c r="AQ147" s="45"/>
      <c r="AR147" s="45"/>
      <c r="AS147" s="45"/>
      <c r="AT147" s="79"/>
      <c r="AU147" s="45"/>
      <c r="AV147" s="45"/>
      <c r="AW147" s="45"/>
      <c r="AX147" s="45"/>
      <c r="AY147" s="45"/>
      <c r="AZ147" s="45"/>
      <c r="BA147" s="45"/>
      <c r="BB147" s="45"/>
      <c r="BC147" s="45"/>
      <c r="BD147" s="45"/>
      <c r="BE147" s="45"/>
      <c r="BF147" s="45"/>
      <c r="BG147" s="45"/>
      <c r="BH147" s="45"/>
      <c r="BI147" s="46"/>
      <c r="BK147" s="22"/>
    </row>
    <row r="148">
      <c r="B148" s="135"/>
      <c r="C148" s="136"/>
      <c r="D148" s="137"/>
      <c r="E148" s="137"/>
      <c r="F148" s="137"/>
      <c r="G148" s="138"/>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8"/>
      <c r="AH148" s="137"/>
      <c r="AI148" s="137"/>
      <c r="AJ148" s="137"/>
      <c r="AK148" s="137"/>
      <c r="AL148" s="137"/>
      <c r="AM148" s="137"/>
      <c r="AN148" s="137"/>
      <c r="AO148" s="137"/>
      <c r="AP148" s="137"/>
      <c r="AQ148" s="137"/>
      <c r="AR148" s="137"/>
      <c r="AS148" s="137"/>
      <c r="AT148" s="138"/>
      <c r="AU148" s="137"/>
      <c r="AV148" s="137"/>
      <c r="AW148" s="137"/>
      <c r="AX148" s="137"/>
      <c r="AY148" s="137"/>
      <c r="AZ148" s="137"/>
      <c r="BA148" s="137"/>
      <c r="BB148" s="137"/>
      <c r="BC148" s="137"/>
      <c r="BD148" s="137"/>
      <c r="BE148" s="137"/>
      <c r="BF148" s="137"/>
      <c r="BG148" s="137"/>
      <c r="BH148" s="137"/>
      <c r="BI148" s="139"/>
      <c r="BK148" s="22"/>
    </row>
    <row r="149">
      <c r="B149" s="141" t="s">
        <v>860</v>
      </c>
      <c r="C149" s="142"/>
      <c r="D149" s="143"/>
      <c r="E149" s="143"/>
      <c r="F149" s="144"/>
      <c r="G149" s="145"/>
      <c r="H149" s="167" t="s">
        <v>301</v>
      </c>
      <c r="I149" s="147">
        <f>VLOOKUP(H149,'Machine List'!$A$1:$I$300,9,FALSE)</f>
        <v>1000</v>
      </c>
      <c r="J149" s="147">
        <f>IF(VLOOKUP(H149,'Machine List'!$A$1:$I$300,5,FALSE)="Multi",IF(VLOOKUP(H149,'Machine List'!$A$1:$I$300,6,FALSE)="Yes",AI149*3*10^AB149,AI149*(2*3)*10^(AB149-1)),0)</f>
        <v>60</v>
      </c>
      <c r="K149" s="147">
        <f>J149+IF(ISNUMBER(I149),I149,
  SWITCH(
      I149,
      "1T",1*10^AB149,
      "2T",2*10^AB149,
      "3T",3*10^AB149,
      "4T",4*10^AB149,
      "4000+500(7O-5)",4000+500*(7*I150-5),
      "13500 + 16C",13500+16*VLOOKUP(J151,'Machine Helper Sheet'!$G$1:$K$16,5,FALSE),
      1
  )
)</f>
        <v>1060</v>
      </c>
      <c r="L149" s="147">
        <f>IF(VLOOKUP(H149,'Machine List'!$A$1:$I$300,5,FALSE)="Multi",IF(VLOOKUP(H149,'Machine List'!$A$1:$I$300,6,FALSE)="Yes",AW149*3*10^AV149,AW149*(2*3)*10^(AV149-1)),0)</f>
        <v>60000</v>
      </c>
      <c r="M149" s="147">
        <f>L149+IF(ISNUMBER(I149),I149,
  SWITCH(
      I149,
      "1T",1*10^AV149,
      "2T",2*10^AV149,
      "3T",3*10^AV149,
      "4T",4*10^AV149,
      "4000+500(7O-5)",4000+500*(7*I150-5),
      1
  )
)</f>
        <v>61000</v>
      </c>
      <c r="N149" s="147" t="str">
        <f>VLOOKUP(H149,'Machine List'!$A$1:$I$300,8,FALSE)</f>
        <v>Tier</v>
      </c>
      <c r="O149" s="147">
        <f>IF(ISNUMBER(N149),N149,10^AB149)</f>
        <v>100</v>
      </c>
      <c r="P149" s="147">
        <f>IF(ISNUMBER(N149),N149,10^AV149)</f>
        <v>100000</v>
      </c>
      <c r="Q149" s="147">
        <f>VLOOKUP(H149,'Machine List'!$A$1:$B$138,2,FALSE)</f>
        <v>1</v>
      </c>
      <c r="R149" s="147" t="s">
        <v>277</v>
      </c>
      <c r="S149" s="143">
        <f>IF(ISNUMBER(Q149),Q149,
  SWITCH(
      Q149,
      "1",1,
      "2T",AB149*2,
      "4T",AB149*4,
      "6T",AB149*6,
      "8T",AB149*8,
      "10T",AB149*10,
      "12T",AB149*12,
      "14T",AB149*14,
      "16T",AB149*16,
      "24T",AB149*24,
      "2(T+1)",2*(AB149+1),
      "1T*C",AB149*J151,
      "2*P",L151*2,
      1
  )
)</f>
        <v>1</v>
      </c>
      <c r="T149" s="38" t="s">
        <v>277</v>
      </c>
      <c r="U149" s="147">
        <f>IF(OR(T149="No",T149=""),S149,T149)</f>
        <v>1</v>
      </c>
      <c r="V149" s="147">
        <f>IF(ISNUMBER(Q149),Q149,
  SWITCH(
      Q149,
      "1",1,
      "2T",AV149*2,
      "4T",AV149*4,
      "6T",AV149*6,
      "8T",AV149*8,
      "10T",AV149*10,
      "12T",AV149*12,
      "14T",AV149*14,
      "16T",AV149*16,
      "24T",AV149*24,
      "2(T+1)",2*(AV149+1),
      "1T*C",AV149*J151,
      "2*P",L151*2,
      1
  )
)</f>
        <v>1</v>
      </c>
      <c r="W149" s="147" t="str">
        <f>T149</f>
        <v>No</v>
      </c>
      <c r="X149" s="147">
        <f>IF(OR(W149="No",W149=""),V149,W149)</f>
        <v>1</v>
      </c>
      <c r="Y149" s="38">
        <f>VLOOKUP(H149,'Machine List'!$A$1:$C$138,3,FALSE)</f>
        <v>1</v>
      </c>
      <c r="Z149" s="38">
        <f>VLOOKUP(H149,'Machine List'!$A$1:$D$138,4,FALSE)</f>
        <v>1</v>
      </c>
      <c r="AA149" s="168" t="s">
        <v>393</v>
      </c>
      <c r="AB149" s="147">
        <f>VLOOKUP(AA149,'Item Helper Sheet'!$A$2:$B$16,2,FALSE)</f>
        <v>2</v>
      </c>
      <c r="AC149" s="147">
        <v>120.0</v>
      </c>
      <c r="AD149" s="147">
        <f>5*20</f>
        <v>100</v>
      </c>
      <c r="AE149" s="147">
        <f>AD149*I151</f>
        <v>1000</v>
      </c>
      <c r="AF149" s="147">
        <f>AC149*AE149</f>
        <v>120000</v>
      </c>
      <c r="AG149" s="148"/>
      <c r="AH149" s="147" t="str">
        <f>AA149</f>
        <v>02 - MV</v>
      </c>
      <c r="AI149" s="147">
        <v>1.0</v>
      </c>
      <c r="AJ149" s="147">
        <v>1.0</v>
      </c>
      <c r="AK149" s="147">
        <f>AJ149*8*4^AB149</f>
        <v>128</v>
      </c>
      <c r="AL149" s="147">
        <f>MIN(ROUNDDOWN(AK149/AN149,0),U149)</f>
        <v>1</v>
      </c>
      <c r="AM149" s="147">
        <f>IF(OR(T149="No",T149=""),AI149*S149,AI149*T149)</f>
        <v>1</v>
      </c>
      <c r="AN149" s="147">
        <f>ROUNDUP(AC149*VLOOKUP(H149,'Machine List'!$A$2:$D$219,4,FALSE),0)</f>
        <v>120</v>
      </c>
      <c r="AO149" s="147">
        <f>AN149*AM149</f>
        <v>120</v>
      </c>
      <c r="AP149" s="147">
        <f>ROUNDUP(AD149*I151,0)</f>
        <v>1000</v>
      </c>
      <c r="AQ149" s="38">
        <f>IF(ISNUMBER(Y149),ROUNDUP(AP149/Y149,0),
  SWITCH(
      Y149,
      "1+0.5C",ROUNDUP(AP149/(1+0.5*VLOOKUP(J151,'Machine Helper Sheet'!$G$1:$K$16,2,FALSE)),0),
      ROUNDUP(AP149/1,0)
  )
)</f>
        <v>1000</v>
      </c>
      <c r="AR149" s="147">
        <f>ROUNDUP(AQ149/AM149,0)</f>
        <v>1000</v>
      </c>
      <c r="AS149" s="147">
        <f>AO149*AR149</f>
        <v>120000</v>
      </c>
      <c r="AT149" s="148"/>
      <c r="AU149" s="168" t="s">
        <v>405</v>
      </c>
      <c r="AV149" s="147">
        <f>VLOOKUP(AU149,'Item Helper Sheet'!$A$2:$B$16,2,FALSE)</f>
        <v>5</v>
      </c>
      <c r="AW149" s="147">
        <f>AI149</f>
        <v>1</v>
      </c>
      <c r="AX149" s="147">
        <v>1.0</v>
      </c>
      <c r="AY149" s="147">
        <f>AX149*8*4^AV149</f>
        <v>8192</v>
      </c>
      <c r="AZ149" s="147">
        <f>MIN(ROUNDDOWN(AY149/AN149,0),X149)</f>
        <v>1</v>
      </c>
      <c r="BA149" s="147">
        <f>AZ149*AW149</f>
        <v>1</v>
      </c>
      <c r="BB149" s="147">
        <f>AN149</f>
        <v>120</v>
      </c>
      <c r="BC149" s="147">
        <f>MIN(AV149-AB149,IF(AY149&gt;=BB150*4,
IF(AY149&gt;=BB150*4^2,
IF(AY149&gt;=BB150*4^3,
IF(AY149&gt;=BB150*4^4,
IF(AY149&gt;=BB150*4^5,
IF(AY149&gt;=BB150*4^6,
IF(AY149&gt;=BB150*4^7,
IF(AY149&gt;=BB150*4^8,
IF(AY149&gt;=BB150*4^9,
IF(AY149&gt;=BB150*4^10,
9),
8),
7),
6),
5),
4),
3),
2),
1),
0))</f>
        <v>3</v>
      </c>
      <c r="BD149" s="147">
        <f>BB149*AZ149*4^BC149</f>
        <v>7680</v>
      </c>
      <c r="BE149" s="147">
        <f>BD149*AW149</f>
        <v>7680</v>
      </c>
      <c r="BF149" s="143">
        <f>ROUNDUP(IF(R149="Yes",AP149/(2^((BC149)*2)),AP149/(2^(BC149))),0)</f>
        <v>125</v>
      </c>
      <c r="BG149" s="45">
        <f>IF(ISNUMBER(Y149),ROUNDUP(BF149/Y149,0),
  SWITCH(
      Y149,
      "1+0.5C",ROUNDUP(BF149/(1+0.5*VLOOKUP(J151,'Machine Helper Sheet'!$G$1:$K$16,2,FALSE)),0),
      ROUNDUP(BF149/1,0)
  )
)</f>
        <v>125</v>
      </c>
      <c r="BH149" s="143">
        <f>ROUNDUP(BG149/BA149,0)</f>
        <v>125</v>
      </c>
      <c r="BI149" s="149">
        <f>BH149*BE149</f>
        <v>960000</v>
      </c>
      <c r="BK149" s="22"/>
    </row>
    <row r="150">
      <c r="B150" s="141" t="s">
        <v>821</v>
      </c>
      <c r="C150" s="169" t="s">
        <v>177</v>
      </c>
      <c r="D150" s="147">
        <f>2*I151</f>
        <v>20</v>
      </c>
      <c r="E150" s="168" t="s">
        <v>96</v>
      </c>
      <c r="F150" s="152">
        <f>1*I151</f>
        <v>10</v>
      </c>
      <c r="G150" s="138"/>
      <c r="H150" s="153" t="s">
        <v>584</v>
      </c>
      <c r="I150" s="45">
        <f t="array" ref="I150">match(TRUE,ISBLANK(F150:F160),0)-1</f>
        <v>2</v>
      </c>
      <c r="J150" s="154" t="s">
        <v>420</v>
      </c>
      <c r="K150" s="154" t="s">
        <v>585</v>
      </c>
      <c r="L150" s="100" t="s">
        <v>704</v>
      </c>
      <c r="M150" s="147"/>
      <c r="N150" s="147"/>
      <c r="O150" s="147"/>
      <c r="P150" s="147"/>
      <c r="Q150" s="147"/>
      <c r="R150" s="155"/>
      <c r="S150" s="155"/>
      <c r="T150" s="155"/>
      <c r="U150" s="143"/>
      <c r="V150" s="143"/>
      <c r="W150" s="143"/>
      <c r="X150" s="143"/>
      <c r="Y150" s="143"/>
      <c r="Z150" s="143"/>
      <c r="AA150" s="143"/>
      <c r="AB150" s="143"/>
      <c r="AC150" s="143"/>
      <c r="AD150" s="143"/>
      <c r="AE150" s="143"/>
      <c r="AF150" s="143"/>
      <c r="AG150" s="156"/>
      <c r="AH150" s="143"/>
      <c r="AI150" s="143"/>
      <c r="AJ150" s="143"/>
      <c r="AK150" s="143"/>
      <c r="AL150" s="143"/>
      <c r="AM150" s="143"/>
      <c r="AN150" s="143"/>
      <c r="AO150" s="143"/>
      <c r="AP150" s="143"/>
      <c r="AQ150" s="143"/>
      <c r="AR150" s="143"/>
      <c r="AS150" s="143"/>
      <c r="AT150" s="156"/>
      <c r="AU150" s="143"/>
      <c r="AV150" s="143"/>
      <c r="AW150" s="143"/>
      <c r="AX150" s="143"/>
      <c r="AY150" s="143"/>
      <c r="AZ150" s="143"/>
      <c r="BA150" s="143"/>
      <c r="BB150" s="143">
        <f>BB149*AZ149</f>
        <v>120</v>
      </c>
      <c r="BC150" s="143"/>
      <c r="BD150" s="143"/>
      <c r="BE150" s="143"/>
      <c r="BF150" s="143"/>
      <c r="BG150" s="143"/>
      <c r="BH150" s="143"/>
      <c r="BI150" s="149"/>
      <c r="BK150" s="22"/>
    </row>
    <row r="151">
      <c r="B151" s="150"/>
      <c r="C151" s="169" t="s">
        <v>85</v>
      </c>
      <c r="D151" s="147">
        <f>500*I151</f>
        <v>5000</v>
      </c>
      <c r="E151" s="168" t="s">
        <v>16</v>
      </c>
      <c r="F151" s="152">
        <f>1000*I151</f>
        <v>10000</v>
      </c>
      <c r="G151" s="138"/>
      <c r="H151" s="157" t="s">
        <v>502</v>
      </c>
      <c r="I151" s="170">
        <v>10.0</v>
      </c>
      <c r="J151" s="154" t="s">
        <v>427</v>
      </c>
      <c r="K151" s="154">
        <v>0.0</v>
      </c>
      <c r="L151" s="100">
        <v>0.0</v>
      </c>
      <c r="M151" s="143"/>
      <c r="N151" s="143"/>
      <c r="O151" s="143"/>
      <c r="P151" s="143"/>
      <c r="Q151" s="143"/>
      <c r="R151" s="143"/>
      <c r="S151" s="155"/>
      <c r="T151" s="155"/>
      <c r="U151" s="143"/>
      <c r="V151" s="143"/>
      <c r="W151" s="143"/>
      <c r="X151" s="143"/>
      <c r="Y151" s="143"/>
      <c r="Z151" s="143"/>
      <c r="AA151" s="143"/>
      <c r="AB151" s="143"/>
      <c r="AC151" s="143"/>
      <c r="AD151" s="143"/>
      <c r="AE151" s="143"/>
      <c r="AF151" s="143"/>
      <c r="AG151" s="156"/>
      <c r="AH151" s="143"/>
      <c r="AI151" s="143"/>
      <c r="AJ151" s="143"/>
      <c r="AK151" s="143"/>
      <c r="AL151" s="143"/>
      <c r="AM151" s="143"/>
      <c r="AN151" s="143"/>
      <c r="AO151" s="143"/>
      <c r="AP151" s="143"/>
      <c r="AQ151" s="143"/>
      <c r="AR151" s="143"/>
      <c r="AS151" s="143"/>
      <c r="AT151" s="156"/>
      <c r="AU151" s="143"/>
      <c r="AV151" s="143"/>
      <c r="AW151" s="143"/>
      <c r="AX151" s="143"/>
      <c r="AY151" s="143"/>
      <c r="AZ151" s="143"/>
      <c r="BA151" s="143"/>
      <c r="BB151" s="143"/>
      <c r="BC151" s="143"/>
      <c r="BD151" s="143"/>
      <c r="BE151" s="143"/>
      <c r="BF151" s="143"/>
      <c r="BG151" s="143"/>
      <c r="BH151" s="143"/>
      <c r="BI151" s="149"/>
      <c r="BK151" s="22"/>
    </row>
    <row r="152">
      <c r="B152" s="135"/>
      <c r="C152" s="136"/>
      <c r="D152" s="137"/>
      <c r="E152" s="137"/>
      <c r="F152" s="137"/>
      <c r="G152" s="138"/>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8"/>
      <c r="AH152" s="137"/>
      <c r="AI152" s="137"/>
      <c r="AJ152" s="137"/>
      <c r="AK152" s="137"/>
      <c r="AL152" s="137"/>
      <c r="AM152" s="137"/>
      <c r="AN152" s="137"/>
      <c r="AO152" s="137"/>
      <c r="AP152" s="137"/>
      <c r="AQ152" s="137"/>
      <c r="AR152" s="137"/>
      <c r="AS152" s="137"/>
      <c r="AT152" s="138"/>
      <c r="AU152" s="137"/>
      <c r="AV152" s="137"/>
      <c r="AW152" s="137"/>
      <c r="AX152" s="137"/>
      <c r="AY152" s="137"/>
      <c r="AZ152" s="137"/>
      <c r="BA152" s="137"/>
      <c r="BB152" s="137"/>
      <c r="BC152" s="137"/>
      <c r="BD152" s="137"/>
      <c r="BE152" s="137"/>
      <c r="BF152" s="137"/>
      <c r="BG152" s="137"/>
      <c r="BH152" s="137"/>
      <c r="BI152" s="139"/>
      <c r="BK152" s="22"/>
    </row>
    <row r="153">
      <c r="B153" s="141" t="s">
        <v>861</v>
      </c>
      <c r="C153" s="142"/>
      <c r="D153" s="143"/>
      <c r="E153" s="143"/>
      <c r="F153" s="144"/>
      <c r="G153" s="145"/>
      <c r="H153" s="167" t="s">
        <v>301</v>
      </c>
      <c r="I153" s="147">
        <f>VLOOKUP(H153,'Machine List'!$A$1:$I$300,9,FALSE)</f>
        <v>1000</v>
      </c>
      <c r="J153" s="147">
        <f>IF(VLOOKUP(H153,'Machine List'!$A$1:$I$300,5,FALSE)="Multi",IF(VLOOKUP(H153,'Machine List'!$A$1:$I$300,6,FALSE)="Yes",AI153*3*10^AB153,AI153*(2*3)*10^(AB153-1)),0)</f>
        <v>60</v>
      </c>
      <c r="K153" s="147">
        <f>J153+IF(ISNUMBER(I153),I153,
  SWITCH(
      I153,
      "1T",1*10^AB153,
      "2T",2*10^AB153,
      "3T",3*10^AB153,
      "4T",4*10^AB153,
      "4000+500(7O-5)",4000+500*(7*I154-5),
      "13500 + 16C",13500+16*VLOOKUP(J155,'Machine Helper Sheet'!$G$1:$K$16,5,FALSE),
      1
  )
)</f>
        <v>1060</v>
      </c>
      <c r="L153" s="147">
        <f>IF(VLOOKUP(H153,'Machine List'!$A$1:$I$300,5,FALSE)="Multi",IF(VLOOKUP(H153,'Machine List'!$A$1:$I$300,6,FALSE)="Yes",AW153*3*10^AV153,AW153*(2*3)*10^(AV153-1)),0)</f>
        <v>60000</v>
      </c>
      <c r="M153" s="147">
        <f>L153+IF(ISNUMBER(I153),I153,
  SWITCH(
      I153,
      "1T",1*10^AV153,
      "2T",2*10^AV153,
      "3T",3*10^AV153,
      "4T",4*10^AV153,
      "4000+500(7O-5)",4000+500*(7*I154-5),
      1
  )
)</f>
        <v>61000</v>
      </c>
      <c r="N153" s="147" t="str">
        <f>VLOOKUP(H153,'Machine List'!$A$1:$I$300,8,FALSE)</f>
        <v>Tier</v>
      </c>
      <c r="O153" s="147">
        <f>IF(ISNUMBER(N153),N153,10^AB153)</f>
        <v>100</v>
      </c>
      <c r="P153" s="147">
        <f>IF(ISNUMBER(N153),N153,10^AV153)</f>
        <v>100000</v>
      </c>
      <c r="Q153" s="147">
        <f>VLOOKUP(H153,'Machine List'!$A$1:$B$138,2,FALSE)</f>
        <v>1</v>
      </c>
      <c r="R153" s="147" t="s">
        <v>277</v>
      </c>
      <c r="S153" s="143">
        <f>IF(ISNUMBER(Q153),Q153,
  SWITCH(
      Q153,
      "1",1,
      "2T",AB153*2,
      "4T",AB153*4,
      "6T",AB153*6,
      "8T",AB153*8,
      "10T",AB153*10,
      "12T",AB153*12,
      "14T",AB153*14,
      "16T",AB153*16,
      "24T",AB153*24,
      "2(T+1)",2*(AB153+1),
      "1T*C",AB153*J155,
      "2*P",L155*2,
      1
  )
)</f>
        <v>1</v>
      </c>
      <c r="T153" s="38" t="s">
        <v>277</v>
      </c>
      <c r="U153" s="147">
        <f>IF(OR(T153="No",T153=""),S153,T153)</f>
        <v>1</v>
      </c>
      <c r="V153" s="147">
        <f>IF(ISNUMBER(Q153),Q153,
  SWITCH(
      Q153,
      "1",1,
      "2T",AV153*2,
      "4T",AV153*4,
      "6T",AV153*6,
      "8T",AV153*8,
      "10T",AV153*10,
      "12T",AV153*12,
      "14T",AV153*14,
      "16T",AV153*16,
      "24T",AV153*24,
      "2(T+1)",2*(AV153+1),
      "1T*C",AV153*J155,
      "2*P",L155*2,
      1
  )
)</f>
        <v>1</v>
      </c>
      <c r="W153" s="147" t="str">
        <f>T153</f>
        <v>No</v>
      </c>
      <c r="X153" s="147">
        <f>IF(OR(W153="No",W153=""),V153,W153)</f>
        <v>1</v>
      </c>
      <c r="Y153" s="38">
        <f>VLOOKUP(H153,'Machine List'!$A$1:$C$138,3,FALSE)</f>
        <v>1</v>
      </c>
      <c r="Z153" s="38">
        <f>VLOOKUP(H153,'Machine List'!$A$1:$D$138,4,FALSE)</f>
        <v>1</v>
      </c>
      <c r="AA153" s="168" t="s">
        <v>393</v>
      </c>
      <c r="AB153" s="147">
        <f>VLOOKUP(AA153,'Item Helper Sheet'!$A$2:$B$16,2,FALSE)</f>
        <v>2</v>
      </c>
      <c r="AC153" s="147">
        <v>120.0</v>
      </c>
      <c r="AD153" s="147">
        <f>10*20</f>
        <v>200</v>
      </c>
      <c r="AE153" s="147">
        <f>AD153*I155</f>
        <v>2000</v>
      </c>
      <c r="AF153" s="147">
        <f>AC153*AE153</f>
        <v>240000</v>
      </c>
      <c r="AG153" s="148"/>
      <c r="AH153" s="147" t="str">
        <f>AA153</f>
        <v>02 - MV</v>
      </c>
      <c r="AI153" s="147">
        <v>1.0</v>
      </c>
      <c r="AJ153" s="147">
        <v>1.0</v>
      </c>
      <c r="AK153" s="147">
        <f>AJ153*8*4^AB153</f>
        <v>128</v>
      </c>
      <c r="AL153" s="147">
        <f>MIN(ROUNDDOWN(AK153/AN153,0),U153)</f>
        <v>1</v>
      </c>
      <c r="AM153" s="147">
        <f>IF(OR(T153="No",T153=""),AI153*S153,AI153*T153)</f>
        <v>1</v>
      </c>
      <c r="AN153" s="147">
        <f>ROUNDUP(AC153*VLOOKUP(H153,'Machine List'!$A$2:$D$219,4,FALSE),0)</f>
        <v>120</v>
      </c>
      <c r="AO153" s="147">
        <f>AN153*AM153</f>
        <v>120</v>
      </c>
      <c r="AP153" s="147">
        <f>ROUNDUP(AD153*I155,0)</f>
        <v>2000</v>
      </c>
      <c r="AQ153" s="38">
        <f>IF(ISNUMBER(Y153),ROUNDUP(AP153/Y153,0),
  SWITCH(
      Y153,
      "1+0.5C",ROUNDUP(AP153/(1+0.5*VLOOKUP(J155,'Machine Helper Sheet'!$G$1:$K$16,2,FALSE)),0),
      ROUNDUP(AP153/1,0)
  )
)</f>
        <v>2000</v>
      </c>
      <c r="AR153" s="147">
        <f>ROUNDUP(AQ153/AM153,0)</f>
        <v>2000</v>
      </c>
      <c r="AS153" s="147">
        <f>AO153*AR153</f>
        <v>240000</v>
      </c>
      <c r="AT153" s="148"/>
      <c r="AU153" s="168" t="s">
        <v>405</v>
      </c>
      <c r="AV153" s="147">
        <f>VLOOKUP(AU153,'Item Helper Sheet'!$A$2:$B$16,2,FALSE)</f>
        <v>5</v>
      </c>
      <c r="AW153" s="147">
        <f>AI153</f>
        <v>1</v>
      </c>
      <c r="AX153" s="147">
        <v>1.0</v>
      </c>
      <c r="AY153" s="147">
        <f>AX153*8*4^AV153</f>
        <v>8192</v>
      </c>
      <c r="AZ153" s="147">
        <f>MIN(ROUNDDOWN(AY153/AN153,0),X153)</f>
        <v>1</v>
      </c>
      <c r="BA153" s="147">
        <f>AZ153*AW153</f>
        <v>1</v>
      </c>
      <c r="BB153" s="147">
        <f>AN153</f>
        <v>120</v>
      </c>
      <c r="BC153" s="147">
        <f>MIN(AV153-AB153,IF(AY153&gt;=BB154*4,
IF(AY153&gt;=BB154*4^2,
IF(AY153&gt;=BB154*4^3,
IF(AY153&gt;=BB154*4^4,
IF(AY153&gt;=BB154*4^5,
IF(AY153&gt;=BB154*4^6,
IF(AY153&gt;=BB154*4^7,
IF(AY153&gt;=BB154*4^8,
IF(AY153&gt;=BB154*4^9,
IF(AY153&gt;=BB154*4^10,
9),
8),
7),
6),
5),
4),
3),
2),
1),
0))</f>
        <v>3</v>
      </c>
      <c r="BD153" s="147">
        <f>BB153*AZ153*4^BC153</f>
        <v>7680</v>
      </c>
      <c r="BE153" s="147">
        <f>BD153*AW153</f>
        <v>7680</v>
      </c>
      <c r="BF153" s="143">
        <f>ROUNDUP(IF(R153="Yes",AP153/(2^((BC153)*2)),AP153/(2^(BC153))),0)</f>
        <v>250</v>
      </c>
      <c r="BG153" s="45">
        <f>IF(ISNUMBER(Y153),ROUNDUP(BF153/Y153,0),
  SWITCH(
      Y153,
      "1+0.5C",ROUNDUP(BF153/(1+0.5*VLOOKUP(J155,'Machine Helper Sheet'!$G$1:$K$16,2,FALSE)),0),
      ROUNDUP(BF153/1,0)
  )
)</f>
        <v>250</v>
      </c>
      <c r="BH153" s="143">
        <f>ROUNDUP(BG153/BA153,0)</f>
        <v>250</v>
      </c>
      <c r="BI153" s="149">
        <f>BH153*BE153</f>
        <v>1920000</v>
      </c>
      <c r="BK153" s="22"/>
    </row>
    <row r="154">
      <c r="B154" s="141" t="s">
        <v>862</v>
      </c>
      <c r="C154" s="169" t="s">
        <v>96</v>
      </c>
      <c r="D154" s="147">
        <f>1*I155</f>
        <v>10</v>
      </c>
      <c r="E154" s="168" t="s">
        <v>93</v>
      </c>
      <c r="F154" s="152">
        <f>1*I155</f>
        <v>10</v>
      </c>
      <c r="G154" s="138"/>
      <c r="H154" s="153" t="s">
        <v>584</v>
      </c>
      <c r="I154" s="45">
        <f t="array" ref="I154">match(TRUE,ISBLANK(F154:F163),0)-1</f>
        <v>2</v>
      </c>
      <c r="J154" s="154" t="s">
        <v>420</v>
      </c>
      <c r="K154" s="154" t="s">
        <v>585</v>
      </c>
      <c r="L154" s="100" t="s">
        <v>704</v>
      </c>
      <c r="M154" s="147"/>
      <c r="N154" s="147"/>
      <c r="O154" s="147"/>
      <c r="P154" s="147"/>
      <c r="Q154" s="147"/>
      <c r="R154" s="155"/>
      <c r="S154" s="155"/>
      <c r="T154" s="155"/>
      <c r="U154" s="143"/>
      <c r="V154" s="143"/>
      <c r="W154" s="143"/>
      <c r="X154" s="143"/>
      <c r="Y154" s="143"/>
      <c r="Z154" s="143"/>
      <c r="AA154" s="143"/>
      <c r="AB154" s="143"/>
      <c r="AC154" s="143"/>
      <c r="AD154" s="143"/>
      <c r="AE154" s="143"/>
      <c r="AF154" s="143"/>
      <c r="AG154" s="156"/>
      <c r="AH154" s="143"/>
      <c r="AI154" s="143"/>
      <c r="AJ154" s="143"/>
      <c r="AK154" s="143"/>
      <c r="AL154" s="143"/>
      <c r="AM154" s="143"/>
      <c r="AN154" s="143"/>
      <c r="AO154" s="143"/>
      <c r="AP154" s="143"/>
      <c r="AQ154" s="143"/>
      <c r="AR154" s="143"/>
      <c r="AS154" s="143"/>
      <c r="AT154" s="156"/>
      <c r="AU154" s="143"/>
      <c r="AV154" s="143"/>
      <c r="AW154" s="143"/>
      <c r="AX154" s="143"/>
      <c r="AY154" s="143"/>
      <c r="AZ154" s="143"/>
      <c r="BA154" s="143"/>
      <c r="BB154" s="143">
        <f>BB153*AZ153</f>
        <v>120</v>
      </c>
      <c r="BC154" s="143"/>
      <c r="BD154" s="143"/>
      <c r="BE154" s="143"/>
      <c r="BF154" s="143"/>
      <c r="BG154" s="143"/>
      <c r="BH154" s="143"/>
      <c r="BI154" s="149"/>
      <c r="BK154" s="22"/>
    </row>
    <row r="155">
      <c r="B155" s="150"/>
      <c r="C155" s="169"/>
      <c r="D155" s="147"/>
      <c r="E155" s="168" t="s">
        <v>208</v>
      </c>
      <c r="F155" s="152">
        <f>1*I155</f>
        <v>10</v>
      </c>
      <c r="G155" s="138"/>
      <c r="H155" s="157" t="s">
        <v>502</v>
      </c>
      <c r="I155" s="170">
        <v>10.0</v>
      </c>
      <c r="J155" s="154" t="s">
        <v>427</v>
      </c>
      <c r="K155" s="154">
        <v>0.0</v>
      </c>
      <c r="L155" s="100">
        <v>0.0</v>
      </c>
      <c r="M155" s="143"/>
      <c r="N155" s="143"/>
      <c r="O155" s="143"/>
      <c r="P155" s="143"/>
      <c r="Q155" s="143"/>
      <c r="R155" s="143"/>
      <c r="S155" s="155"/>
      <c r="T155" s="155"/>
      <c r="U155" s="143"/>
      <c r="V155" s="143"/>
      <c r="W155" s="143"/>
      <c r="X155" s="143"/>
      <c r="Y155" s="143"/>
      <c r="Z155" s="143"/>
      <c r="AA155" s="143"/>
      <c r="AB155" s="143"/>
      <c r="AC155" s="143"/>
      <c r="AD155" s="143"/>
      <c r="AE155" s="143"/>
      <c r="AF155" s="143"/>
      <c r="AG155" s="156"/>
      <c r="AH155" s="143"/>
      <c r="AI155" s="143"/>
      <c r="AJ155" s="143"/>
      <c r="AK155" s="143"/>
      <c r="AL155" s="143"/>
      <c r="AM155" s="143"/>
      <c r="AN155" s="143"/>
      <c r="AO155" s="143"/>
      <c r="AP155" s="143"/>
      <c r="AQ155" s="143"/>
      <c r="AR155" s="143"/>
      <c r="AS155" s="143"/>
      <c r="AT155" s="156"/>
      <c r="AU155" s="143"/>
      <c r="AV155" s="143"/>
      <c r="AW155" s="143"/>
      <c r="AX155" s="143"/>
      <c r="AY155" s="143"/>
      <c r="AZ155" s="143"/>
      <c r="BA155" s="143"/>
      <c r="BB155" s="143"/>
      <c r="BC155" s="143"/>
      <c r="BD155" s="143"/>
      <c r="BE155" s="143"/>
      <c r="BF155" s="143"/>
      <c r="BG155" s="143"/>
      <c r="BH155" s="143"/>
      <c r="BI155" s="149"/>
      <c r="BK155" s="22"/>
    </row>
    <row r="156">
      <c r="B156" s="135"/>
      <c r="C156" s="136"/>
      <c r="D156" s="137"/>
      <c r="E156" s="137"/>
      <c r="F156" s="137"/>
      <c r="G156" s="138"/>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8"/>
      <c r="AH156" s="137"/>
      <c r="AI156" s="137"/>
      <c r="AJ156" s="137"/>
      <c r="AK156" s="137"/>
      <c r="AL156" s="137"/>
      <c r="AM156" s="137"/>
      <c r="AN156" s="137"/>
      <c r="AO156" s="137"/>
      <c r="AP156" s="137"/>
      <c r="AQ156" s="137"/>
      <c r="AR156" s="137"/>
      <c r="AS156" s="137"/>
      <c r="AT156" s="138"/>
      <c r="AU156" s="137"/>
      <c r="AV156" s="137"/>
      <c r="AW156" s="137"/>
      <c r="AX156" s="137"/>
      <c r="AY156" s="137"/>
      <c r="AZ156" s="137"/>
      <c r="BA156" s="137"/>
      <c r="BB156" s="137"/>
      <c r="BC156" s="137"/>
      <c r="BD156" s="137"/>
      <c r="BE156" s="137"/>
      <c r="BF156" s="137"/>
      <c r="BG156" s="137"/>
      <c r="BH156" s="137"/>
      <c r="BI156" s="139"/>
      <c r="BK156" s="22"/>
    </row>
    <row r="157">
      <c r="B157" s="31" t="s">
        <v>863</v>
      </c>
      <c r="C157" s="54"/>
      <c r="D157" s="45"/>
      <c r="E157" s="45"/>
      <c r="F157" s="47"/>
      <c r="G157" s="35"/>
      <c r="H157" s="163" t="s">
        <v>349</v>
      </c>
      <c r="I157" s="38">
        <f>VLOOKUP(H157,'Machine List'!$A$1:$I$300,9,FALSE)</f>
        <v>4000</v>
      </c>
      <c r="J157" s="38">
        <f>IF(VLOOKUP(H157,'Machine List'!$A$1:$I$300,5,FALSE)="Multi",IF(VLOOKUP(H157,'Machine List'!$A$1:$I$300,6,FALSE)="Yes",AI157*3*10^AB157,AI157*(2*3)*10^(AB157-1)),0)</f>
        <v>6</v>
      </c>
      <c r="K157" s="38">
        <f>J157+IF(ISNUMBER(I157),I157,
  SWITCH(
      I157,
      "1T",1*10^AB157,
      "2T",2*10^AB157,
      "3T",3*10^AB157,
      "4T",4*10^AB157,
      "4000+500(7O-5)",4000+500*(7*I158-5),
      "13500 + 16C",13500+16*VLOOKUP(J159,'Machine Helper Sheet'!$G$1:$K$16,5,FALSE),
      1
  )
)</f>
        <v>4006</v>
      </c>
      <c r="L157" s="38">
        <f>IF(VLOOKUP(H157,'Machine List'!$A$1:$I$300,5,FALSE)="Multi",IF(VLOOKUP(H157,'Machine List'!$A$1:$I$300,6,FALSE)="Yes",AW157*3*10^AV157,AW157*(2*3)*10^(AV157-1)),0)</f>
        <v>60000</v>
      </c>
      <c r="M157" s="38">
        <f>L157+IF(ISNUMBER(I157),I157,
  SWITCH(
      I157,
      "1T",1*10^AV157,
      "2T",2*10^AV157,
      "3T",3*10^AV157,
      "4T",4*10^AV157,
      "4000+500(7O-5)",4000+500*(7*I158-5),
      1
  )
)</f>
        <v>64000</v>
      </c>
      <c r="N157" s="38" t="str">
        <f>VLOOKUP(H157,'Machine List'!$A$1:$I$300,8,FALSE)</f>
        <v>Tier</v>
      </c>
      <c r="O157" s="38">
        <f>IF(ISNUMBER(N157),N157,10^AB157)</f>
        <v>10</v>
      </c>
      <c r="P157" s="38">
        <f>IF(ISNUMBER(N157),N157,10^AV157)</f>
        <v>100000</v>
      </c>
      <c r="Q157" s="38">
        <f>VLOOKUP(H157,'Machine List'!$A$1:$B$138,2,FALSE)</f>
        <v>1</v>
      </c>
      <c r="R157" s="164" t="s">
        <v>594</v>
      </c>
      <c r="S157" s="45">
        <f>IF(ISNUMBER(Q157),Q157,
  SWITCH(
      Q157,
      "1",1,
      "2T",AB157*2,
      "4T",AB157*4,
      "6T",AB157*6,
      "8T",AB157*8,
      "10T",AB157*10,
      "12T",AB157*12,
      "14T",AB157*14,
      "16T",AB157*16,
      "24T",AB157*24,
      "2(T+1)",2*(AB157+1),
      "1T*C",AB157*J159,
      "2*P",L159*2,
      1
  )
)</f>
        <v>1</v>
      </c>
      <c r="T157" s="38" t="s">
        <v>277</v>
      </c>
      <c r="U157" s="38">
        <f>IF(OR(T157="No",T157=""),S157,T157)</f>
        <v>1</v>
      </c>
      <c r="V157" s="38">
        <f>IF(ISNUMBER(Q157),Q157,
  SWITCH(
      Q157,
      "1",1,
      "2T",AV157*2,
      "4T",AV157*4,
      "6T",AV157*6,
      "8T",AV157*8,
      "10T",AV157*10,
      "12T",AV157*12,
      "14T",AV157*14,
      "16T",AV157*16,
      "24T",AV157*24,
      "2(T+1)",2*(AV157+1),
      "1T*C",AV157*J159,
      "2*P",L159*2,
      1
  )
)</f>
        <v>1</v>
      </c>
      <c r="W157" s="38" t="str">
        <f>T157</f>
        <v>No</v>
      </c>
      <c r="X157" s="38">
        <f>IF(OR(W157="No",W157=""),V157,W157)</f>
        <v>1</v>
      </c>
      <c r="Y157" s="38">
        <f>VLOOKUP(H157,'Machine List'!$A$1:$C$138,3,FALSE)</f>
        <v>1</v>
      </c>
      <c r="Z157" s="38">
        <f>VLOOKUP(H157,'Machine List'!$A$1:$D$138,4,FALSE)</f>
        <v>1</v>
      </c>
      <c r="AA157" s="164" t="s">
        <v>390</v>
      </c>
      <c r="AB157" s="38">
        <f>VLOOKUP(AA157,'Item Helper Sheet'!$A$2:$B$16,2,FALSE)</f>
        <v>1</v>
      </c>
      <c r="AC157" s="164">
        <v>30.0</v>
      </c>
      <c r="AD157" s="38">
        <f>15*20</f>
        <v>300</v>
      </c>
      <c r="AE157" s="38">
        <f>AD157*I159</f>
        <v>3000</v>
      </c>
      <c r="AF157" s="38">
        <f>AC157*AE157</f>
        <v>90000</v>
      </c>
      <c r="AG157" s="75"/>
      <c r="AH157" s="38" t="str">
        <f>AA157</f>
        <v>01 - LV</v>
      </c>
      <c r="AI157" s="38">
        <v>1.0</v>
      </c>
      <c r="AJ157" s="38">
        <v>1.0</v>
      </c>
      <c r="AK157" s="38">
        <f>AJ157*8*4^AB157</f>
        <v>32</v>
      </c>
      <c r="AL157" s="38">
        <f>MIN(ROUNDDOWN(AK157/AN157,0),U157)</f>
        <v>1</v>
      </c>
      <c r="AM157" s="38">
        <f>IF(OR(T157="No",T157=""),AI157*S157,AI157*T157)</f>
        <v>1</v>
      </c>
      <c r="AN157" s="38">
        <f>ROUNDUP(AC157*VLOOKUP(H157,'Machine List'!$A$2:$D$219,4,FALSE),0)</f>
        <v>30</v>
      </c>
      <c r="AO157" s="38">
        <f>AN157*AM157</f>
        <v>30</v>
      </c>
      <c r="AP157" s="38">
        <f>ROUNDUP(AD157*I159,0)</f>
        <v>3000</v>
      </c>
      <c r="AQ157" s="38">
        <f>IF(ISNUMBER(Y157),ROUNDUP(AP157/Y157,0),
  SWITCH(
      Y157,
      "1+0.5C",ROUNDUP(AP157/(1+0.5*VLOOKUP(J159,'Machine Helper Sheet'!$G$1:$K$16,2,FALSE)),0),
      ROUNDUP(AP157/1,0)
  )
)</f>
        <v>3000</v>
      </c>
      <c r="AR157" s="38">
        <f>ROUNDUP(AQ157/AM157,0)</f>
        <v>3000</v>
      </c>
      <c r="AS157" s="38">
        <f>AO157*AR157</f>
        <v>90000</v>
      </c>
      <c r="AT157" s="75"/>
      <c r="AU157" s="164" t="s">
        <v>405</v>
      </c>
      <c r="AV157" s="38">
        <f>VLOOKUP(AU157,'Item Helper Sheet'!$A$2:$B$16,2,FALSE)</f>
        <v>5</v>
      </c>
      <c r="AW157" s="38">
        <f>AI157</f>
        <v>1</v>
      </c>
      <c r="AX157" s="38">
        <v>1.0</v>
      </c>
      <c r="AY157" s="38">
        <f>AX157*8*4^AV157</f>
        <v>8192</v>
      </c>
      <c r="AZ157" s="38">
        <f>MIN(ROUNDDOWN(AY157/AN157,0),X157)</f>
        <v>1</v>
      </c>
      <c r="BA157" s="38">
        <f>AZ157*AW157</f>
        <v>1</v>
      </c>
      <c r="BB157" s="38">
        <f>AN157</f>
        <v>30</v>
      </c>
      <c r="BC157" s="38">
        <f>MIN(AV157-AB157,IF(AY157&gt;=BB158*4,
IF(AY157&gt;=BB158*4^2,
IF(AY157&gt;=BB158*4^3,
IF(AY157&gt;=BB158*4^4,
IF(AY157&gt;=BB158*4^5,
IF(AY157&gt;=BB158*4^6,
IF(AY157&gt;=BB158*4^7,
IF(AY157&gt;=BB158*4^8,
IF(AY157&gt;=BB158*4^9,
IF(AY157&gt;=BB158*4^10,
9),
8),
7),
6),
5),
4),
3),
2),
1),
0))</f>
        <v>4</v>
      </c>
      <c r="BD157" s="38">
        <f>BB157*AZ157*4^BC157</f>
        <v>7680</v>
      </c>
      <c r="BE157" s="38">
        <f>BD157*AW157</f>
        <v>7680</v>
      </c>
      <c r="BF157" s="45">
        <f>ROUNDUP(IF(R157="Yes",AP157/(2^((BC157)*2)),AP157/(2^(BC157))),0)</f>
        <v>12</v>
      </c>
      <c r="BG157" s="45">
        <f>IF(ISNUMBER(Y157),ROUNDUP(BF157/Y157,0),
  SWITCH(
      Y157,
      "1+0.5C",ROUNDUP(BF157/(1+0.5*VLOOKUP(J159,'Machine Helper Sheet'!$G$1:$K$16,2,FALSE)),0),
      ROUNDUP(BF157/1,0)
  )
)</f>
        <v>12</v>
      </c>
      <c r="BH157" s="45">
        <f>ROUNDUP(BG157/BA157,0)</f>
        <v>12</v>
      </c>
      <c r="BI157" s="46">
        <f>BH157*BE157</f>
        <v>92160</v>
      </c>
      <c r="BK157" s="22"/>
    </row>
    <row r="158">
      <c r="B158" s="141" t="s">
        <v>862</v>
      </c>
      <c r="C158" s="165" t="s">
        <v>93</v>
      </c>
      <c r="D158" s="38">
        <f>1*I159</f>
        <v>10</v>
      </c>
      <c r="E158" s="164" t="s">
        <v>15</v>
      </c>
      <c r="F158" s="42">
        <f>1000*I159</f>
        <v>10000</v>
      </c>
      <c r="G158" s="43"/>
      <c r="H158" s="99" t="s">
        <v>584</v>
      </c>
      <c r="I158" s="45">
        <f t="array" ref="I158">match(TRUE,ISBLANK(F158:F166),0)-1</f>
        <v>1</v>
      </c>
      <c r="J158" s="100" t="s">
        <v>420</v>
      </c>
      <c r="K158" s="100" t="s">
        <v>585</v>
      </c>
      <c r="L158" s="100" t="s">
        <v>704</v>
      </c>
      <c r="M158" s="38"/>
      <c r="N158" s="38"/>
      <c r="O158" s="38"/>
      <c r="P158" s="38"/>
      <c r="Q158" s="38"/>
      <c r="R158" s="101"/>
      <c r="S158" s="101"/>
      <c r="T158" s="101"/>
      <c r="U158" s="45"/>
      <c r="V158" s="45"/>
      <c r="W158" s="45"/>
      <c r="X158" s="45"/>
      <c r="Y158" s="45"/>
      <c r="Z158" s="45"/>
      <c r="AA158" s="45"/>
      <c r="AB158" s="45"/>
      <c r="AC158" s="45"/>
      <c r="AD158" s="45"/>
      <c r="AE158" s="45"/>
      <c r="AF158" s="45"/>
      <c r="AG158" s="79"/>
      <c r="AH158" s="45"/>
      <c r="AI158" s="45"/>
      <c r="AJ158" s="45"/>
      <c r="AK158" s="45"/>
      <c r="AL158" s="45"/>
      <c r="AM158" s="45"/>
      <c r="AN158" s="45"/>
      <c r="AO158" s="45"/>
      <c r="AP158" s="45"/>
      <c r="AQ158" s="45"/>
      <c r="AR158" s="45"/>
      <c r="AS158" s="45"/>
      <c r="AT158" s="79"/>
      <c r="AU158" s="45"/>
      <c r="AV158" s="45"/>
      <c r="AW158" s="45"/>
      <c r="AX158" s="45"/>
      <c r="AY158" s="45"/>
      <c r="AZ158" s="45"/>
      <c r="BA158" s="45"/>
      <c r="BB158" s="45">
        <f>BB157*AZ157</f>
        <v>30</v>
      </c>
      <c r="BC158" s="45"/>
      <c r="BD158" s="45"/>
      <c r="BE158" s="45"/>
      <c r="BF158" s="45"/>
      <c r="BG158" s="45"/>
      <c r="BH158" s="45"/>
      <c r="BI158" s="46"/>
      <c r="BK158" s="22"/>
    </row>
    <row r="159">
      <c r="B159" s="40"/>
      <c r="C159" s="165" t="s">
        <v>85</v>
      </c>
      <c r="D159" s="38">
        <f>1000*I159</f>
        <v>10000</v>
      </c>
      <c r="E159" s="164"/>
      <c r="F159" s="42"/>
      <c r="G159" s="43"/>
      <c r="H159" s="56" t="s">
        <v>502</v>
      </c>
      <c r="I159" s="166">
        <v>10.0</v>
      </c>
      <c r="J159" s="100" t="s">
        <v>424</v>
      </c>
      <c r="K159" s="100">
        <v>0.0</v>
      </c>
      <c r="L159" s="100">
        <v>0.0</v>
      </c>
      <c r="M159" s="45"/>
      <c r="N159" s="45"/>
      <c r="O159" s="45"/>
      <c r="P159" s="45"/>
      <c r="Q159" s="45"/>
      <c r="R159" s="45"/>
      <c r="S159" s="101"/>
      <c r="T159" s="101"/>
      <c r="U159" s="45"/>
      <c r="V159" s="45"/>
      <c r="W159" s="45"/>
      <c r="X159" s="45"/>
      <c r="Y159" s="45"/>
      <c r="Z159" s="45"/>
      <c r="AA159" s="45"/>
      <c r="AB159" s="45"/>
      <c r="AC159" s="45"/>
      <c r="AD159" s="45"/>
      <c r="AE159" s="45"/>
      <c r="AF159" s="45"/>
      <c r="AG159" s="79"/>
      <c r="AH159" s="45"/>
      <c r="AI159" s="45"/>
      <c r="AJ159" s="45"/>
      <c r="AK159" s="45"/>
      <c r="AL159" s="45"/>
      <c r="AM159" s="45"/>
      <c r="AN159" s="45"/>
      <c r="AO159" s="45"/>
      <c r="AP159" s="45"/>
      <c r="AQ159" s="45"/>
      <c r="AR159" s="45"/>
      <c r="AS159" s="45"/>
      <c r="AT159" s="79"/>
      <c r="AU159" s="45"/>
      <c r="AV159" s="45"/>
      <c r="AW159" s="45"/>
      <c r="AX159" s="45"/>
      <c r="AY159" s="45"/>
      <c r="AZ159" s="45"/>
      <c r="BA159" s="45"/>
      <c r="BB159" s="45"/>
      <c r="BC159" s="45"/>
      <c r="BD159" s="45"/>
      <c r="BE159" s="45"/>
      <c r="BF159" s="45"/>
      <c r="BG159" s="45"/>
      <c r="BH159" s="45"/>
      <c r="BI159" s="46"/>
      <c r="BK159" s="22"/>
    </row>
    <row r="160">
      <c r="B160" s="135"/>
      <c r="C160" s="136"/>
      <c r="D160" s="137"/>
      <c r="E160" s="137"/>
      <c r="F160" s="137"/>
      <c r="G160" s="138"/>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8"/>
      <c r="AH160" s="137"/>
      <c r="AI160" s="137"/>
      <c r="AJ160" s="137"/>
      <c r="AK160" s="137"/>
      <c r="AL160" s="137"/>
      <c r="AM160" s="137"/>
      <c r="AN160" s="137"/>
      <c r="AO160" s="137"/>
      <c r="AP160" s="137"/>
      <c r="AQ160" s="137"/>
      <c r="AR160" s="137"/>
      <c r="AS160" s="137"/>
      <c r="AT160" s="138"/>
      <c r="AU160" s="137"/>
      <c r="AV160" s="137"/>
      <c r="AW160" s="137"/>
      <c r="AX160" s="137"/>
      <c r="AY160" s="137"/>
      <c r="AZ160" s="137"/>
      <c r="BA160" s="137"/>
      <c r="BB160" s="137"/>
      <c r="BC160" s="137"/>
      <c r="BD160" s="137"/>
      <c r="BE160" s="137"/>
      <c r="BF160" s="137"/>
      <c r="BG160" s="137"/>
      <c r="BH160" s="137"/>
      <c r="BI160" s="139"/>
      <c r="BK160" s="22"/>
    </row>
    <row r="161">
      <c r="B161" s="31" t="s">
        <v>864</v>
      </c>
      <c r="C161" s="54"/>
      <c r="D161" s="45"/>
      <c r="E161" s="45"/>
      <c r="F161" s="47"/>
      <c r="G161" s="35"/>
      <c r="H161" s="163" t="s">
        <v>349</v>
      </c>
      <c r="I161" s="38">
        <f>VLOOKUP(H161,'Machine List'!$A$1:$I$300,9,FALSE)</f>
        <v>4000</v>
      </c>
      <c r="J161" s="38">
        <f>IF(VLOOKUP(H161,'Machine List'!$A$1:$I$300,5,FALSE)="Multi",IF(VLOOKUP(H161,'Machine List'!$A$1:$I$300,6,FALSE)="Yes",AI161*3*10^AB161,AI161*(2*3)*10^(AB161-1)),0)</f>
        <v>6</v>
      </c>
      <c r="K161" s="38">
        <f>J161+IF(ISNUMBER(I161),I161,
  SWITCH(
      I161,
      "1T",1*10^AB161,
      "2T",2*10^AB161,
      "3T",3*10^AB161,
      "4T",4*10^AB161,
      "4000+500(7O-5)",4000+500*(7*I162-5),
      "13500 + 16C",13500+16*VLOOKUP(J163,'Machine Helper Sheet'!$G$1:$K$16,5,FALSE),
      1
  )
)</f>
        <v>4006</v>
      </c>
      <c r="L161" s="38">
        <f>IF(VLOOKUP(H161,'Machine List'!$A$1:$I$300,5,FALSE)="Multi",IF(VLOOKUP(H161,'Machine List'!$A$1:$I$300,6,FALSE)="Yes",AW161*3*10^AV161,AW161*(2*3)*10^(AV161-1)),0)</f>
        <v>60000</v>
      </c>
      <c r="M161" s="38">
        <f>L161+IF(ISNUMBER(I161),I161,
  SWITCH(
      I161,
      "1T",1*10^AV161,
      "2T",2*10^AV161,
      "3T",3*10^AV161,
      "4T",4*10^AV161,
      "4000+500(7O-5)",4000+500*(7*I162-5),
      1
  )
)</f>
        <v>64000</v>
      </c>
      <c r="N161" s="38" t="str">
        <f>VLOOKUP(H161,'Machine List'!$A$1:$I$300,8,FALSE)</f>
        <v>Tier</v>
      </c>
      <c r="O161" s="38">
        <f>IF(ISNUMBER(N161),N161,10^AB161)</f>
        <v>10</v>
      </c>
      <c r="P161" s="38">
        <f>IF(ISNUMBER(N161),N161,10^AV161)</f>
        <v>100000</v>
      </c>
      <c r="Q161" s="38">
        <f>VLOOKUP(H161,'Machine List'!$A$1:$B$138,2,FALSE)</f>
        <v>1</v>
      </c>
      <c r="R161" s="164" t="s">
        <v>594</v>
      </c>
      <c r="S161" s="45">
        <f>IF(ISNUMBER(Q161),Q161,
  SWITCH(
      Q161,
      "1",1,
      "2T",AB161*2,
      "4T",AB161*4,
      "6T",AB161*6,
      "8T",AB161*8,
      "10T",AB161*10,
      "12T",AB161*12,
      "14T",AB161*14,
      "16T",AB161*16,
      "24T",AB161*24,
      "2(T+1)",2*(AB161+1),
      "1T*C",AB161*J163,
      "2*P",L163*2,
      1
  )
)</f>
        <v>1</v>
      </c>
      <c r="T161" s="38" t="s">
        <v>277</v>
      </c>
      <c r="U161" s="38">
        <f>IF(OR(T161="No",T161=""),S161,T161)</f>
        <v>1</v>
      </c>
      <c r="V161" s="38">
        <f>IF(ISNUMBER(Q161),Q161,
  SWITCH(
      Q161,
      "1",1,
      "2T",AV161*2,
      "4T",AV161*4,
      "6T",AV161*6,
      "8T",AV161*8,
      "10T",AV161*10,
      "12T",AV161*12,
      "14T",AV161*14,
      "16T",AV161*16,
      "24T",AV161*24,
      "2(T+1)",2*(AV161+1),
      "1T*C",AV161*J163,
      "2*P",L163*2,
      1
  )
)</f>
        <v>1</v>
      </c>
      <c r="W161" s="38" t="str">
        <f>T161</f>
        <v>No</v>
      </c>
      <c r="X161" s="38">
        <f>IF(OR(W161="No",W161=""),V161,W161)</f>
        <v>1</v>
      </c>
      <c r="Y161" s="38">
        <f>VLOOKUP(H161,'Machine List'!$A$1:$C$138,3,FALSE)</f>
        <v>1</v>
      </c>
      <c r="Z161" s="38">
        <f>VLOOKUP(H161,'Machine List'!$A$1:$D$138,4,FALSE)</f>
        <v>1</v>
      </c>
      <c r="AA161" s="164" t="s">
        <v>390</v>
      </c>
      <c r="AB161" s="38">
        <f>VLOOKUP(AA161,'Item Helper Sheet'!$A$2:$B$16,2,FALSE)</f>
        <v>1</v>
      </c>
      <c r="AC161" s="164">
        <v>30.0</v>
      </c>
      <c r="AD161" s="38">
        <f>15*20</f>
        <v>300</v>
      </c>
      <c r="AE161" s="38">
        <f>AD161*I163</f>
        <v>3000</v>
      </c>
      <c r="AF161" s="38">
        <f>AC161*AE161</f>
        <v>90000</v>
      </c>
      <c r="AG161" s="75"/>
      <c r="AH161" s="38" t="str">
        <f>AA161</f>
        <v>01 - LV</v>
      </c>
      <c r="AI161" s="38">
        <v>1.0</v>
      </c>
      <c r="AJ161" s="38">
        <v>1.0</v>
      </c>
      <c r="AK161" s="38">
        <f>AJ161*8*4^AB161</f>
        <v>32</v>
      </c>
      <c r="AL161" s="38">
        <f>MIN(ROUNDDOWN(AK161/AN161,0),U161)</f>
        <v>1</v>
      </c>
      <c r="AM161" s="38">
        <f>IF(OR(T161="No",T161=""),AI161*S161,AI161*T161)</f>
        <v>1</v>
      </c>
      <c r="AN161" s="38">
        <f>ROUNDUP(AC161*VLOOKUP(H161,'Machine List'!$A$2:$D$219,4,FALSE),0)</f>
        <v>30</v>
      </c>
      <c r="AO161" s="38">
        <f>AN161*AM161</f>
        <v>30</v>
      </c>
      <c r="AP161" s="38">
        <f>ROUNDUP(AD161*I163,0)</f>
        <v>3000</v>
      </c>
      <c r="AQ161" s="38">
        <f>IF(ISNUMBER(Y161),ROUNDUP(AP161/Y161,0),
  SWITCH(
      Y161,
      "1+0.5C",ROUNDUP(AP161/(1+0.5*VLOOKUP(J163,'Machine Helper Sheet'!$G$1:$K$16,2,FALSE)),0),
      ROUNDUP(AP161/1,0)
  )
)</f>
        <v>3000</v>
      </c>
      <c r="AR161" s="38">
        <f>ROUNDUP(AQ161/AM161,0)</f>
        <v>3000</v>
      </c>
      <c r="AS161" s="38">
        <f>AO161*AR161</f>
        <v>90000</v>
      </c>
      <c r="AT161" s="75"/>
      <c r="AU161" s="164" t="s">
        <v>405</v>
      </c>
      <c r="AV161" s="38">
        <f>VLOOKUP(AU161,'Item Helper Sheet'!$A$2:$B$16,2,FALSE)</f>
        <v>5</v>
      </c>
      <c r="AW161" s="38">
        <f>AI161</f>
        <v>1</v>
      </c>
      <c r="AX161" s="38">
        <v>1.0</v>
      </c>
      <c r="AY161" s="38">
        <f>AX161*8*4^AV161</f>
        <v>8192</v>
      </c>
      <c r="AZ161" s="38">
        <f>MIN(ROUNDDOWN(AY161/AN161,0),X161)</f>
        <v>1</v>
      </c>
      <c r="BA161" s="38">
        <f>AZ161*AW161</f>
        <v>1</v>
      </c>
      <c r="BB161" s="38">
        <f>AN161</f>
        <v>30</v>
      </c>
      <c r="BC161" s="38">
        <f>MIN(AV161-AB161,IF(AY161&gt;=BB162*4,
IF(AY161&gt;=BB162*4^2,
IF(AY161&gt;=BB162*4^3,
IF(AY161&gt;=BB162*4^4,
IF(AY161&gt;=BB162*4^5,
IF(AY161&gt;=BB162*4^6,
IF(AY161&gt;=BB162*4^7,
IF(AY161&gt;=BB162*4^8,
IF(AY161&gt;=BB162*4^9,
IF(AY161&gt;=BB162*4^10,
9),
8),
7),
6),
5),
4),
3),
2),
1),
0))</f>
        <v>4</v>
      </c>
      <c r="BD161" s="38">
        <f>BB161*AZ161*4^BC161</f>
        <v>7680</v>
      </c>
      <c r="BE161" s="38">
        <f>BD161*AW161</f>
        <v>7680</v>
      </c>
      <c r="BF161" s="45">
        <f>ROUNDUP(IF(R161="Yes",AP161/(2^((BC161)*2)),AP161/(2^(BC161))),0)</f>
        <v>12</v>
      </c>
      <c r="BG161" s="45">
        <f>IF(ISNUMBER(Y161),ROUNDUP(BF161/Y161,0),
  SWITCH(
      Y161,
      "1+0.5C",ROUNDUP(BF161/(1+0.5*VLOOKUP(J163,'Machine Helper Sheet'!$G$1:$K$16,2,FALSE)),0),
      ROUNDUP(BF161/1,0)
  )
)</f>
        <v>12</v>
      </c>
      <c r="BH161" s="45">
        <f>ROUNDUP(BG161/BA161,0)</f>
        <v>12</v>
      </c>
      <c r="BI161" s="46">
        <f>BH161*BE161</f>
        <v>92160</v>
      </c>
      <c r="BK161" s="22"/>
    </row>
    <row r="162">
      <c r="B162" s="141" t="s">
        <v>862</v>
      </c>
      <c r="C162" s="165" t="s">
        <v>15</v>
      </c>
      <c r="D162" s="38">
        <f>1000*I163</f>
        <v>10000</v>
      </c>
      <c r="E162" s="164" t="s">
        <v>92</v>
      </c>
      <c r="F162" s="42">
        <f>1*I163</f>
        <v>10</v>
      </c>
      <c r="G162" s="43"/>
      <c r="H162" s="99" t="s">
        <v>584</v>
      </c>
      <c r="I162" s="45">
        <f t="array" ref="I162">match(TRUE,ISBLANK(F162:F171),0)-1</f>
        <v>2</v>
      </c>
      <c r="J162" s="100" t="s">
        <v>420</v>
      </c>
      <c r="K162" s="100" t="s">
        <v>585</v>
      </c>
      <c r="L162" s="100" t="s">
        <v>704</v>
      </c>
      <c r="M162" s="38"/>
      <c r="N162" s="38"/>
      <c r="O162" s="38"/>
      <c r="P162" s="38"/>
      <c r="Q162" s="38"/>
      <c r="R162" s="101"/>
      <c r="S162" s="101"/>
      <c r="T162" s="101"/>
      <c r="U162" s="45"/>
      <c r="V162" s="45"/>
      <c r="W162" s="45"/>
      <c r="X162" s="45"/>
      <c r="Y162" s="45"/>
      <c r="Z162" s="45"/>
      <c r="AA162" s="45"/>
      <c r="AB162" s="45"/>
      <c r="AC162" s="45"/>
      <c r="AD162" s="45"/>
      <c r="AE162" s="45"/>
      <c r="AF162" s="45"/>
      <c r="AG162" s="79"/>
      <c r="AH162" s="45"/>
      <c r="AI162" s="45"/>
      <c r="AJ162" s="45"/>
      <c r="AK162" s="45"/>
      <c r="AL162" s="45"/>
      <c r="AM162" s="45"/>
      <c r="AN162" s="45"/>
      <c r="AO162" s="45"/>
      <c r="AP162" s="45"/>
      <c r="AQ162" s="45"/>
      <c r="AR162" s="45"/>
      <c r="AS162" s="45"/>
      <c r="AT162" s="79"/>
      <c r="AU162" s="45"/>
      <c r="AV162" s="45"/>
      <c r="AW162" s="45"/>
      <c r="AX162" s="45"/>
      <c r="AY162" s="45"/>
      <c r="AZ162" s="45"/>
      <c r="BA162" s="45"/>
      <c r="BB162" s="45">
        <f>BB161*AZ161</f>
        <v>30</v>
      </c>
      <c r="BC162" s="45"/>
      <c r="BD162" s="45"/>
      <c r="BE162" s="45"/>
      <c r="BF162" s="45"/>
      <c r="BG162" s="45"/>
      <c r="BH162" s="45"/>
      <c r="BI162" s="46"/>
      <c r="BK162" s="22"/>
    </row>
    <row r="163">
      <c r="B163" s="40"/>
      <c r="C163" s="165" t="s">
        <v>22</v>
      </c>
      <c r="D163" s="38">
        <f>3000*I163</f>
        <v>30000</v>
      </c>
      <c r="E163" s="164" t="s">
        <v>20</v>
      </c>
      <c r="F163" s="42">
        <f>3000*I163</f>
        <v>30000</v>
      </c>
      <c r="G163" s="43"/>
      <c r="H163" s="56" t="s">
        <v>502</v>
      </c>
      <c r="I163" s="166">
        <v>10.0</v>
      </c>
      <c r="J163" s="100" t="s">
        <v>424</v>
      </c>
      <c r="K163" s="100">
        <v>0.0</v>
      </c>
      <c r="L163" s="100">
        <v>0.0</v>
      </c>
      <c r="M163" s="45"/>
      <c r="N163" s="45"/>
      <c r="O163" s="45"/>
      <c r="P163" s="45"/>
      <c r="Q163" s="45"/>
      <c r="R163" s="45"/>
      <c r="S163" s="101"/>
      <c r="T163" s="101"/>
      <c r="U163" s="45"/>
      <c r="V163" s="45"/>
      <c r="W163" s="45"/>
      <c r="X163" s="45"/>
      <c r="Y163" s="45"/>
      <c r="Z163" s="45"/>
      <c r="AA163" s="45"/>
      <c r="AB163" s="45"/>
      <c r="AC163" s="45"/>
      <c r="AD163" s="45"/>
      <c r="AE163" s="45"/>
      <c r="AF163" s="45"/>
      <c r="AG163" s="79"/>
      <c r="AH163" s="45"/>
      <c r="AI163" s="45"/>
      <c r="AJ163" s="45"/>
      <c r="AK163" s="45"/>
      <c r="AL163" s="45"/>
      <c r="AM163" s="45"/>
      <c r="AN163" s="45"/>
      <c r="AO163" s="45"/>
      <c r="AP163" s="45"/>
      <c r="AQ163" s="45"/>
      <c r="AR163" s="45"/>
      <c r="AS163" s="45"/>
      <c r="AT163" s="79"/>
      <c r="AU163" s="45"/>
      <c r="AV163" s="45"/>
      <c r="AW163" s="45"/>
      <c r="AX163" s="45"/>
      <c r="AY163" s="45"/>
      <c r="AZ163" s="45"/>
      <c r="BA163" s="45"/>
      <c r="BB163" s="45"/>
      <c r="BC163" s="45"/>
      <c r="BD163" s="45"/>
      <c r="BE163" s="45"/>
      <c r="BF163" s="45"/>
      <c r="BG163" s="45"/>
      <c r="BH163" s="45"/>
      <c r="BI163" s="46"/>
      <c r="BK163" s="22"/>
    </row>
    <row r="164">
      <c r="B164" s="135"/>
      <c r="C164" s="136"/>
      <c r="D164" s="137"/>
      <c r="E164" s="137"/>
      <c r="F164" s="137"/>
      <c r="G164" s="138"/>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8"/>
      <c r="AH164" s="137"/>
      <c r="AI164" s="137"/>
      <c r="AJ164" s="137"/>
      <c r="AK164" s="137"/>
      <c r="AL164" s="137"/>
      <c r="AM164" s="137"/>
      <c r="AN164" s="137"/>
      <c r="AO164" s="137"/>
      <c r="AP164" s="137"/>
      <c r="AQ164" s="137"/>
      <c r="AR164" s="137"/>
      <c r="AS164" s="137"/>
      <c r="AT164" s="138"/>
      <c r="AU164" s="137"/>
      <c r="AV164" s="137"/>
      <c r="AW164" s="137"/>
      <c r="AX164" s="137"/>
      <c r="AY164" s="137"/>
      <c r="AZ164" s="137"/>
      <c r="BA164" s="137"/>
      <c r="BB164" s="137"/>
      <c r="BC164" s="137"/>
      <c r="BD164" s="137"/>
      <c r="BE164" s="137"/>
      <c r="BF164" s="137"/>
      <c r="BG164" s="137"/>
      <c r="BH164" s="137"/>
      <c r="BI164" s="139"/>
      <c r="BK164" s="22"/>
    </row>
    <row r="165">
      <c r="B165" s="31" t="s">
        <v>865</v>
      </c>
      <c r="C165" s="54"/>
      <c r="D165" s="45"/>
      <c r="E165" s="45"/>
      <c r="F165" s="47"/>
      <c r="G165" s="35"/>
      <c r="H165" s="163" t="s">
        <v>349</v>
      </c>
      <c r="I165" s="38">
        <f>VLOOKUP(H165,'Machine List'!$A$1:$I$300,9,FALSE)</f>
        <v>4000</v>
      </c>
      <c r="J165" s="38">
        <f>IF(VLOOKUP(H165,'Machine List'!$A$1:$I$300,5,FALSE)="Multi",IF(VLOOKUP(H165,'Machine List'!$A$1:$I$300,6,FALSE)="Yes",AI165*3*10^AB165,AI165*(2*3)*10^(AB165-1)),0)</f>
        <v>6000</v>
      </c>
      <c r="K165" s="38">
        <f>J165+IF(ISNUMBER(I165),I165,
  SWITCH(
      I165,
      "1T",1*10^AB165,
      "2T",2*10^AB165,
      "3T",3*10^AB165,
      "4T",4*10^AB165,
      "4000+500(7O-5)",4000+500*(7*I166-5),
      "13500 + 16C",13500+16*VLOOKUP(J167,'Machine Helper Sheet'!$G$1:$K$16,5,FALSE),
      1
  )
)</f>
        <v>10000</v>
      </c>
      <c r="L165" s="38">
        <f>IF(VLOOKUP(H165,'Machine List'!$A$1:$I$300,5,FALSE)="Multi",IF(VLOOKUP(H165,'Machine List'!$A$1:$I$300,6,FALSE)="Yes",AW165*3*10^AV165,AW165*(2*3)*10^(AV165-1)),0)</f>
        <v>60000</v>
      </c>
      <c r="M165" s="38">
        <f>L165+IF(ISNUMBER(I165),I165,
  SWITCH(
      I165,
      "1T",1*10^AV165,
      "2T",2*10^AV165,
      "3T",3*10^AV165,
      "4T",4*10^AV165,
      "4000+500(7O-5)",4000+500*(7*I166-5),
      1
  )
)</f>
        <v>64000</v>
      </c>
      <c r="N165" s="38" t="str">
        <f>VLOOKUP(H165,'Machine List'!$A$1:$I$300,8,FALSE)</f>
        <v>Tier</v>
      </c>
      <c r="O165" s="38">
        <f>IF(ISNUMBER(N165),N165,10^AB165)</f>
        <v>10000</v>
      </c>
      <c r="P165" s="38">
        <f>IF(ISNUMBER(N165),N165,10^AV165)</f>
        <v>100000</v>
      </c>
      <c r="Q165" s="38">
        <f>VLOOKUP(H165,'Machine List'!$A$1:$B$138,2,FALSE)</f>
        <v>1</v>
      </c>
      <c r="R165" s="164" t="s">
        <v>594</v>
      </c>
      <c r="S165" s="45">
        <f>IF(ISNUMBER(Q165),Q165,
  SWITCH(
      Q165,
      "1",1,
      "2T",AB165*2,
      "4T",AB165*4,
      "6T",AB165*6,
      "8T",AB165*8,
      "10T",AB165*10,
      "12T",AB165*12,
      "14T",AB165*14,
      "16T",AB165*16,
      "24T",AB165*24,
      "2(T+1)",2*(AB165+1),
      "1T*C",AB165*J167,
      "2*P",L167*2,
      1
  )
)</f>
        <v>1</v>
      </c>
      <c r="T165" s="38" t="s">
        <v>277</v>
      </c>
      <c r="U165" s="38">
        <f>IF(OR(T165="No",T165=""),S165,T165)</f>
        <v>1</v>
      </c>
      <c r="V165" s="38">
        <f>IF(ISNUMBER(Q165),Q165,
  SWITCH(
      Q165,
      "1",1,
      "2T",AV165*2,
      "4T",AV165*4,
      "6T",AV165*6,
      "8T",AV165*8,
      "10T",AV165*10,
      "12T",AV165*12,
      "14T",AV165*14,
      "16T",AV165*16,
      "24T",AV165*24,
      "2(T+1)",2*(AV165+1),
      "1T*C",AV165*J167,
      "2*P",L167*2,
      1
  )
)</f>
        <v>1</v>
      </c>
      <c r="W165" s="38" t="str">
        <f>T165</f>
        <v>No</v>
      </c>
      <c r="X165" s="38">
        <f>IF(OR(W165="No",W165=""),V165,W165)</f>
        <v>1</v>
      </c>
      <c r="Y165" s="38">
        <f>VLOOKUP(H165,'Machine List'!$A$1:$C$138,3,FALSE)</f>
        <v>1</v>
      </c>
      <c r="Z165" s="38">
        <f>VLOOKUP(H165,'Machine List'!$A$1:$D$138,4,FALSE)</f>
        <v>1</v>
      </c>
      <c r="AA165" s="164" t="s">
        <v>401</v>
      </c>
      <c r="AB165" s="38">
        <f>VLOOKUP(AA165,'Item Helper Sheet'!$A$2:$B$16,2,FALSE)</f>
        <v>4</v>
      </c>
      <c r="AC165" s="164">
        <v>1920.0</v>
      </c>
      <c r="AD165" s="38">
        <f>15*20</f>
        <v>300</v>
      </c>
      <c r="AE165" s="38">
        <f>AD165*I167</f>
        <v>3000</v>
      </c>
      <c r="AF165" s="38">
        <f>AC165*AE165</f>
        <v>5760000</v>
      </c>
      <c r="AG165" s="75"/>
      <c r="AH165" s="38" t="str">
        <f>AA165</f>
        <v>04 - EV</v>
      </c>
      <c r="AI165" s="38">
        <v>1.0</v>
      </c>
      <c r="AJ165" s="38">
        <v>1.0</v>
      </c>
      <c r="AK165" s="38">
        <f>AJ165*8*4^AB165</f>
        <v>2048</v>
      </c>
      <c r="AL165" s="38">
        <f>MIN(ROUNDDOWN(AK165/AN165,0),U165)</f>
        <v>1</v>
      </c>
      <c r="AM165" s="38">
        <f>IF(OR(T165="No",T165=""),AI165*S165,AI165*T165)</f>
        <v>1</v>
      </c>
      <c r="AN165" s="38">
        <f>ROUNDUP(AC165*VLOOKUP(H165,'Machine List'!$A$2:$D$219,4,FALSE),0)</f>
        <v>1920</v>
      </c>
      <c r="AO165" s="38">
        <f>AN165*AM165</f>
        <v>1920</v>
      </c>
      <c r="AP165" s="38">
        <f>ROUNDUP(AD165*I167,0)</f>
        <v>3000</v>
      </c>
      <c r="AQ165" s="38">
        <f>IF(ISNUMBER(Y165),ROUNDUP(AP165/Y165,0),
  SWITCH(
      Y165,
      "1+0.5C",ROUNDUP(AP165/(1+0.5*VLOOKUP(J167,'Machine Helper Sheet'!$G$1:$K$16,2,FALSE)),0),
      ROUNDUP(AP165/1,0)
  )
)</f>
        <v>3000</v>
      </c>
      <c r="AR165" s="38">
        <f>ROUNDUP(AQ165/AM165,0)</f>
        <v>3000</v>
      </c>
      <c r="AS165" s="38">
        <f>AO165*AR165</f>
        <v>5760000</v>
      </c>
      <c r="AT165" s="75"/>
      <c r="AU165" s="164" t="s">
        <v>405</v>
      </c>
      <c r="AV165" s="38">
        <f>VLOOKUP(AU165,'Item Helper Sheet'!$A$2:$B$16,2,FALSE)</f>
        <v>5</v>
      </c>
      <c r="AW165" s="38">
        <f>AI165</f>
        <v>1</v>
      </c>
      <c r="AX165" s="38">
        <v>1.0</v>
      </c>
      <c r="AY165" s="38">
        <f>AX165*8*4^AV165</f>
        <v>8192</v>
      </c>
      <c r="AZ165" s="38">
        <f>MIN(ROUNDDOWN(AY165/AN165,0),X165)</f>
        <v>1</v>
      </c>
      <c r="BA165" s="38">
        <f>AZ165*AW165</f>
        <v>1</v>
      </c>
      <c r="BB165" s="38">
        <f>AN165</f>
        <v>1920</v>
      </c>
      <c r="BC165" s="38">
        <f>MIN(AV165-AB165,IF(AY165&gt;=BB166*4,
IF(AY165&gt;=BB166*4^2,
IF(AY165&gt;=BB166*4^3,
IF(AY165&gt;=BB166*4^4,
IF(AY165&gt;=BB166*4^5,
IF(AY165&gt;=BB166*4^6,
IF(AY165&gt;=BB166*4^7,
IF(AY165&gt;=BB166*4^8,
IF(AY165&gt;=BB166*4^9,
IF(AY165&gt;=BB166*4^10,
9),
8),
7),
6),
5),
4),
3),
2),
1),
0))</f>
        <v>1</v>
      </c>
      <c r="BD165" s="38">
        <f>BB165*AZ165*4^BC165</f>
        <v>7680</v>
      </c>
      <c r="BE165" s="38">
        <f>BD165*AW165</f>
        <v>7680</v>
      </c>
      <c r="BF165" s="45">
        <f>ROUNDUP(IF(R165="Yes",AP165/(2^((BC165)*2)),AP165/(2^(BC165))),0)</f>
        <v>750</v>
      </c>
      <c r="BG165" s="45">
        <f>IF(ISNUMBER(Y165),ROUNDUP(BF165/Y165,0),
  SWITCH(
      Y165,
      "1+0.5C",ROUNDUP(BF165/(1+0.5*VLOOKUP(J167,'Machine Helper Sheet'!$G$1:$K$16,2,FALSE)),0),
      ROUNDUP(BF165/1,0)
  )
)</f>
        <v>750</v>
      </c>
      <c r="BH165" s="45">
        <f>ROUNDUP(BG165/BA165,0)</f>
        <v>750</v>
      </c>
      <c r="BI165" s="46">
        <f>BH165*BE165</f>
        <v>5760000</v>
      </c>
      <c r="BK165" s="22"/>
    </row>
    <row r="166">
      <c r="B166" s="141" t="s">
        <v>862</v>
      </c>
      <c r="C166" s="165" t="s">
        <v>92</v>
      </c>
      <c r="D166" s="38">
        <f>1*I167</f>
        <v>10</v>
      </c>
      <c r="E166" s="164" t="s">
        <v>94</v>
      </c>
      <c r="F166" s="42">
        <f>1*I167</f>
        <v>10</v>
      </c>
      <c r="G166" s="43"/>
      <c r="H166" s="99" t="s">
        <v>584</v>
      </c>
      <c r="I166" s="45">
        <f t="array" ref="I166">match(TRUE,ISBLANK(F166:F175),0)-1</f>
        <v>3</v>
      </c>
      <c r="J166" s="100" t="s">
        <v>420</v>
      </c>
      <c r="K166" s="100" t="s">
        <v>585</v>
      </c>
      <c r="L166" s="100" t="s">
        <v>704</v>
      </c>
      <c r="M166" s="38"/>
      <c r="N166" s="38"/>
      <c r="O166" s="38"/>
      <c r="P166" s="38"/>
      <c r="Q166" s="38"/>
      <c r="R166" s="101"/>
      <c r="S166" s="101"/>
      <c r="T166" s="101"/>
      <c r="U166" s="45"/>
      <c r="V166" s="45"/>
      <c r="W166" s="45"/>
      <c r="X166" s="45"/>
      <c r="Y166" s="45"/>
      <c r="Z166" s="45"/>
      <c r="AA166" s="45"/>
      <c r="AB166" s="45"/>
      <c r="AC166" s="45"/>
      <c r="AD166" s="45"/>
      <c r="AE166" s="45"/>
      <c r="AF166" s="45"/>
      <c r="AG166" s="79"/>
      <c r="AH166" s="45"/>
      <c r="AI166" s="45"/>
      <c r="AJ166" s="45"/>
      <c r="AK166" s="45"/>
      <c r="AL166" s="45"/>
      <c r="AM166" s="45"/>
      <c r="AN166" s="45"/>
      <c r="AO166" s="45"/>
      <c r="AP166" s="45"/>
      <c r="AQ166" s="45"/>
      <c r="AR166" s="45"/>
      <c r="AS166" s="45"/>
      <c r="AT166" s="79"/>
      <c r="AU166" s="45"/>
      <c r="AV166" s="45"/>
      <c r="AW166" s="45"/>
      <c r="AX166" s="45"/>
      <c r="AY166" s="45"/>
      <c r="AZ166" s="45"/>
      <c r="BA166" s="45"/>
      <c r="BB166" s="45">
        <f>BB165*AZ165</f>
        <v>1920</v>
      </c>
      <c r="BC166" s="45"/>
      <c r="BD166" s="45"/>
      <c r="BE166" s="45"/>
      <c r="BF166" s="45"/>
      <c r="BG166" s="45"/>
      <c r="BH166" s="45"/>
      <c r="BI166" s="46"/>
      <c r="BK166" s="22"/>
    </row>
    <row r="167">
      <c r="B167" s="40"/>
      <c r="C167" s="165" t="s">
        <v>40</v>
      </c>
      <c r="D167" s="38">
        <f>1*I167</f>
        <v>10</v>
      </c>
      <c r="E167" s="164" t="s">
        <v>117</v>
      </c>
      <c r="F167" s="42">
        <f>1*I167</f>
        <v>10</v>
      </c>
      <c r="G167" s="43"/>
      <c r="H167" s="56" t="s">
        <v>502</v>
      </c>
      <c r="I167" s="166">
        <v>10.0</v>
      </c>
      <c r="J167" s="100" t="s">
        <v>424</v>
      </c>
      <c r="K167" s="100">
        <v>0.0</v>
      </c>
      <c r="L167" s="100">
        <v>0.0</v>
      </c>
      <c r="M167" s="45"/>
      <c r="N167" s="45"/>
      <c r="O167" s="45"/>
      <c r="P167" s="45"/>
      <c r="Q167" s="45"/>
      <c r="R167" s="45"/>
      <c r="S167" s="101"/>
      <c r="T167" s="101"/>
      <c r="U167" s="45"/>
      <c r="V167" s="45"/>
      <c r="W167" s="45"/>
      <c r="X167" s="45"/>
      <c r="Y167" s="45"/>
      <c r="Z167" s="45"/>
      <c r="AA167" s="45"/>
      <c r="AB167" s="45"/>
      <c r="AC167" s="45"/>
      <c r="AD167" s="45"/>
      <c r="AE167" s="45"/>
      <c r="AF167" s="45"/>
      <c r="AG167" s="79"/>
      <c r="AH167" s="45"/>
      <c r="AI167" s="45"/>
      <c r="AJ167" s="45"/>
      <c r="AK167" s="45"/>
      <c r="AL167" s="45"/>
      <c r="AM167" s="45"/>
      <c r="AN167" s="45"/>
      <c r="AO167" s="45"/>
      <c r="AP167" s="45"/>
      <c r="AQ167" s="45"/>
      <c r="AR167" s="45"/>
      <c r="AS167" s="45"/>
      <c r="AT167" s="79"/>
      <c r="AU167" s="45"/>
      <c r="AV167" s="45"/>
      <c r="AW167" s="45"/>
      <c r="AX167" s="45"/>
      <c r="AY167" s="45"/>
      <c r="AZ167" s="45"/>
      <c r="BA167" s="45"/>
      <c r="BB167" s="45"/>
      <c r="BC167" s="45"/>
      <c r="BD167" s="45"/>
      <c r="BE167" s="45"/>
      <c r="BF167" s="45"/>
      <c r="BG167" s="45"/>
      <c r="BH167" s="45"/>
      <c r="BI167" s="46"/>
      <c r="BK167" s="22"/>
    </row>
    <row r="168">
      <c r="B168" s="40"/>
      <c r="C168" s="165"/>
      <c r="D168" s="38"/>
      <c r="E168" s="164" t="s">
        <v>42</v>
      </c>
      <c r="F168" s="42">
        <f>3000*I167</f>
        <v>30000</v>
      </c>
      <c r="G168" s="43"/>
      <c r="H168" s="44"/>
      <c r="I168" s="45"/>
      <c r="J168" s="45"/>
      <c r="K168" s="45"/>
      <c r="L168" s="45"/>
      <c r="M168" s="45"/>
      <c r="N168" s="45"/>
      <c r="O168" s="45"/>
      <c r="P168" s="45"/>
      <c r="Q168" s="45"/>
      <c r="R168" s="45"/>
      <c r="S168" s="101"/>
      <c r="T168" s="101"/>
      <c r="U168" s="45"/>
      <c r="V168" s="45"/>
      <c r="W168" s="45"/>
      <c r="X168" s="45"/>
      <c r="Y168" s="45"/>
      <c r="Z168" s="45"/>
      <c r="AA168" s="45"/>
      <c r="AB168" s="45"/>
      <c r="AC168" s="45"/>
      <c r="AD168" s="45"/>
      <c r="AE168" s="45"/>
      <c r="AF168" s="45"/>
      <c r="AG168" s="79"/>
      <c r="AH168" s="45"/>
      <c r="AI168" s="45"/>
      <c r="AJ168" s="45"/>
      <c r="AK168" s="45"/>
      <c r="AL168" s="45"/>
      <c r="AM168" s="45"/>
      <c r="AN168" s="45"/>
      <c r="AO168" s="45"/>
      <c r="AP168" s="45"/>
      <c r="AQ168" s="45"/>
      <c r="AR168" s="45"/>
      <c r="AS168" s="45"/>
      <c r="AT168" s="79"/>
      <c r="AU168" s="45"/>
      <c r="AV168" s="45"/>
      <c r="AW168" s="45"/>
      <c r="AX168" s="45"/>
      <c r="AY168" s="45"/>
      <c r="AZ168" s="45"/>
      <c r="BA168" s="45"/>
      <c r="BB168" s="45"/>
      <c r="BC168" s="45"/>
      <c r="BD168" s="45"/>
      <c r="BE168" s="45"/>
      <c r="BF168" s="45"/>
      <c r="BG168" s="45"/>
      <c r="BH168" s="45"/>
      <c r="BI168" s="46"/>
      <c r="BK168" s="22"/>
    </row>
    <row r="169">
      <c r="B169" s="135"/>
      <c r="C169" s="136"/>
      <c r="D169" s="137"/>
      <c r="E169" s="137"/>
      <c r="F169" s="137"/>
      <c r="G169" s="138"/>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c r="AG169" s="138"/>
      <c r="AH169" s="137"/>
      <c r="AI169" s="137"/>
      <c r="AJ169" s="137"/>
      <c r="AK169" s="137"/>
      <c r="AL169" s="137"/>
      <c r="AM169" s="137"/>
      <c r="AN169" s="137"/>
      <c r="AO169" s="137"/>
      <c r="AP169" s="137"/>
      <c r="AQ169" s="137"/>
      <c r="AR169" s="137"/>
      <c r="AS169" s="137"/>
      <c r="AT169" s="138"/>
      <c r="AU169" s="137"/>
      <c r="AV169" s="137"/>
      <c r="AW169" s="137"/>
      <c r="AX169" s="137"/>
      <c r="AY169" s="137"/>
      <c r="AZ169" s="137"/>
      <c r="BA169" s="137"/>
      <c r="BB169" s="137"/>
      <c r="BC169" s="137"/>
      <c r="BD169" s="137"/>
      <c r="BE169" s="137"/>
      <c r="BF169" s="137"/>
      <c r="BG169" s="137"/>
      <c r="BH169" s="137"/>
      <c r="BI169" s="139"/>
      <c r="BK169" s="22"/>
    </row>
    <row r="170">
      <c r="B170" s="31" t="s">
        <v>866</v>
      </c>
      <c r="C170" s="54"/>
      <c r="D170" s="45"/>
      <c r="E170" s="45"/>
      <c r="F170" s="47"/>
      <c r="G170" s="35"/>
      <c r="H170" s="163" t="s">
        <v>298</v>
      </c>
      <c r="I170" s="38" t="str">
        <f>VLOOKUP(H170,'Machine List'!$A$1:$I$300,9,FALSE)</f>
        <v>4000+500(7O-5)</v>
      </c>
      <c r="J170" s="38">
        <f>IF(VLOOKUP(H170,'Machine List'!$A$1:$I$300,5,FALSE)="Multi",IF(VLOOKUP(H170,'Machine List'!$A$1:$I$300,6,FALSE)="Yes",AI170*3*10^AB170,AI170*(2*3)*10^(AB170-1)),0)</f>
        <v>60000</v>
      </c>
      <c r="K170" s="38">
        <f>J170+IF(ISNUMBER(I170),I170,
  SWITCH(
      I170,
      "1T",1*10^AB170,
      "2T",2*10^AB170,
      "3T",3*10^AB170,
      "4T",4*10^AB170,
      "4000+500(7O-5)",4000+500*(7*I171-5),
      "13500 + 16C",13500+16*VLOOKUP(J172,'Machine Helper Sheet'!$G$1:$K$16,5,FALSE),
      1
  )
)</f>
        <v>68500</v>
      </c>
      <c r="L170" s="38">
        <f>IF(VLOOKUP(H170,'Machine List'!$A$1:$I$300,5,FALSE)="Multi",IF(VLOOKUP(H170,'Machine List'!$A$1:$I$300,6,FALSE)="Yes",AW170*3*10^AV170,AW170*(2*3)*10^(AV170-1)),0)</f>
        <v>60000</v>
      </c>
      <c r="M170" s="38">
        <f>L170+IF(ISNUMBER(I170),I170,
  SWITCH(
      I170,
      "1T",1*10^AV170,
      "2T",2*10^AV170,
      "3T",3*10^AV170,
      "4T",4*10^AV170,
      "4000+500(7O-5)",4000+500*(7*I171-5),
      1
  )
)</f>
        <v>68500</v>
      </c>
      <c r="N170" s="38" t="str">
        <f>VLOOKUP(H170,'Machine List'!$A$1:$I$300,8,FALSE)</f>
        <v>Tier</v>
      </c>
      <c r="O170" s="38">
        <f>IF(ISNUMBER(N170),N170,10^AB170)</f>
        <v>100000</v>
      </c>
      <c r="P170" s="38">
        <f>IF(ISNUMBER(N170),N170,10^AV170)</f>
        <v>100000</v>
      </c>
      <c r="Q170" s="38">
        <f>VLOOKUP(H170,'Machine List'!$A$1:$B$138,2,FALSE)</f>
        <v>1</v>
      </c>
      <c r="R170" s="164" t="s">
        <v>594</v>
      </c>
      <c r="S170" s="45">
        <f>IF(ISNUMBER(Q170),Q170,
  SWITCH(
      Q170,
      "1",1,
      "2T",AB170*2,
      "4T",AB170*4,
      "6T",AB170*6,
      "8T",AB170*8,
      "10T",AB170*10,
      "12T",AB170*12,
      "14T",AB170*14,
      "16T",AB170*16,
      "24T",AB170*24,
      "2(T+1)",2*(AB170+1),
      "1T*C",AB170*J172,
      "2*P",L172*2,
      1
  )
)</f>
        <v>1</v>
      </c>
      <c r="T170" s="38" t="s">
        <v>277</v>
      </c>
      <c r="U170" s="38">
        <f>IF(OR(T170="No",T170=""),S170,T170)</f>
        <v>1</v>
      </c>
      <c r="V170" s="38">
        <f>IF(ISNUMBER(Q170),Q170,
  SWITCH(
      Q170,
      "1",1,
      "2T",AV170*2,
      "4T",AV170*4,
      "6T",AV170*6,
      "8T",AV170*8,
      "10T",AV170*10,
      "12T",AV170*12,
      "14T",AV170*14,
      "16T",AV170*16,
      "24T",AV170*24,
      "2(T+1)",2*(AV170+1),
      "1T*C",AV170*J172,
      "2*P",L172*2,
      1
  )
)</f>
        <v>1</v>
      </c>
      <c r="W170" s="38" t="str">
        <f>T170</f>
        <v>No</v>
      </c>
      <c r="X170" s="38">
        <f>IF(OR(W170="No",W170=""),V170,W170)</f>
        <v>1</v>
      </c>
      <c r="Y170" s="38">
        <f>VLOOKUP(H170,'Machine List'!$A$1:$C$138,3,FALSE)</f>
        <v>1</v>
      </c>
      <c r="Z170" s="38">
        <f>VLOOKUP(H170,'Machine List'!$A$1:$D$138,4,FALSE)</f>
        <v>1</v>
      </c>
      <c r="AA170" s="164" t="s">
        <v>405</v>
      </c>
      <c r="AB170" s="38">
        <f>VLOOKUP(AA170,'Item Helper Sheet'!$A$2:$B$16,2,FALSE)</f>
        <v>5</v>
      </c>
      <c r="AC170" s="164">
        <v>7680.0</v>
      </c>
      <c r="AD170" s="38">
        <f>7.5*20</f>
        <v>150</v>
      </c>
      <c r="AE170" s="38">
        <f>AD170*I172</f>
        <v>1500</v>
      </c>
      <c r="AF170" s="38">
        <f>AC170*AE170</f>
        <v>11520000</v>
      </c>
      <c r="AG170" s="75"/>
      <c r="AH170" s="38" t="str">
        <f>AA170</f>
        <v>05 - IV</v>
      </c>
      <c r="AI170" s="38">
        <v>1.0</v>
      </c>
      <c r="AJ170" s="38">
        <v>1.0</v>
      </c>
      <c r="AK170" s="38">
        <f>AJ170*8*4^AB170</f>
        <v>8192</v>
      </c>
      <c r="AL170" s="38">
        <f>MIN(ROUNDDOWN(AK170/AN170,0),U170)</f>
        <v>1</v>
      </c>
      <c r="AM170" s="38">
        <f>IF(OR(T170="No",T170=""),AI170*S170,AI170*T170)</f>
        <v>1</v>
      </c>
      <c r="AN170" s="38">
        <f>ROUNDUP(AC170*VLOOKUP(H170,'Machine List'!$A$2:$D$219,4,FALSE),0)</f>
        <v>7680</v>
      </c>
      <c r="AO170" s="38">
        <f>AN170*AM170</f>
        <v>7680</v>
      </c>
      <c r="AP170" s="38">
        <f>ROUNDUP(AD170*I172,0)</f>
        <v>1500</v>
      </c>
      <c r="AQ170" s="38">
        <f>IF(ISNUMBER(Y170),ROUNDUP(AP170/Y170,0),
  SWITCH(
      Y170,
      "1+0.5C",ROUNDUP(AP170/(1+0.5*VLOOKUP(J172,'Machine Helper Sheet'!$G$1:$K$16,2,FALSE)),0),
      ROUNDUP(AP170/1,0)
  )
)</f>
        <v>1500</v>
      </c>
      <c r="AR170" s="38">
        <f>ROUNDUP(AQ170/AM170,0)</f>
        <v>1500</v>
      </c>
      <c r="AS170" s="38">
        <f>AO170*AR170</f>
        <v>11520000</v>
      </c>
      <c r="AT170" s="75"/>
      <c r="AU170" s="164" t="s">
        <v>405</v>
      </c>
      <c r="AV170" s="38">
        <f>VLOOKUP(AU170,'Item Helper Sheet'!$A$2:$B$16,2,FALSE)</f>
        <v>5</v>
      </c>
      <c r="AW170" s="38">
        <f>AI170</f>
        <v>1</v>
      </c>
      <c r="AX170" s="38">
        <v>1.0</v>
      </c>
      <c r="AY170" s="38">
        <f>AX170*8*4^AV170</f>
        <v>8192</v>
      </c>
      <c r="AZ170" s="38">
        <f>MIN(ROUNDDOWN(AY170/AN170,0),X170)</f>
        <v>1</v>
      </c>
      <c r="BA170" s="38">
        <f>AZ170*AW170</f>
        <v>1</v>
      </c>
      <c r="BB170" s="38">
        <f>AN170</f>
        <v>7680</v>
      </c>
      <c r="BC170" s="38">
        <f>MIN(AV170-AB170,IF(AY170&gt;=BB171*4,
IF(AY170&gt;=BB171*4^2,
IF(AY170&gt;=BB171*4^3,
IF(AY170&gt;=BB171*4^4,
IF(AY170&gt;=BB171*4^5,
IF(AY170&gt;=BB171*4^6,
IF(AY170&gt;=BB171*4^7,
IF(AY170&gt;=BB171*4^8,
IF(AY170&gt;=BB171*4^9,
IF(AY170&gt;=BB171*4^10,
9),
8),
7),
6),
5),
4),
3),
2),
1),
0))</f>
        <v>0</v>
      </c>
      <c r="BD170" s="38">
        <f>BB170*AZ170*4^BC170</f>
        <v>7680</v>
      </c>
      <c r="BE170" s="38">
        <f>BD170*AW170</f>
        <v>7680</v>
      </c>
      <c r="BF170" s="45">
        <f>ROUNDUP(IF(R170="Yes",AP170/(2^((BC170)*2)),AP170/(2^(BC170))),0)</f>
        <v>1500</v>
      </c>
      <c r="BG170" s="45">
        <f>IF(ISNUMBER(Y170),ROUNDUP(BF170/Y170,0),
  SWITCH(
      Y170,
      "1+0.5C",ROUNDUP(BF170/(1+0.5*VLOOKUP(J172,'Machine Helper Sheet'!$G$1:$K$16,2,FALSE)),0),
      ROUNDUP(BF170/1,0)
  )
)</f>
        <v>1500</v>
      </c>
      <c r="BH170" s="45">
        <f>ROUNDUP(BG170/BA170,0)</f>
        <v>1500</v>
      </c>
      <c r="BI170" s="46">
        <f>BH170*BE170</f>
        <v>11520000</v>
      </c>
      <c r="BK170" s="22"/>
    </row>
    <row r="171">
      <c r="B171" s="141" t="s">
        <v>821</v>
      </c>
      <c r="C171" s="165" t="s">
        <v>16</v>
      </c>
      <c r="D171" s="38">
        <f>1000*I172</f>
        <v>10000</v>
      </c>
      <c r="E171" s="164" t="s">
        <v>141</v>
      </c>
      <c r="F171" s="42">
        <f>100*I172</f>
        <v>1000</v>
      </c>
      <c r="G171" s="43"/>
      <c r="H171" s="99" t="s">
        <v>584</v>
      </c>
      <c r="I171" s="45">
        <f t="array" ref="I171">match(TRUE,ISBLANK(F171:F180),0)-1</f>
        <v>2</v>
      </c>
      <c r="J171" s="100" t="s">
        <v>420</v>
      </c>
      <c r="K171" s="100" t="s">
        <v>585</v>
      </c>
      <c r="L171" s="100" t="s">
        <v>704</v>
      </c>
      <c r="M171" s="38"/>
      <c r="N171" s="38"/>
      <c r="O171" s="38"/>
      <c r="P171" s="38"/>
      <c r="Q171" s="38"/>
      <c r="R171" s="101"/>
      <c r="S171" s="101"/>
      <c r="T171" s="101"/>
      <c r="U171" s="45"/>
      <c r="V171" s="45"/>
      <c r="W171" s="45"/>
      <c r="X171" s="45"/>
      <c r="Y171" s="45"/>
      <c r="Z171" s="45"/>
      <c r="AA171" s="45"/>
      <c r="AB171" s="45"/>
      <c r="AC171" s="45"/>
      <c r="AD171" s="45"/>
      <c r="AE171" s="45"/>
      <c r="AF171" s="45"/>
      <c r="AG171" s="79"/>
      <c r="AH171" s="45"/>
      <c r="AI171" s="45"/>
      <c r="AJ171" s="45"/>
      <c r="AK171" s="45"/>
      <c r="AL171" s="45"/>
      <c r="AM171" s="45"/>
      <c r="AN171" s="45"/>
      <c r="AO171" s="45"/>
      <c r="AP171" s="45"/>
      <c r="AQ171" s="45"/>
      <c r="AR171" s="45"/>
      <c r="AS171" s="45"/>
      <c r="AT171" s="79"/>
      <c r="AU171" s="45"/>
      <c r="AV171" s="45"/>
      <c r="AW171" s="45"/>
      <c r="AX171" s="45"/>
      <c r="AY171" s="45"/>
      <c r="AZ171" s="45"/>
      <c r="BA171" s="45"/>
      <c r="BB171" s="45">
        <f>BB170*AZ170</f>
        <v>7680</v>
      </c>
      <c r="BC171" s="45"/>
      <c r="BD171" s="45"/>
      <c r="BE171" s="45"/>
      <c r="BF171" s="45"/>
      <c r="BG171" s="45"/>
      <c r="BH171" s="45"/>
      <c r="BI171" s="46"/>
      <c r="BK171" s="22"/>
    </row>
    <row r="172">
      <c r="B172" s="40"/>
      <c r="C172" s="165"/>
      <c r="D172" s="38"/>
      <c r="E172" s="164" t="s">
        <v>248</v>
      </c>
      <c r="F172" s="42">
        <f>900*I172</f>
        <v>9000</v>
      </c>
      <c r="G172" s="43"/>
      <c r="H172" s="56" t="s">
        <v>502</v>
      </c>
      <c r="I172" s="166">
        <v>10.0</v>
      </c>
      <c r="J172" s="100" t="s">
        <v>427</v>
      </c>
      <c r="K172" s="100">
        <v>0.0</v>
      </c>
      <c r="L172" s="100">
        <v>0.0</v>
      </c>
      <c r="M172" s="45"/>
      <c r="N172" s="45"/>
      <c r="O172" s="45"/>
      <c r="P172" s="45"/>
      <c r="Q172" s="45"/>
      <c r="R172" s="45"/>
      <c r="S172" s="101"/>
      <c r="T172" s="101"/>
      <c r="U172" s="45"/>
      <c r="V172" s="45"/>
      <c r="W172" s="45"/>
      <c r="X172" s="45"/>
      <c r="Y172" s="45"/>
      <c r="Z172" s="45"/>
      <c r="AA172" s="45"/>
      <c r="AB172" s="45"/>
      <c r="AC172" s="45"/>
      <c r="AD172" s="45"/>
      <c r="AE172" s="45"/>
      <c r="AF172" s="45"/>
      <c r="AG172" s="79"/>
      <c r="AH172" s="45"/>
      <c r="AI172" s="45"/>
      <c r="AJ172" s="45"/>
      <c r="AK172" s="45"/>
      <c r="AL172" s="45"/>
      <c r="AM172" s="45"/>
      <c r="AN172" s="45"/>
      <c r="AO172" s="45"/>
      <c r="AP172" s="45"/>
      <c r="AQ172" s="45"/>
      <c r="AR172" s="45"/>
      <c r="AS172" s="45"/>
      <c r="AT172" s="79"/>
      <c r="AU172" s="45"/>
      <c r="AV172" s="45"/>
      <c r="AW172" s="45"/>
      <c r="AX172" s="45"/>
      <c r="AY172" s="45"/>
      <c r="AZ172" s="45"/>
      <c r="BA172" s="45"/>
      <c r="BB172" s="45"/>
      <c r="BC172" s="45"/>
      <c r="BD172" s="45"/>
      <c r="BE172" s="45"/>
      <c r="BF172" s="45"/>
      <c r="BG172" s="45"/>
      <c r="BH172" s="45"/>
      <c r="BI172" s="46"/>
      <c r="BK172" s="22"/>
    </row>
    <row r="173">
      <c r="B173" s="135"/>
      <c r="C173" s="136"/>
      <c r="D173" s="137"/>
      <c r="E173" s="137"/>
      <c r="F173" s="137"/>
      <c r="G173" s="138"/>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c r="AG173" s="138"/>
      <c r="AH173" s="137"/>
      <c r="AI173" s="137"/>
      <c r="AJ173" s="137"/>
      <c r="AK173" s="137"/>
      <c r="AL173" s="137"/>
      <c r="AM173" s="137"/>
      <c r="AN173" s="137"/>
      <c r="AO173" s="137"/>
      <c r="AP173" s="137"/>
      <c r="AQ173" s="137"/>
      <c r="AR173" s="137"/>
      <c r="AS173" s="137"/>
      <c r="AT173" s="138"/>
      <c r="AU173" s="137"/>
      <c r="AV173" s="137"/>
      <c r="AW173" s="137"/>
      <c r="AX173" s="137"/>
      <c r="AY173" s="137"/>
      <c r="AZ173" s="137"/>
      <c r="BA173" s="137"/>
      <c r="BB173" s="137"/>
      <c r="BC173" s="137"/>
      <c r="BD173" s="137"/>
      <c r="BE173" s="137"/>
      <c r="BF173" s="137"/>
      <c r="BG173" s="137"/>
      <c r="BH173" s="137"/>
      <c r="BI173" s="139"/>
      <c r="BK173" s="22"/>
    </row>
    <row r="174">
      <c r="B174" s="31" t="s">
        <v>867</v>
      </c>
      <c r="C174" s="54"/>
      <c r="D174" s="45"/>
      <c r="E174" s="45"/>
      <c r="F174" s="47"/>
      <c r="G174" s="35"/>
      <c r="H174" s="163" t="s">
        <v>349</v>
      </c>
      <c r="I174" s="38">
        <f>VLOOKUP(H174,'Machine List'!$A$1:$I$300,9,FALSE)</f>
        <v>4000</v>
      </c>
      <c r="J174" s="38">
        <f>IF(VLOOKUP(H174,'Machine List'!$A$1:$I$300,5,FALSE)="Multi",IF(VLOOKUP(H174,'Machine List'!$A$1:$I$300,6,FALSE)="Yes",AI174*3*10^AB174,AI174*(2*3)*10^(AB174-1)),0)</f>
        <v>6</v>
      </c>
      <c r="K174" s="38">
        <f>J174+IF(ISNUMBER(I174),I174,
  SWITCH(
      I174,
      "1T",1*10^AB174,
      "2T",2*10^AB174,
      "3T",3*10^AB174,
      "4T",4*10^AB174,
      "4000+500(7O-5)",4000+500*(7*I175-5),
      "13500 + 16C",13500+16*VLOOKUP(J176,'Machine Helper Sheet'!$G$1:$K$16,5,FALSE),
      1
  )
)</f>
        <v>4006</v>
      </c>
      <c r="L174" s="38">
        <f>IF(VLOOKUP(H174,'Machine List'!$A$1:$I$300,5,FALSE)="Multi",IF(VLOOKUP(H174,'Machine List'!$A$1:$I$300,6,FALSE)="Yes",AW174*3*10^AV174,AW174*(2*3)*10^(AV174-1)),0)</f>
        <v>60000</v>
      </c>
      <c r="M174" s="38">
        <f>L174+IF(ISNUMBER(I174),I174,
  SWITCH(
      I174,
      "1T",1*10^AV174,
      "2T",2*10^AV174,
      "3T",3*10^AV174,
      "4T",4*10^AV174,
      "4000+500(7O-5)",4000+500*(7*I175-5),
      1
  )
)</f>
        <v>64000</v>
      </c>
      <c r="N174" s="38" t="str">
        <f>VLOOKUP(H174,'Machine List'!$A$1:$I$300,8,FALSE)</f>
        <v>Tier</v>
      </c>
      <c r="O174" s="38">
        <f>IF(ISNUMBER(N174),N174,10^AB174)</f>
        <v>10</v>
      </c>
      <c r="P174" s="38">
        <f>IF(ISNUMBER(N174),N174,10^AV174)</f>
        <v>100000</v>
      </c>
      <c r="Q174" s="38">
        <f>VLOOKUP(H174,'Machine List'!$A$1:$B$138,2,FALSE)</f>
        <v>1</v>
      </c>
      <c r="R174" s="164" t="s">
        <v>594</v>
      </c>
      <c r="S174" s="45">
        <f>IF(ISNUMBER(Q174),Q174,
  SWITCH(
      Q174,
      "1",1,
      "2T",AB174*2,
      "4T",AB174*4,
      "6T",AB174*6,
      "8T",AB174*8,
      "10T",AB174*10,
      "12T",AB174*12,
      "14T",AB174*14,
      "16T",AB174*16,
      "24T",AB174*24,
      "2(T+1)",2*(AB174+1),
      "1T*C",AB174*J176,
      "2*P",L176*2,
      1
  )
)</f>
        <v>1</v>
      </c>
      <c r="T174" s="38" t="s">
        <v>277</v>
      </c>
      <c r="U174" s="38">
        <f>IF(OR(T174="No",T174=""),S174,T174)</f>
        <v>1</v>
      </c>
      <c r="V174" s="38">
        <f>IF(ISNUMBER(Q174),Q174,
  SWITCH(
      Q174,
      "1",1,
      "2T",AV174*2,
      "4T",AV174*4,
      "6T",AV174*6,
      "8T",AV174*8,
      "10T",AV174*10,
      "12T",AV174*12,
      "14T",AV174*14,
      "16T",AV174*16,
      "24T",AV174*24,
      "2(T+1)",2*(AV174+1),
      "1T*C",AV174*J176,
      "2*P",L176*2,
      1
  )
)</f>
        <v>1</v>
      </c>
      <c r="W174" s="38" t="str">
        <f>T174</f>
        <v>No</v>
      </c>
      <c r="X174" s="38">
        <f>IF(OR(W174="No",W174=""),V174,W174)</f>
        <v>1</v>
      </c>
      <c r="Y174" s="38">
        <f>VLOOKUP(H174,'Machine List'!$A$1:$C$138,3,FALSE)</f>
        <v>1</v>
      </c>
      <c r="Z174" s="38">
        <f>VLOOKUP(H174,'Machine List'!$A$1:$D$138,4,FALSE)</f>
        <v>1</v>
      </c>
      <c r="AA174" s="164" t="s">
        <v>390</v>
      </c>
      <c r="AB174" s="38">
        <f>VLOOKUP(AA174,'Item Helper Sheet'!$A$2:$B$16,2,FALSE)</f>
        <v>1</v>
      </c>
      <c r="AC174" s="164">
        <v>30.0</v>
      </c>
      <c r="AD174" s="38">
        <f>15*20</f>
        <v>300</v>
      </c>
      <c r="AE174" s="38">
        <f>AD174*I176</f>
        <v>300</v>
      </c>
      <c r="AF174" s="38">
        <f>AC174*AE174</f>
        <v>9000</v>
      </c>
      <c r="AG174" s="75"/>
      <c r="AH174" s="38" t="str">
        <f>AA174</f>
        <v>01 - LV</v>
      </c>
      <c r="AI174" s="38">
        <v>1.0</v>
      </c>
      <c r="AJ174" s="38">
        <v>1.0</v>
      </c>
      <c r="AK174" s="38">
        <f>AJ174*8*4^AB174</f>
        <v>32</v>
      </c>
      <c r="AL174" s="38">
        <f>MIN(ROUNDDOWN(AK174/AN174,0),U174)</f>
        <v>1</v>
      </c>
      <c r="AM174" s="38">
        <f>IF(OR(T174="No",T174=""),AI174*S174,AI174*T174)</f>
        <v>1</v>
      </c>
      <c r="AN174" s="38">
        <f>ROUNDUP(AC174*VLOOKUP(H174,'Machine List'!$A$2:$D$219,4,FALSE),0)</f>
        <v>30</v>
      </c>
      <c r="AO174" s="38">
        <f>AN174*AM174</f>
        <v>30</v>
      </c>
      <c r="AP174" s="38">
        <f>ROUNDUP(AD174*I176,0)</f>
        <v>300</v>
      </c>
      <c r="AQ174" s="38">
        <f>IF(ISNUMBER(Y174),ROUNDUP(AP174/Y174,0),
  SWITCH(
      Y174,
      "1+0.5C",ROUNDUP(AP174/(1+0.5*VLOOKUP(J176,'Machine Helper Sheet'!$G$1:$K$16,2,FALSE)),0),
      ROUNDUP(AP174/1,0)
  )
)</f>
        <v>300</v>
      </c>
      <c r="AR174" s="38">
        <f>ROUNDUP(AQ174/AM174,0)</f>
        <v>300</v>
      </c>
      <c r="AS174" s="38">
        <f>AO174*AR174</f>
        <v>9000</v>
      </c>
      <c r="AT174" s="75"/>
      <c r="AU174" s="164" t="s">
        <v>405</v>
      </c>
      <c r="AV174" s="38">
        <f>VLOOKUP(AU174,'Item Helper Sheet'!$A$2:$B$16,2,FALSE)</f>
        <v>5</v>
      </c>
      <c r="AW174" s="38">
        <f>AI174</f>
        <v>1</v>
      </c>
      <c r="AX174" s="38">
        <v>1.0</v>
      </c>
      <c r="AY174" s="38">
        <f>AX174*8*4^AV174</f>
        <v>8192</v>
      </c>
      <c r="AZ174" s="38">
        <f>MIN(ROUNDDOWN(AY174/AN174,0),X174)</f>
        <v>1</v>
      </c>
      <c r="BA174" s="38">
        <f>AZ174*AW174</f>
        <v>1</v>
      </c>
      <c r="BB174" s="38">
        <f>AN174</f>
        <v>30</v>
      </c>
      <c r="BC174" s="38">
        <f>MIN(AV174-AB174,IF(AY174&gt;=BB175*4,
IF(AY174&gt;=BB175*4^2,
IF(AY174&gt;=BB175*4^3,
IF(AY174&gt;=BB175*4^4,
IF(AY174&gt;=BB175*4^5,
IF(AY174&gt;=BB175*4^6,
IF(AY174&gt;=BB175*4^7,
IF(AY174&gt;=BB175*4^8,
IF(AY174&gt;=BB175*4^9,
IF(AY174&gt;=BB175*4^10,
9),
8),
7),
6),
5),
4),
3),
2),
1),
0))</f>
        <v>4</v>
      </c>
      <c r="BD174" s="38">
        <f>BB174*AZ174*4^BC174</f>
        <v>7680</v>
      </c>
      <c r="BE174" s="38">
        <f>BD174*AW174</f>
        <v>7680</v>
      </c>
      <c r="BF174" s="45">
        <f>ROUNDUP(IF(R174="Yes",AP174/(2^((BC174)*2)),AP174/(2^(BC174))),0)</f>
        <v>2</v>
      </c>
      <c r="BG174" s="45">
        <f>IF(ISNUMBER(Y174),ROUNDUP(BF174/Y174,0),
  SWITCH(
      Y174,
      "1+0.5C",ROUNDUP(BF174/(1+0.5*VLOOKUP(J176,'Machine Helper Sheet'!$G$1:$K$16,2,FALSE)),0),
      ROUNDUP(BF174/1,0)
  )
)</f>
        <v>2</v>
      </c>
      <c r="BH174" s="45">
        <f>ROUNDUP(BG174/BA174,0)</f>
        <v>2</v>
      </c>
      <c r="BI174" s="46">
        <f>BH174*BE174</f>
        <v>15360</v>
      </c>
      <c r="BK174" s="22"/>
    </row>
    <row r="175">
      <c r="B175" s="141" t="s">
        <v>868</v>
      </c>
      <c r="C175" s="165" t="s">
        <v>141</v>
      </c>
      <c r="D175" s="38">
        <f>1000*I176</f>
        <v>1000</v>
      </c>
      <c r="E175" s="164" t="s">
        <v>140</v>
      </c>
      <c r="F175" s="42">
        <f>1*I176</f>
        <v>1</v>
      </c>
      <c r="G175" s="43"/>
      <c r="H175" s="99" t="s">
        <v>584</v>
      </c>
      <c r="I175" s="45">
        <f t="array" ref="I175">match(TRUE,ISBLANK(F175:F184),0)-1</f>
        <v>3</v>
      </c>
      <c r="J175" s="100" t="s">
        <v>420</v>
      </c>
      <c r="K175" s="100" t="s">
        <v>585</v>
      </c>
      <c r="L175" s="100" t="s">
        <v>704</v>
      </c>
      <c r="M175" s="38"/>
      <c r="N175" s="38"/>
      <c r="O175" s="38"/>
      <c r="P175" s="38"/>
      <c r="Q175" s="38"/>
      <c r="R175" s="101"/>
      <c r="S175" s="101"/>
      <c r="T175" s="101"/>
      <c r="U175" s="45"/>
      <c r="V175" s="45"/>
      <c r="W175" s="45"/>
      <c r="X175" s="45"/>
      <c r="Y175" s="45"/>
      <c r="Z175" s="45"/>
      <c r="AA175" s="45"/>
      <c r="AB175" s="45"/>
      <c r="AC175" s="45"/>
      <c r="AD175" s="45"/>
      <c r="AE175" s="45"/>
      <c r="AF175" s="45"/>
      <c r="AG175" s="79"/>
      <c r="AH175" s="45"/>
      <c r="AI175" s="45"/>
      <c r="AJ175" s="45"/>
      <c r="AK175" s="45"/>
      <c r="AL175" s="45"/>
      <c r="AM175" s="45"/>
      <c r="AN175" s="45"/>
      <c r="AO175" s="45"/>
      <c r="AP175" s="45"/>
      <c r="AQ175" s="45"/>
      <c r="AR175" s="45"/>
      <c r="AS175" s="45"/>
      <c r="AT175" s="79"/>
      <c r="AU175" s="45"/>
      <c r="AV175" s="45"/>
      <c r="AW175" s="45"/>
      <c r="AX175" s="45"/>
      <c r="AY175" s="45"/>
      <c r="AZ175" s="45"/>
      <c r="BA175" s="45"/>
      <c r="BB175" s="45">
        <f>BB174*AZ174</f>
        <v>30</v>
      </c>
      <c r="BC175" s="45"/>
      <c r="BD175" s="45"/>
      <c r="BE175" s="45"/>
      <c r="BF175" s="45"/>
      <c r="BG175" s="45"/>
      <c r="BH175" s="45"/>
      <c r="BI175" s="46"/>
      <c r="BK175" s="22"/>
    </row>
    <row r="176">
      <c r="B176" s="40"/>
      <c r="C176" s="165" t="s">
        <v>85</v>
      </c>
      <c r="D176" s="38">
        <f>6000*I176</f>
        <v>6000</v>
      </c>
      <c r="E176" s="164" t="s">
        <v>48</v>
      </c>
      <c r="F176" s="42">
        <f>7000*I176</f>
        <v>7000</v>
      </c>
      <c r="G176" s="43"/>
      <c r="H176" s="56" t="s">
        <v>502</v>
      </c>
      <c r="I176" s="166">
        <v>1.0</v>
      </c>
      <c r="J176" s="100" t="s">
        <v>424</v>
      </c>
      <c r="K176" s="100">
        <v>0.0</v>
      </c>
      <c r="L176" s="100">
        <v>0.0</v>
      </c>
      <c r="M176" s="45"/>
      <c r="N176" s="45"/>
      <c r="O176" s="45"/>
      <c r="P176" s="45"/>
      <c r="Q176" s="45"/>
      <c r="R176" s="45"/>
      <c r="S176" s="101"/>
      <c r="T176" s="101"/>
      <c r="U176" s="45"/>
      <c r="V176" s="45"/>
      <c r="W176" s="45"/>
      <c r="X176" s="45"/>
      <c r="Y176" s="45"/>
      <c r="Z176" s="45"/>
      <c r="AA176" s="45"/>
      <c r="AB176" s="45"/>
      <c r="AC176" s="45"/>
      <c r="AD176" s="45"/>
      <c r="AE176" s="45"/>
      <c r="AF176" s="45"/>
      <c r="AG176" s="79"/>
      <c r="AH176" s="45"/>
      <c r="AI176" s="45"/>
      <c r="AJ176" s="45"/>
      <c r="AK176" s="45"/>
      <c r="AL176" s="45"/>
      <c r="AM176" s="45"/>
      <c r="AN176" s="45"/>
      <c r="AO176" s="45"/>
      <c r="AP176" s="45"/>
      <c r="AQ176" s="45"/>
      <c r="AR176" s="45"/>
      <c r="AS176" s="45"/>
      <c r="AT176" s="79"/>
      <c r="AU176" s="45"/>
      <c r="AV176" s="45"/>
      <c r="AW176" s="45"/>
      <c r="AX176" s="45"/>
      <c r="AY176" s="45"/>
      <c r="AZ176" s="45"/>
      <c r="BA176" s="45"/>
      <c r="BB176" s="45"/>
      <c r="BC176" s="45"/>
      <c r="BD176" s="45"/>
      <c r="BE176" s="45"/>
      <c r="BF176" s="45"/>
      <c r="BG176" s="45"/>
      <c r="BH176" s="45"/>
      <c r="BI176" s="46"/>
      <c r="BK176" s="22"/>
    </row>
    <row r="177">
      <c r="B177" s="40"/>
      <c r="C177" s="165"/>
      <c r="D177" s="38"/>
      <c r="E177" s="164" t="s">
        <v>248</v>
      </c>
      <c r="F177" s="42">
        <f>2000*I176</f>
        <v>2000</v>
      </c>
      <c r="G177" s="43"/>
      <c r="H177" s="44"/>
      <c r="I177" s="45"/>
      <c r="J177" s="45"/>
      <c r="K177" s="45"/>
      <c r="L177" s="45"/>
      <c r="M177" s="45"/>
      <c r="N177" s="45"/>
      <c r="O177" s="45"/>
      <c r="P177" s="45"/>
      <c r="Q177" s="45"/>
      <c r="R177" s="45"/>
      <c r="S177" s="101"/>
      <c r="T177" s="101"/>
      <c r="U177" s="45"/>
      <c r="V177" s="45"/>
      <c r="W177" s="45"/>
      <c r="X177" s="45"/>
      <c r="Y177" s="45"/>
      <c r="Z177" s="45"/>
      <c r="AA177" s="45"/>
      <c r="AB177" s="45"/>
      <c r="AC177" s="45"/>
      <c r="AD177" s="45"/>
      <c r="AE177" s="45"/>
      <c r="AF177" s="45"/>
      <c r="AG177" s="79"/>
      <c r="AH177" s="45"/>
      <c r="AI177" s="45"/>
      <c r="AJ177" s="45"/>
      <c r="AK177" s="45"/>
      <c r="AL177" s="45"/>
      <c r="AM177" s="45"/>
      <c r="AN177" s="45"/>
      <c r="AO177" s="45"/>
      <c r="AP177" s="45"/>
      <c r="AQ177" s="45"/>
      <c r="AR177" s="45"/>
      <c r="AS177" s="45"/>
      <c r="AT177" s="79"/>
      <c r="AU177" s="45"/>
      <c r="AV177" s="45"/>
      <c r="AW177" s="45"/>
      <c r="AX177" s="45"/>
      <c r="AY177" s="45"/>
      <c r="AZ177" s="45"/>
      <c r="BA177" s="45"/>
      <c r="BB177" s="45"/>
      <c r="BC177" s="45"/>
      <c r="BD177" s="45"/>
      <c r="BE177" s="45"/>
      <c r="BF177" s="45"/>
      <c r="BG177" s="45"/>
      <c r="BH177" s="45"/>
      <c r="BI177" s="46"/>
      <c r="BK177" s="22"/>
    </row>
    <row r="178">
      <c r="B178" s="135"/>
      <c r="C178" s="136"/>
      <c r="D178" s="137"/>
      <c r="E178" s="137"/>
      <c r="F178" s="137"/>
      <c r="G178" s="138"/>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8"/>
      <c r="AH178" s="137"/>
      <c r="AI178" s="137"/>
      <c r="AJ178" s="137"/>
      <c r="AK178" s="137"/>
      <c r="AL178" s="137"/>
      <c r="AM178" s="137"/>
      <c r="AN178" s="137"/>
      <c r="AO178" s="137"/>
      <c r="AP178" s="137"/>
      <c r="AQ178" s="137"/>
      <c r="AR178" s="137"/>
      <c r="AS178" s="137"/>
      <c r="AT178" s="138"/>
      <c r="AU178" s="137"/>
      <c r="AV178" s="137"/>
      <c r="AW178" s="137"/>
      <c r="AX178" s="137"/>
      <c r="AY178" s="137"/>
      <c r="AZ178" s="137"/>
      <c r="BA178" s="137"/>
      <c r="BB178" s="137"/>
      <c r="BC178" s="137"/>
      <c r="BD178" s="137"/>
      <c r="BE178" s="137"/>
      <c r="BF178" s="137"/>
      <c r="BG178" s="137"/>
      <c r="BH178" s="137"/>
      <c r="BI178" s="139"/>
      <c r="BK178" s="22"/>
    </row>
    <row r="179">
      <c r="B179" s="31" t="s">
        <v>869</v>
      </c>
      <c r="C179" s="54"/>
      <c r="D179" s="45"/>
      <c r="E179" s="45"/>
      <c r="F179" s="47"/>
      <c r="G179" s="35"/>
      <c r="H179" s="163" t="s">
        <v>349</v>
      </c>
      <c r="I179" s="38">
        <f>VLOOKUP(H179,'Machine List'!$A$1:$I$300,9,FALSE)</f>
        <v>4000</v>
      </c>
      <c r="J179" s="38">
        <f>IF(VLOOKUP(H179,'Machine List'!$A$1:$I$300,5,FALSE)="Multi",IF(VLOOKUP(H179,'Machine List'!$A$1:$I$300,6,FALSE)="Yes",AI179*3*10^AB179,AI179*(2*3)*10^(AB179-1)),0)</f>
        <v>6</v>
      </c>
      <c r="K179" s="38">
        <f>J179+IF(ISNUMBER(I179),I179,
  SWITCH(
      I179,
      "1T",1*10^AB179,
      "2T",2*10^AB179,
      "3T",3*10^AB179,
      "4T",4*10^AB179,
      "4000+500(7O-5)",4000+500*(7*I180-5),
      "13500 + 16C",13500+16*VLOOKUP(J181,'Machine Helper Sheet'!$G$1:$K$16,5,FALSE),
      1
  )
)</f>
        <v>4006</v>
      </c>
      <c r="L179" s="38">
        <f>IF(VLOOKUP(H179,'Machine List'!$A$1:$I$300,5,FALSE)="Multi",IF(VLOOKUP(H179,'Machine List'!$A$1:$I$300,6,FALSE)="Yes",AW179*3*10^AV179,AW179*(2*3)*10^(AV179-1)),0)</f>
        <v>60000</v>
      </c>
      <c r="M179" s="38">
        <f>L179+IF(ISNUMBER(I179),I179,
  SWITCH(
      I179,
      "1T",1*10^AV179,
      "2T",2*10^AV179,
      "3T",3*10^AV179,
      "4T",4*10^AV179,
      "4000+500(7O-5)",4000+500*(7*I180-5),
      1
  )
)</f>
        <v>64000</v>
      </c>
      <c r="N179" s="38" t="str">
        <f>VLOOKUP(H179,'Machine List'!$A$1:$I$300,8,FALSE)</f>
        <v>Tier</v>
      </c>
      <c r="O179" s="38">
        <f>IF(ISNUMBER(N179),N179,10^AB179)</f>
        <v>10</v>
      </c>
      <c r="P179" s="38">
        <f>IF(ISNUMBER(N179),N179,10^AV179)</f>
        <v>100000</v>
      </c>
      <c r="Q179" s="38">
        <f>VLOOKUP(H179,'Machine List'!$A$1:$B$138,2,FALSE)</f>
        <v>1</v>
      </c>
      <c r="R179" s="164" t="s">
        <v>594</v>
      </c>
      <c r="S179" s="45">
        <f>IF(ISNUMBER(Q179),Q179,
  SWITCH(
      Q179,
      "1",1,
      "2T",AB179*2,
      "4T",AB179*4,
      "6T",AB179*6,
      "8T",AB179*8,
      "10T",AB179*10,
      "12T",AB179*12,
      "14T",AB179*14,
      "16T",AB179*16,
      "24T",AB179*24,
      "2(T+1)",2*(AB179+1),
      "1T*C",AB179*J181,
      "2*P",L181*2,
      1
  )
)</f>
        <v>1</v>
      </c>
      <c r="T179" s="38" t="s">
        <v>277</v>
      </c>
      <c r="U179" s="38">
        <f>IF(OR(T179="No",T179=""),S179,T179)</f>
        <v>1</v>
      </c>
      <c r="V179" s="38">
        <f>IF(ISNUMBER(Q179),Q179,
  SWITCH(
      Q179,
      "1",1,
      "2T",AV179*2,
      "4T",AV179*4,
      "6T",AV179*6,
      "8T",AV179*8,
      "10T",AV179*10,
      "12T",AV179*12,
      "14T",AV179*14,
      "16T",AV179*16,
      "24T",AV179*24,
      "2(T+1)",2*(AV179+1),
      "1T*C",AV179*J181,
      "2*P",L181*2,
      1
  )
)</f>
        <v>1</v>
      </c>
      <c r="W179" s="38" t="str">
        <f>T179</f>
        <v>No</v>
      </c>
      <c r="X179" s="38">
        <f>IF(OR(W179="No",W179=""),V179,W179)</f>
        <v>1</v>
      </c>
      <c r="Y179" s="38">
        <f>VLOOKUP(H179,'Machine List'!$A$1:$C$138,3,FALSE)</f>
        <v>1</v>
      </c>
      <c r="Z179" s="38">
        <f>VLOOKUP(H179,'Machine List'!$A$1:$D$138,4,FALSE)</f>
        <v>1</v>
      </c>
      <c r="AA179" s="164" t="s">
        <v>390</v>
      </c>
      <c r="AB179" s="38">
        <f>VLOOKUP(AA179,'Item Helper Sheet'!$A$2:$B$16,2,FALSE)</f>
        <v>1</v>
      </c>
      <c r="AC179" s="164">
        <v>30.0</v>
      </c>
      <c r="AD179" s="38">
        <f>15*20</f>
        <v>300</v>
      </c>
      <c r="AE179" s="38">
        <f>AD179*I181</f>
        <v>300</v>
      </c>
      <c r="AF179" s="38">
        <f>AC179*AE179</f>
        <v>9000</v>
      </c>
      <c r="AG179" s="75"/>
      <c r="AH179" s="38" t="str">
        <f>AA179</f>
        <v>01 - LV</v>
      </c>
      <c r="AI179" s="38">
        <v>1.0</v>
      </c>
      <c r="AJ179" s="38">
        <v>1.0</v>
      </c>
      <c r="AK179" s="38">
        <f>AJ179*8*4^AB179</f>
        <v>32</v>
      </c>
      <c r="AL179" s="38">
        <f>MIN(ROUNDDOWN(AK179/AN179,0),U179)</f>
        <v>1</v>
      </c>
      <c r="AM179" s="38">
        <f>IF(OR(T179="No",T179=""),AI179*S179,AI179*T179)</f>
        <v>1</v>
      </c>
      <c r="AN179" s="38">
        <f>ROUNDUP(AC179*VLOOKUP(H179,'Machine List'!$A$2:$D$219,4,FALSE),0)</f>
        <v>30</v>
      </c>
      <c r="AO179" s="38">
        <f>AN179*AM179</f>
        <v>30</v>
      </c>
      <c r="AP179" s="38">
        <f>ROUNDUP(AD179*I181,0)</f>
        <v>300</v>
      </c>
      <c r="AQ179" s="38">
        <f>IF(ISNUMBER(Y179),ROUNDUP(AP179/Y179,0),
  SWITCH(
      Y179,
      "1+0.5C",ROUNDUP(AP179/(1+0.5*VLOOKUP(J181,'Machine Helper Sheet'!$G$1:$K$16,2,FALSE)),0),
      ROUNDUP(AP179/1,0)
  )
)</f>
        <v>300</v>
      </c>
      <c r="AR179" s="38">
        <f>ROUNDUP(AQ179/AM179,0)</f>
        <v>300</v>
      </c>
      <c r="AS179" s="38">
        <f>AO179*AR179</f>
        <v>9000</v>
      </c>
      <c r="AT179" s="75"/>
      <c r="AU179" s="164" t="s">
        <v>405</v>
      </c>
      <c r="AV179" s="38">
        <f>VLOOKUP(AU179,'Item Helper Sheet'!$A$2:$B$16,2,FALSE)</f>
        <v>5</v>
      </c>
      <c r="AW179" s="38">
        <f>AI179</f>
        <v>1</v>
      </c>
      <c r="AX179" s="38">
        <v>1.0</v>
      </c>
      <c r="AY179" s="38">
        <f>AX179*8*4^AV179</f>
        <v>8192</v>
      </c>
      <c r="AZ179" s="38">
        <f>MIN(ROUNDDOWN(AY179/AN179,0),X179)</f>
        <v>1</v>
      </c>
      <c r="BA179" s="38">
        <f>AZ179*AW179</f>
        <v>1</v>
      </c>
      <c r="BB179" s="38">
        <f>AN179</f>
        <v>30</v>
      </c>
      <c r="BC179" s="38">
        <f>MIN(AV179-AB179,IF(AY179&gt;=BB180*4,
IF(AY179&gt;=BB180*4^2,
IF(AY179&gt;=BB180*4^3,
IF(AY179&gt;=BB180*4^4,
IF(AY179&gt;=BB180*4^5,
IF(AY179&gt;=BB180*4^6,
IF(AY179&gt;=BB180*4^7,
IF(AY179&gt;=BB180*4^8,
IF(AY179&gt;=BB180*4^9,
IF(AY179&gt;=BB180*4^10,
9),
8),
7),
6),
5),
4),
3),
2),
1),
0))</f>
        <v>4</v>
      </c>
      <c r="BD179" s="38">
        <f>BB179*AZ179*4^BC179</f>
        <v>7680</v>
      </c>
      <c r="BE179" s="38">
        <f>BD179*AW179</f>
        <v>7680</v>
      </c>
      <c r="BF179" s="45">
        <f>ROUNDUP(IF(R179="Yes",AP179/(2^((BC179)*2)),AP179/(2^(BC179))),0)</f>
        <v>2</v>
      </c>
      <c r="BG179" s="45">
        <f>IF(ISNUMBER(Y179),ROUNDUP(BF179/Y179,0),
  SWITCH(
      Y179,
      "1+0.5C",ROUNDUP(BF179/(1+0.5*VLOOKUP(J181,'Machine Helper Sheet'!$G$1:$K$16,2,FALSE)),0),
      ROUNDUP(BF179/1,0)
  )
)</f>
        <v>2</v>
      </c>
      <c r="BH179" s="45">
        <f>ROUNDUP(BG179/BA179,0)</f>
        <v>2</v>
      </c>
      <c r="BI179" s="46">
        <f>BH179*BE179</f>
        <v>15360</v>
      </c>
      <c r="BK179" s="22"/>
    </row>
    <row r="180">
      <c r="B180" s="31" t="s">
        <v>837</v>
      </c>
      <c r="C180" s="165" t="s">
        <v>20</v>
      </c>
      <c r="D180" s="38">
        <f>1000*I181</f>
        <v>1000</v>
      </c>
      <c r="E180" s="164" t="s">
        <v>22</v>
      </c>
      <c r="F180" s="42">
        <f>1000*I181</f>
        <v>1000</v>
      </c>
      <c r="G180" s="43"/>
      <c r="H180" s="99" t="s">
        <v>584</v>
      </c>
      <c r="I180" s="45">
        <f t="array" ref="I180">match(TRUE,ISBLANK(F180:F189),0)-1</f>
        <v>1</v>
      </c>
      <c r="J180" s="100" t="s">
        <v>420</v>
      </c>
      <c r="K180" s="100" t="s">
        <v>585</v>
      </c>
      <c r="L180" s="100" t="s">
        <v>704</v>
      </c>
      <c r="M180" s="38"/>
      <c r="N180" s="38"/>
      <c r="O180" s="38"/>
      <c r="P180" s="38"/>
      <c r="Q180" s="38"/>
      <c r="R180" s="101"/>
      <c r="S180" s="101"/>
      <c r="T180" s="101"/>
      <c r="U180" s="45"/>
      <c r="V180" s="45"/>
      <c r="W180" s="45"/>
      <c r="X180" s="45"/>
      <c r="Y180" s="45"/>
      <c r="Z180" s="45"/>
      <c r="AA180" s="45"/>
      <c r="AB180" s="45"/>
      <c r="AC180" s="45"/>
      <c r="AD180" s="45"/>
      <c r="AE180" s="45"/>
      <c r="AF180" s="45"/>
      <c r="AG180" s="79"/>
      <c r="AH180" s="45"/>
      <c r="AI180" s="45"/>
      <c r="AJ180" s="45"/>
      <c r="AK180" s="45"/>
      <c r="AL180" s="45"/>
      <c r="AM180" s="45"/>
      <c r="AN180" s="45"/>
      <c r="AO180" s="45"/>
      <c r="AP180" s="45"/>
      <c r="AQ180" s="45"/>
      <c r="AR180" s="45"/>
      <c r="AS180" s="45"/>
      <c r="AT180" s="79"/>
      <c r="AU180" s="45"/>
      <c r="AV180" s="45"/>
      <c r="AW180" s="45"/>
      <c r="AX180" s="45"/>
      <c r="AY180" s="45"/>
      <c r="AZ180" s="45"/>
      <c r="BA180" s="45"/>
      <c r="BB180" s="45">
        <f>BB179*AZ179</f>
        <v>30</v>
      </c>
      <c r="BC180" s="45"/>
      <c r="BD180" s="45"/>
      <c r="BE180" s="45"/>
      <c r="BF180" s="45"/>
      <c r="BG180" s="45"/>
      <c r="BH180" s="45"/>
      <c r="BI180" s="46"/>
      <c r="BK180" s="22"/>
    </row>
    <row r="181">
      <c r="B181" s="40"/>
      <c r="C181" s="165" t="s">
        <v>85</v>
      </c>
      <c r="D181" s="38">
        <f>1000*I181</f>
        <v>1000</v>
      </c>
      <c r="E181" s="164"/>
      <c r="F181" s="42"/>
      <c r="G181" s="43"/>
      <c r="H181" s="56" t="s">
        <v>502</v>
      </c>
      <c r="I181" s="166">
        <v>1.0</v>
      </c>
      <c r="J181" s="100" t="s">
        <v>424</v>
      </c>
      <c r="K181" s="100">
        <v>0.0</v>
      </c>
      <c r="L181" s="100">
        <v>0.0</v>
      </c>
      <c r="M181" s="45"/>
      <c r="N181" s="45"/>
      <c r="O181" s="45"/>
      <c r="P181" s="45"/>
      <c r="Q181" s="45"/>
      <c r="R181" s="45"/>
      <c r="S181" s="101"/>
      <c r="T181" s="101"/>
      <c r="U181" s="45"/>
      <c r="V181" s="45"/>
      <c r="W181" s="45"/>
      <c r="X181" s="45"/>
      <c r="Y181" s="45"/>
      <c r="Z181" s="45"/>
      <c r="AA181" s="45"/>
      <c r="AB181" s="45"/>
      <c r="AC181" s="45"/>
      <c r="AD181" s="45"/>
      <c r="AE181" s="45"/>
      <c r="AF181" s="45"/>
      <c r="AG181" s="79"/>
      <c r="AH181" s="45"/>
      <c r="AI181" s="45"/>
      <c r="AJ181" s="45"/>
      <c r="AK181" s="45"/>
      <c r="AL181" s="45"/>
      <c r="AM181" s="45"/>
      <c r="AN181" s="45"/>
      <c r="AO181" s="45"/>
      <c r="AP181" s="45"/>
      <c r="AQ181" s="45"/>
      <c r="AR181" s="45"/>
      <c r="AS181" s="45"/>
      <c r="AT181" s="79"/>
      <c r="AU181" s="45"/>
      <c r="AV181" s="45"/>
      <c r="AW181" s="45"/>
      <c r="AX181" s="45"/>
      <c r="AY181" s="45"/>
      <c r="AZ181" s="45"/>
      <c r="BA181" s="45"/>
      <c r="BB181" s="45"/>
      <c r="BC181" s="45"/>
      <c r="BD181" s="45"/>
      <c r="BE181" s="45"/>
      <c r="BF181" s="45"/>
      <c r="BG181" s="45"/>
      <c r="BH181" s="45"/>
      <c r="BI181" s="46"/>
      <c r="BK181" s="22"/>
    </row>
    <row r="182">
      <c r="B182" s="135"/>
      <c r="C182" s="136"/>
      <c r="D182" s="137"/>
      <c r="E182" s="137"/>
      <c r="F182" s="137"/>
      <c r="G182" s="138"/>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8"/>
      <c r="AH182" s="137"/>
      <c r="AI182" s="137"/>
      <c r="AJ182" s="137"/>
      <c r="AK182" s="137"/>
      <c r="AL182" s="137"/>
      <c r="AM182" s="137"/>
      <c r="AN182" s="137"/>
      <c r="AO182" s="137"/>
      <c r="AP182" s="137"/>
      <c r="AQ182" s="137"/>
      <c r="AR182" s="137"/>
      <c r="AS182" s="137"/>
      <c r="AT182" s="138"/>
      <c r="AU182" s="137"/>
      <c r="AV182" s="137"/>
      <c r="AW182" s="137"/>
      <c r="AX182" s="137"/>
      <c r="AY182" s="137"/>
      <c r="AZ182" s="137"/>
      <c r="BA182" s="137"/>
      <c r="BB182" s="137"/>
      <c r="BC182" s="137"/>
      <c r="BD182" s="137"/>
      <c r="BE182" s="137"/>
      <c r="BF182" s="137"/>
      <c r="BG182" s="137"/>
      <c r="BH182" s="137"/>
      <c r="BI182" s="139"/>
      <c r="BK182" s="22"/>
    </row>
    <row r="183">
      <c r="B183" s="31" t="s">
        <v>870</v>
      </c>
      <c r="C183" s="54"/>
      <c r="D183" s="45"/>
      <c r="E183" s="45"/>
      <c r="F183" s="47"/>
      <c r="G183" s="35"/>
      <c r="H183" s="163" t="s">
        <v>355</v>
      </c>
      <c r="I183" s="38" t="str">
        <f>VLOOKUP(H183,'Machine List'!$A$1:$I$300,9,FALSE)</f>
        <v>1T</v>
      </c>
      <c r="J183" s="38">
        <f>IF(VLOOKUP(H183,'Machine List'!$A$1:$I$300,5,FALSE)="Multi",IF(VLOOKUP(H183,'Machine List'!$A$1:$I$300,6,FALSE)="Yes",AI183*3*10^AB183,AI183*(2*3)*10^(AB183-1)),0)</f>
        <v>0</v>
      </c>
      <c r="K183" s="38">
        <f>J183+IF(ISNUMBER(I183),I183,
  SWITCH(
      I183,
      "1T",1*10^AB183,
      "2T",2*10^AB183,
      "3T",3*10^AB183,
      "4T",4*10^AB183,
      "4000+500(7O-5)",4000+500*(7*I184-5),
      "13500 + 16C",13500+16*VLOOKUP(J185,'Machine Helper Sheet'!$G$1:$K$16,5,FALSE),
      1
  )
)</f>
        <v>10</v>
      </c>
      <c r="L183" s="38">
        <f>IF(VLOOKUP(H183,'Machine List'!$A$1:$I$300,5,FALSE)="Multi",IF(VLOOKUP(H183,'Machine List'!$A$1:$I$300,6,FALSE)="Yes",AW183*3*10^AV183,AW183*(2*3)*10^(AV183-1)),0)</f>
        <v>0</v>
      </c>
      <c r="M183" s="38">
        <f>L183+IF(ISNUMBER(I183),I183,
  SWITCH(
      I183,
      "1T",1*10^AV183,
      "2T",2*10^AV183,
      "3T",3*10^AV183,
      "4T",4*10^AV183,
      "4000+500(7O-5)",4000+500*(7*I184-5),
      1
  )
)</f>
        <v>100000</v>
      </c>
      <c r="N183" s="38" t="str">
        <f>VLOOKUP(H183,'Machine List'!$A$1:$I$300,8,FALSE)</f>
        <v>Tier</v>
      </c>
      <c r="O183" s="38">
        <f>IF(ISNUMBER(N183),N183,10^AB183)</f>
        <v>10</v>
      </c>
      <c r="P183" s="38">
        <f>IF(ISNUMBER(N183),N183,10^AV183)</f>
        <v>100000</v>
      </c>
      <c r="Q183" s="38">
        <f>VLOOKUP(H183,'Machine List'!$A$1:$B$138,2,FALSE)</f>
        <v>1</v>
      </c>
      <c r="R183" s="164" t="s">
        <v>277</v>
      </c>
      <c r="S183" s="45">
        <f>IF(ISNUMBER(Q183),Q183,
  SWITCH(
      Q183,
      "1",1,
      "2T",AB183*2,
      "4T",AB183*4,
      "6T",AB183*6,
      "8T",AB183*8,
      "10T",AB183*10,
      "12T",AB183*12,
      "14T",AB183*14,
      "16T",AB183*16,
      "24T",AB183*24,
      "2(T+1)",2*(AB183+1),
      "1T*C",AB183*J185,
      "2*P",L185*2,
      1
  )
)</f>
        <v>1</v>
      </c>
      <c r="T183" s="38" t="s">
        <v>277</v>
      </c>
      <c r="U183" s="38">
        <f>IF(OR(T183="No",T183=""),S183,T183)</f>
        <v>1</v>
      </c>
      <c r="V183" s="38">
        <f>IF(ISNUMBER(Q183),Q183,
  SWITCH(
      Q183,
      "1",1,
      "2T",AV183*2,
      "4T",AV183*4,
      "6T",AV183*6,
      "8T",AV183*8,
      "10T",AV183*10,
      "12T",AV183*12,
      "14T",AV183*14,
      "16T",AV183*16,
      "24T",AV183*24,
      "2(T+1)",2*(AV183+1),
      "1T*C",AV183*J185,
      "2*P",L185*2,
      1
  )
)</f>
        <v>1</v>
      </c>
      <c r="W183" s="38" t="str">
        <f>T183</f>
        <v>No</v>
      </c>
      <c r="X183" s="38">
        <f>IF(OR(W183="No",W183=""),V183,W183)</f>
        <v>1</v>
      </c>
      <c r="Y183" s="38">
        <f>VLOOKUP(H183,'Machine List'!$A$1:$C$138,3,FALSE)</f>
        <v>1</v>
      </c>
      <c r="Z183" s="38">
        <f>VLOOKUP(H183,'Machine List'!$A$1:$D$138,4,FALSE)</f>
        <v>1</v>
      </c>
      <c r="AA183" s="164" t="s">
        <v>390</v>
      </c>
      <c r="AB183" s="38">
        <f>VLOOKUP(AA183,'Item Helper Sheet'!$A$2:$B$16,2,FALSE)</f>
        <v>1</v>
      </c>
      <c r="AC183" s="164">
        <v>8.0</v>
      </c>
      <c r="AD183" s="38">
        <f>2.5*20</f>
        <v>50</v>
      </c>
      <c r="AE183" s="38">
        <f>AD183*I185</f>
        <v>50</v>
      </c>
      <c r="AF183" s="38">
        <f>AC183*AE183</f>
        <v>400</v>
      </c>
      <c r="AG183" s="75"/>
      <c r="AH183" s="38" t="str">
        <f>AA183</f>
        <v>01 - LV</v>
      </c>
      <c r="AI183" s="38">
        <v>1.0</v>
      </c>
      <c r="AJ183" s="38">
        <v>1.0</v>
      </c>
      <c r="AK183" s="38">
        <f>AJ183*8*4^AB183</f>
        <v>32</v>
      </c>
      <c r="AL183" s="38">
        <f>MIN(ROUNDDOWN(AK183/AN183,0),U183)</f>
        <v>1</v>
      </c>
      <c r="AM183" s="38">
        <f>IF(OR(T183="No",T183=""),AI183*S183,AI183*T183)</f>
        <v>1</v>
      </c>
      <c r="AN183" s="38">
        <f>ROUNDUP(AC183*VLOOKUP(H183,'Machine List'!$A$2:$D$219,4,FALSE),0)</f>
        <v>8</v>
      </c>
      <c r="AO183" s="38">
        <f>AN183*AM183</f>
        <v>8</v>
      </c>
      <c r="AP183" s="38">
        <f>ROUNDUP(AD183*I185,0)</f>
        <v>50</v>
      </c>
      <c r="AQ183" s="38">
        <f>IF(ISNUMBER(Y183),ROUNDUP(AP183/Y183,0),
  SWITCH(
      Y183,
      "1+0.5C",ROUNDUP(AP183/(1+0.5*VLOOKUP(J185,'Machine Helper Sheet'!$G$1:$K$16,2,FALSE)),0),
      ROUNDUP(AP183/1,0)
  )
)</f>
        <v>50</v>
      </c>
      <c r="AR183" s="38">
        <f>ROUNDUP(AQ183/AM183,0)</f>
        <v>50</v>
      </c>
      <c r="AS183" s="38">
        <f>AO183*AR183</f>
        <v>400</v>
      </c>
      <c r="AT183" s="75"/>
      <c r="AU183" s="164" t="s">
        <v>405</v>
      </c>
      <c r="AV183" s="38">
        <f>VLOOKUP(AU183,'Item Helper Sheet'!$A$2:$B$16,2,FALSE)</f>
        <v>5</v>
      </c>
      <c r="AW183" s="38">
        <f>AI183</f>
        <v>1</v>
      </c>
      <c r="AX183" s="38">
        <v>1.0</v>
      </c>
      <c r="AY183" s="38">
        <f>AX183*8*4^AV183</f>
        <v>8192</v>
      </c>
      <c r="AZ183" s="38">
        <f>MIN(ROUNDDOWN(AY183/AN183,0),X183)</f>
        <v>1</v>
      </c>
      <c r="BA183" s="38">
        <f>AZ183*AW183</f>
        <v>1</v>
      </c>
      <c r="BB183" s="38">
        <f>AN183</f>
        <v>8</v>
      </c>
      <c r="BC183" s="38">
        <f>MIN(AV183-AB183,IF(AY183&gt;=BB184*4,
IF(AY183&gt;=BB184*4^2,
IF(AY183&gt;=BB184*4^3,
IF(AY183&gt;=BB184*4^4,
IF(AY183&gt;=BB184*4^5,
IF(AY183&gt;=BB184*4^6,
IF(AY183&gt;=BB184*4^7,
IF(AY183&gt;=BB184*4^8,
IF(AY183&gt;=BB184*4^9,
IF(AY183&gt;=BB184*4^10,
9),
8),
7),
6),
5),
4),
3),
2),
1),
0))</f>
        <v>4</v>
      </c>
      <c r="BD183" s="38">
        <f>BB183*AZ183*4^BC183</f>
        <v>2048</v>
      </c>
      <c r="BE183" s="38">
        <f>BD183*AW183</f>
        <v>2048</v>
      </c>
      <c r="BF183" s="45">
        <f>ROUNDUP(IF(R183="Yes",AP183/(2^((BC183)*2)),AP183/(2^(BC183))),0)</f>
        <v>4</v>
      </c>
      <c r="BG183" s="45">
        <f>IF(ISNUMBER(Y183),ROUNDUP(BF183/Y183,0),
  SWITCH(
      Y183,
      "1+0.5C",ROUNDUP(BF183/(1+0.5*VLOOKUP(J185,'Machine Helper Sheet'!$G$1:$K$16,2,FALSE)),0),
      ROUNDUP(BF183/1,0)
  )
)</f>
        <v>4</v>
      </c>
      <c r="BH183" s="45">
        <f>ROUNDUP(BG183/BA183,0)</f>
        <v>4</v>
      </c>
      <c r="BI183" s="46">
        <f>BH183*BE183</f>
        <v>8192</v>
      </c>
      <c r="BK183" s="22"/>
    </row>
    <row r="184">
      <c r="B184" s="31" t="s">
        <v>837</v>
      </c>
      <c r="C184" s="165" t="s">
        <v>201</v>
      </c>
      <c r="D184" s="38">
        <f>1*I185</f>
        <v>1</v>
      </c>
      <c r="E184" s="164" t="s">
        <v>202</v>
      </c>
      <c r="F184" s="42">
        <f>500*I185</f>
        <v>500</v>
      </c>
      <c r="G184" s="43"/>
      <c r="H184" s="99" t="s">
        <v>584</v>
      </c>
      <c r="I184" s="45">
        <f t="array" ref="I184">match(TRUE,ISBLANK(F184:F193),0)-1</f>
        <v>1</v>
      </c>
      <c r="J184" s="100" t="s">
        <v>420</v>
      </c>
      <c r="K184" s="100" t="s">
        <v>585</v>
      </c>
      <c r="L184" s="100" t="s">
        <v>704</v>
      </c>
      <c r="M184" s="38"/>
      <c r="N184" s="38"/>
      <c r="O184" s="38"/>
      <c r="P184" s="38"/>
      <c r="Q184" s="38"/>
      <c r="R184" s="101"/>
      <c r="S184" s="101"/>
      <c r="T184" s="101"/>
      <c r="U184" s="45"/>
      <c r="V184" s="45"/>
      <c r="W184" s="45"/>
      <c r="X184" s="45"/>
      <c r="Y184" s="45"/>
      <c r="Z184" s="45"/>
      <c r="AA184" s="45"/>
      <c r="AB184" s="45"/>
      <c r="AC184" s="45"/>
      <c r="AD184" s="45"/>
      <c r="AE184" s="45"/>
      <c r="AF184" s="45"/>
      <c r="AG184" s="79"/>
      <c r="AH184" s="45"/>
      <c r="AI184" s="45"/>
      <c r="AJ184" s="45"/>
      <c r="AK184" s="45"/>
      <c r="AL184" s="45"/>
      <c r="AM184" s="45"/>
      <c r="AN184" s="45"/>
      <c r="AO184" s="45"/>
      <c r="AP184" s="45"/>
      <c r="AQ184" s="45"/>
      <c r="AR184" s="45"/>
      <c r="AS184" s="45"/>
      <c r="AT184" s="79"/>
      <c r="AU184" s="45"/>
      <c r="AV184" s="45"/>
      <c r="AW184" s="45"/>
      <c r="AX184" s="45"/>
      <c r="AY184" s="45"/>
      <c r="AZ184" s="45"/>
      <c r="BA184" s="45"/>
      <c r="BB184" s="45">
        <f>BB183*AZ183</f>
        <v>8</v>
      </c>
      <c r="BC184" s="45"/>
      <c r="BD184" s="45"/>
      <c r="BE184" s="45"/>
      <c r="BF184" s="45"/>
      <c r="BG184" s="45"/>
      <c r="BH184" s="45"/>
      <c r="BI184" s="46"/>
      <c r="BK184" s="22"/>
    </row>
    <row r="185">
      <c r="B185" s="40"/>
      <c r="C185" s="165" t="s">
        <v>248</v>
      </c>
      <c r="D185" s="38">
        <f>500*I185</f>
        <v>500</v>
      </c>
      <c r="E185" s="164"/>
      <c r="F185" s="42"/>
      <c r="G185" s="43"/>
      <c r="H185" s="56" t="s">
        <v>502</v>
      </c>
      <c r="I185" s="166">
        <v>1.0</v>
      </c>
      <c r="J185" s="100" t="s">
        <v>424</v>
      </c>
      <c r="K185" s="100">
        <v>0.0</v>
      </c>
      <c r="L185" s="100">
        <v>0.0</v>
      </c>
      <c r="M185" s="45"/>
      <c r="N185" s="45"/>
      <c r="O185" s="45"/>
      <c r="P185" s="45"/>
      <c r="Q185" s="45"/>
      <c r="R185" s="45"/>
      <c r="S185" s="101"/>
      <c r="T185" s="101"/>
      <c r="U185" s="45"/>
      <c r="V185" s="45"/>
      <c r="W185" s="45"/>
      <c r="X185" s="45"/>
      <c r="Y185" s="45"/>
      <c r="Z185" s="45"/>
      <c r="AA185" s="45"/>
      <c r="AB185" s="45"/>
      <c r="AC185" s="45"/>
      <c r="AD185" s="45"/>
      <c r="AE185" s="45"/>
      <c r="AF185" s="45"/>
      <c r="AG185" s="79"/>
      <c r="AH185" s="45"/>
      <c r="AI185" s="45"/>
      <c r="AJ185" s="45"/>
      <c r="AK185" s="45"/>
      <c r="AL185" s="45"/>
      <c r="AM185" s="45"/>
      <c r="AN185" s="45"/>
      <c r="AO185" s="45"/>
      <c r="AP185" s="45"/>
      <c r="AQ185" s="45"/>
      <c r="AR185" s="45"/>
      <c r="AS185" s="45"/>
      <c r="AT185" s="79"/>
      <c r="AU185" s="45"/>
      <c r="AV185" s="45"/>
      <c r="AW185" s="45"/>
      <c r="AX185" s="45"/>
      <c r="AY185" s="45"/>
      <c r="AZ185" s="45"/>
      <c r="BA185" s="45"/>
      <c r="BB185" s="45"/>
      <c r="BC185" s="45"/>
      <c r="BD185" s="45"/>
      <c r="BE185" s="45"/>
      <c r="BF185" s="45"/>
      <c r="BG185" s="45"/>
      <c r="BH185" s="45"/>
      <c r="BI185" s="46"/>
      <c r="BK185" s="22"/>
    </row>
    <row r="186">
      <c r="B186" s="135"/>
      <c r="C186" s="136"/>
      <c r="D186" s="137"/>
      <c r="E186" s="137"/>
      <c r="F186" s="137"/>
      <c r="G186" s="138"/>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8"/>
      <c r="AH186" s="137"/>
      <c r="AI186" s="137"/>
      <c r="AJ186" s="137"/>
      <c r="AK186" s="137"/>
      <c r="AL186" s="137"/>
      <c r="AM186" s="137"/>
      <c r="AN186" s="137"/>
      <c r="AO186" s="137"/>
      <c r="AP186" s="137"/>
      <c r="AQ186" s="137"/>
      <c r="AR186" s="137"/>
      <c r="AS186" s="137"/>
      <c r="AT186" s="138"/>
      <c r="AU186" s="137"/>
      <c r="AV186" s="137"/>
      <c r="AW186" s="137"/>
      <c r="AX186" s="137"/>
      <c r="AY186" s="137"/>
      <c r="AZ186" s="137"/>
      <c r="BA186" s="137"/>
      <c r="BB186" s="137"/>
      <c r="BC186" s="137"/>
      <c r="BD186" s="137"/>
      <c r="BE186" s="137"/>
      <c r="BF186" s="137"/>
      <c r="BG186" s="137"/>
      <c r="BH186" s="137"/>
      <c r="BI186" s="139"/>
      <c r="BK186" s="22"/>
    </row>
    <row r="187">
      <c r="BK187" s="22"/>
    </row>
    <row r="188">
      <c r="C188" s="171" t="s">
        <v>41</v>
      </c>
      <c r="E188" s="171" t="s">
        <v>40</v>
      </c>
      <c r="BK188" s="22"/>
    </row>
    <row r="189">
      <c r="C189" s="171" t="s">
        <v>42</v>
      </c>
      <c r="E189" s="171" t="s">
        <v>45</v>
      </c>
      <c r="BK189" s="22"/>
    </row>
    <row r="190">
      <c r="C190" s="171" t="s">
        <v>64</v>
      </c>
      <c r="E190" s="171" t="s">
        <v>85</v>
      </c>
      <c r="BK190" s="22"/>
    </row>
    <row r="191">
      <c r="C191" s="171" t="s">
        <v>154</v>
      </c>
      <c r="E191" s="171" t="s">
        <v>132</v>
      </c>
      <c r="BK191" s="22"/>
    </row>
    <row r="192">
      <c r="C192" s="171" t="s">
        <v>143</v>
      </c>
      <c r="E192" s="171" t="s">
        <v>142</v>
      </c>
      <c r="BK192" s="22"/>
    </row>
    <row r="193">
      <c r="C193" s="171" t="s">
        <v>196</v>
      </c>
      <c r="E193" s="171" t="s">
        <v>264</v>
      </c>
    </row>
    <row r="194">
      <c r="C194" s="171" t="s">
        <v>187</v>
      </c>
      <c r="E194" s="171" t="s">
        <v>203</v>
      </c>
    </row>
    <row r="195">
      <c r="C195" s="171" t="s">
        <v>94</v>
      </c>
      <c r="E195" s="171" t="s">
        <v>213</v>
      </c>
    </row>
    <row r="196">
      <c r="C196" s="171" t="s">
        <v>140</v>
      </c>
      <c r="E196" s="171" t="s">
        <v>254</v>
      </c>
    </row>
    <row r="197">
      <c r="C197" s="171" t="s">
        <v>208</v>
      </c>
      <c r="E197" s="171" t="s">
        <v>265</v>
      </c>
    </row>
    <row r="198">
      <c r="C198" s="171" t="s">
        <v>117</v>
      </c>
      <c r="E198" s="171" t="s">
        <v>227</v>
      </c>
    </row>
    <row r="199">
      <c r="C199" s="171" t="s">
        <v>133</v>
      </c>
      <c r="E199" s="171" t="s">
        <v>216</v>
      </c>
    </row>
    <row r="200">
      <c r="C200" s="171" t="s">
        <v>160</v>
      </c>
    </row>
    <row r="201">
      <c r="C201" s="171" t="s">
        <v>255</v>
      </c>
    </row>
    <row r="202">
      <c r="C202" s="171" t="s">
        <v>226</v>
      </c>
    </row>
    <row r="203">
      <c r="C203" s="171" t="s">
        <v>263</v>
      </c>
    </row>
  </sheetData>
  <mergeCells count="4">
    <mergeCell ref="A1:BJ1"/>
    <mergeCell ref="BL1:CR1"/>
    <mergeCell ref="A2:BJ2"/>
    <mergeCell ref="BL2:CR2"/>
  </mergeCells>
  <dataValidations>
    <dataValidation type="list" allowBlank="1" sqref="J7 J11 J18 J22 J26 J30 J34 J38 J42 J48 J52 J56 J60 J64 J68 J72 J77 J81 J86 J90 J94 J98 J102 J106 J111 J115 J120 J124 J129 J133 J137 J142 J146 J151 J155 J159 J163 J167 J172 J176 J181 J185">
      <formula1>'Machine Helper Sheet'!$G$2:$G$16</formula1>
    </dataValidation>
    <dataValidation type="list" allowBlank="1" showErrorMessage="1" sqref="AA5 AU5 AA9 AU9 AA16 AU16 AA20 AU20 AA24 AU24 AA28 AU28 AA32 AU32 AA36 AU36 AA40 AU40 AA46 AU46 AA50 AU50 AA54 AU54 AA58 AU58 AA62 AU62 AA66 AU66 AA70 AU70 AA75 AU75 AA79 AU79 AA84 AU84 AA88 AU88 AA92 AU92 AA96 AU96 AA100 AU100 AA104 AU104 AA109 AU109 AA113 AU113 AA118 AU118 AA122 AU122 AA127 AU127 AA131 AU131 AA135 AU135 AA140 AU140 AA144 AU144 AA149 AU149 AA153 AU153 AA157 AU157 AA161 AU161 AA165 AU165 AA170 AU170 AA174 AU174 AA179 AU179 AA183 AU183">
      <formula1>'Item Helper Sheet'!$A$2:$A$16</formula1>
    </dataValidation>
    <dataValidation type="list" allowBlank="1" showErrorMessage="1" sqref="H5 H9 H16 H20 H24 H28 H32 H36 H40 H46 H50 H54 H58 H62 H66 H70 H75 H79 H84 H88 H92 H96 H100 H104 H109 H113 H118 H122 H127 H131 H135 H140 H144 H149 H153 H157 H161 H165 H170 H174 H179 H183">
      <formula1>'Machine List'!$A$2:$A$107</formula1>
    </dataValidation>
    <dataValidation type="list" allowBlank="1" sqref="C6:C7 E6:E7 C10:C11 E10:E14 C17 E17 C21 E21:E22 C25:C26 E25:E26 C29 E29 C33:C34 E33:E34 C37 E37 C41:C42 E41:E44 E47 C47:C48 E51 C51:C52 C55:C56 E55:E56 C59:C60 E59:E60 E63 C63:C64 C67:C68 E67:E68 C71:C72 E71:E73 C76:C77 E76:E77 E80 C80:C82 E85 C85:C86 C89:C90 E89:E90 C93 E93 E97 C97:C98 C101 E101 C105:C106 E105:E107 C110 E110 E114 C114:C116 C119:C120 E119:E120 C123:C125 E123:E125 E128 C128:C129 C132 E132 C136 E136:E138 C141 E141 C145:C146 E145:E147 C150:C151 E150:E151 C154 E154:E155 E158 C158:C159 C162:C163 E162:E163 C166:C167 E166:E168 C171 E171:E172 C175:C176 E175:E177 E180 C180:C181 E184 C184:C185 E188:E199 C188:C203">
      <formula1>'Item List'!$A$2:$A$300</formula1>
    </dataValidation>
    <dataValidation type="list" allowBlank="1" showErrorMessage="1" sqref="R5 R9 R16 R20 R24 R28 R32 R36 R40 R46 R50 R54 R58 R62 R66 R70 R75 R79 R84 R88 R92 R96 R100 R104 R109 R113 R118 R122 R127 R131 R135 R140 R144 R149 R153 R157 R161 R165 R170 R174 R179 R183">
      <formula1>"Yes,No"</formula1>
    </dataValidation>
  </dataValidations>
  <drawing r:id="rId3"/>
</worksheet>
</file>